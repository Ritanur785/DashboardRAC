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840" documentId="8_{CBB978E0-DA6C-437E-96CC-89A4C9D131CC}" xr6:coauthVersionLast="47" xr6:coauthVersionMax="47" xr10:uidLastSave="{B1DD4730-1DA5-4CB2-9145-2538835E7E85}"/>
  <bookViews>
    <workbookView xWindow="-96" yWindow="0" windowWidth="11712" windowHeight="12336" firstSheet="11" activeTab="11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  <sheet name="Overview KPI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3" hidden="1">'Bad Data'!$B$2:$D$2</definedName>
    <definedName name="_xlnm._FilterDatabase" localSheetId="1" hidden="1">'EDD PEP PPATK'!$B$2:$D$2</definedName>
    <definedName name="_xlnm._FilterDatabase" localSheetId="2" hidden="1">'Pengkinian Data'!$B$2:$D$2</definedName>
    <definedName name="_xlnm._FilterDatabase" localSheetId="0" hidden="1">STR!$A$1:$Z$209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8" i="12" l="1" a="1"/>
  <c r="F8" i="12" s="1"/>
  <c r="C8" i="12" a="1"/>
  <c r="C8" i="12" s="1"/>
  <c r="F7" i="11" a="1"/>
  <c r="F7" i="11" s="1"/>
  <c r="C7" i="11" a="1"/>
  <c r="C7" i="11" s="1"/>
  <c r="F7" i="10" a="1"/>
  <c r="F7" i="10" s="1"/>
  <c r="C7" i="10" a="1"/>
  <c r="C7" i="10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  <c r="C9" i="10" s="1"/>
  <c r="E9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C5" i="11"/>
  <c r="E5" i="11" s="1"/>
  <c r="F15" i="12"/>
  <c r="H15" i="12" s="1"/>
  <c r="C15" i="12"/>
  <c r="E15" i="12" s="1"/>
  <c r="F14" i="12"/>
  <c r="H14" i="12" s="1"/>
  <c r="C14" i="12"/>
  <c r="E14" i="12" s="1"/>
  <c r="F13" i="12"/>
  <c r="H13" i="12" s="1"/>
  <c r="C13" i="12"/>
  <c r="E13" i="12" s="1"/>
  <c r="F12" i="12" a="1"/>
  <c r="F12" i="12" s="1"/>
  <c r="H12" i="12" s="1"/>
  <c r="C12" i="12" a="1"/>
  <c r="C12" i="12" s="1"/>
  <c r="E12" i="12" s="1"/>
  <c r="F11" i="12" a="1"/>
  <c r="F11" i="12" s="1"/>
  <c r="H11" i="12" s="1"/>
  <c r="C11" i="12" a="1"/>
  <c r="C11" i="12" s="1"/>
  <c r="E11" i="12" s="1"/>
  <c r="F10" i="12"/>
  <c r="H10" i="12" s="1"/>
  <c r="F9" i="12" a="1"/>
  <c r="F9" i="12" s="1"/>
  <c r="H9" i="12" s="1"/>
  <c r="C9" i="12" a="1"/>
  <c r="C9" i="12" s="1"/>
  <c r="E9" i="12" s="1"/>
  <c r="F7" i="12"/>
  <c r="H7" i="12" s="1"/>
  <c r="C7" i="12"/>
  <c r="E7" i="12" s="1"/>
  <c r="F6" i="12"/>
  <c r="H6" i="12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" i="5"/>
  <c r="F5" i="11"/>
  <c r="C6" i="11"/>
  <c r="F6" i="11"/>
  <c r="C9" i="11"/>
  <c r="E9" i="11" s="1"/>
  <c r="F9" i="11"/>
  <c r="C12" i="11"/>
  <c r="F12" i="11"/>
  <c r="C13" i="11"/>
  <c r="F13" i="11"/>
  <c r="C14" i="11"/>
  <c r="F14" i="11"/>
  <c r="H14" i="11"/>
  <c r="E14" i="11"/>
  <c r="H13" i="11"/>
  <c r="E13" i="11"/>
  <c r="H12" i="11"/>
  <c r="E12" i="11"/>
  <c r="F11" i="11" a="1"/>
  <c r="F11" i="11" s="1"/>
  <c r="H11" i="11" s="1"/>
  <c r="C11" i="11" a="1"/>
  <c r="C11" i="11" s="1"/>
  <c r="E11" i="11" s="1"/>
  <c r="F10" i="11" a="1"/>
  <c r="F10" i="11" s="1"/>
  <c r="H10" i="11" s="1"/>
  <c r="C10" i="11" a="1"/>
  <c r="C10" i="11" s="1"/>
  <c r="E10" i="11" s="1"/>
  <c r="H9" i="11"/>
  <c r="F8" i="11" a="1"/>
  <c r="F8" i="11" s="1"/>
  <c r="H8" i="11" s="1"/>
  <c r="C8" i="11" a="1"/>
  <c r="C8" i="11" s="1"/>
  <c r="E8" i="11" s="1"/>
  <c r="H6" i="11"/>
  <c r="E6" i="11"/>
  <c r="H5" i="11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F9" i="10"/>
  <c r="C12" i="10"/>
  <c r="F12" i="10"/>
  <c r="C13" i="10"/>
  <c r="F13" i="10"/>
  <c r="C14" i="10"/>
  <c r="F14" i="10"/>
  <c r="C4" i="10"/>
  <c r="F4" i="10"/>
  <c r="C5" i="10"/>
  <c r="E5" i="10" s="1"/>
  <c r="H7" i="10" s="1"/>
  <c r="F5" i="10"/>
  <c r="C6" i="10"/>
  <c r="F6" i="10"/>
  <c r="H14" i="10"/>
  <c r="E14" i="10"/>
  <c r="H13" i="10"/>
  <c r="E13" i="10"/>
  <c r="H12" i="10"/>
  <c r="E12" i="10"/>
  <c r="F11" i="10" a="1"/>
  <c r="F11" i="10" s="1"/>
  <c r="H11" i="10" s="1"/>
  <c r="C11" i="10" a="1"/>
  <c r="C11" i="10" s="1"/>
  <c r="E11" i="10" s="1"/>
  <c r="F10" i="10" a="1"/>
  <c r="F10" i="10" s="1"/>
  <c r="H10" i="10" s="1"/>
  <c r="C10" i="10" a="1"/>
  <c r="C10" i="10" s="1"/>
  <c r="E10" i="10" s="1"/>
  <c r="H9" i="10"/>
  <c r="F8" i="10" a="1"/>
  <c r="F8" i="10" s="1"/>
  <c r="H8" i="10" s="1"/>
  <c r="C8" i="10" a="1"/>
  <c r="C8" i="10" s="1"/>
  <c r="E8" i="10" s="1"/>
  <c r="E7" i="10"/>
  <c r="H6" i="10"/>
  <c r="E6" i="10"/>
  <c r="H5" i="10"/>
  <c r="H4" i="10"/>
  <c r="E4" i="10"/>
  <c r="E13" i="6"/>
  <c r="E2" i="6"/>
  <c r="E13" i="7"/>
  <c r="E2" i="7"/>
  <c r="E13" i="8"/>
  <c r="E2" i="8"/>
  <c r="E14" i="9"/>
  <c r="E3" i="9"/>
  <c r="E14" i="2"/>
  <c r="A2" i="5" a="1"/>
  <c r="Y10" i="5" s="1"/>
  <c r="E3" i="1" l="1"/>
  <c r="C10" i="12"/>
  <c r="E10" i="12" s="1"/>
  <c r="H15" i="10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" i="5"/>
  <c r="Y3" i="5"/>
  <c r="Y4" i="5"/>
  <c r="Y5" i="5"/>
  <c r="Y6" i="5"/>
  <c r="Y7" i="5"/>
  <c r="Y8" i="5"/>
  <c r="Y9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E8" i="12"/>
  <c r="F4" i="12"/>
  <c r="H4" i="12" s="1"/>
  <c r="C4" i="12"/>
  <c r="E4" i="12" s="1"/>
  <c r="C6" i="12"/>
  <c r="E6" i="12" s="1"/>
  <c r="H8" i="12" s="1"/>
  <c r="E3" i="2"/>
  <c r="E15" i="10"/>
  <c r="F4" i="11"/>
  <c r="H4" i="11" s="1"/>
  <c r="E7" i="11"/>
  <c r="C4" i="11"/>
  <c r="E4" i="11" s="1"/>
  <c r="E15" i="11" s="1"/>
  <c r="H7" i="11"/>
  <c r="E14" i="1"/>
  <c r="A2" i="5"/>
  <c r="F5" i="12" l="1"/>
  <c r="H5" i="12" s="1"/>
  <c r="H16" i="12" s="1"/>
  <c r="C5" i="12"/>
  <c r="E5" i="12" s="1"/>
  <c r="E16" i="12" s="1"/>
  <c r="H1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<sst xmlns="http://schemas.openxmlformats.org/spreadsheetml/2006/main" count="522" uniqueCount="171">
  <si>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</si>
  <si>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</si>
  <si>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</si>
  <si>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</si>
  <si>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</si>
  <si>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</si>
  <si>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</si>
  <si>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</si>
  <si>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</si>
  <si>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</si>
  <si>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</si>
  <si>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</si>
  <si>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</si>
  <si>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</si>
  <si>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</si>
  <si>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</si>
  <si>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</si>
  <si>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</si>
  <si>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</si>
  <si>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</si>
  <si>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</si>
  <si>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</si>
  <si>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</si>
  <si>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</si>
  <si>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.</t>
  </si>
  <si>
    <t xml:space="preserve">	09-09-2026</t>
  </si>
  <si>
    <t xml:space="preserve">	07-09-2026</t>
  </si>
  <si>
    <t>No.</t>
  </si>
  <si>
    <t>Unit Kerja</t>
  </si>
  <si>
    <t>PIC RAC</t>
  </si>
  <si>
    <t>%TL PEP Done</t>
  </si>
  <si>
    <t>Average</t>
  </si>
  <si>
    <t>KC Batang</t>
  </si>
  <si>
    <t>Syamsul Arifianto</t>
  </si>
  <si>
    <t>KC Blora</t>
  </si>
  <si>
    <t>KC Cepu</t>
  </si>
  <si>
    <t>KC Kendal</t>
  </si>
  <si>
    <t>KC Pati</t>
  </si>
  <si>
    <t>KC Pekalongan</t>
  </si>
  <si>
    <t>KC Pemalang</t>
  </si>
  <si>
    <t>KC Rembang</t>
  </si>
  <si>
    <t>KC Salatiga</t>
  </si>
  <si>
    <t>KC Brigjen Sudiarto</t>
  </si>
  <si>
    <t>KC Semarang Patimura</t>
  </si>
  <si>
    <t>KC Brebes</t>
  </si>
  <si>
    <t>Veronica Dwi Kurniasih</t>
  </si>
  <si>
    <t>KC Bumiayu</t>
  </si>
  <si>
    <t>KC Demak</t>
  </si>
  <si>
    <t>KC Jepara</t>
  </si>
  <si>
    <t>KC Kudus</t>
  </si>
  <si>
    <t>KC Purwodadi</t>
  </si>
  <si>
    <t>KC Semarang A. Yani</t>
  </si>
  <si>
    <t>KC Semarang Pandanaran</t>
  </si>
  <si>
    <t>KC Slawi</t>
  </si>
  <si>
    <t>KC Tegal</t>
  </si>
  <si>
    <t>KC Ungaran</t>
  </si>
  <si>
    <t>%Pengkinian Data</t>
  </si>
  <si>
    <t>KC Semarang Ahmad Yani</t>
  </si>
  <si>
    <t>KC Semarang Brigjen Sudiarto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</si>
  <si>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</si>
  <si>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</si>
  <si>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</si>
  <si>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</si>
  <si>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</si>
  <si>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</si>
  <si>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</si>
  <si>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</si>
  <si>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</si>
  <si>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</si>
  <si>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</si>
  <si>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</si>
  <si>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</si>
  <si>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</si>
  <si>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</si>
  <si>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</si>
  <si>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</si>
  <si>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</si>
  <si>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</si>
  <si>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</si>
  <si>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</si>
  <si>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</si>
  <si>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</si>
  <si>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</si>
  <si>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</si>
  <si>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</si>
  <si>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</si>
  <si>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</si>
  <si>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</si>
  <si>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</si>
  <si>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</si>
  <si>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</si>
  <si>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</si>
  <si>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</si>
  <si>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</si>
  <si>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</si>
  <si>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</si>
  <si>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</si>
  <si>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</si>
  <si>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</si>
  <si>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</si>
  <si>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1 Oktober 2026</t>
  </si>
  <si>
    <t>2 Oktober 2026</t>
  </si>
  <si>
    <t>5 Oktober 2026</t>
  </si>
  <si>
    <t>6 Oktober 2026</t>
  </si>
  <si>
    <t>7 Oktober 2026</t>
  </si>
  <si>
    <t>8 Oktober 2026</t>
  </si>
  <si>
    <t>9 Oktober 2026</t>
  </si>
  <si>
    <t>12 Oktober 2026</t>
  </si>
  <si>
    <t>13 Oktober 2026</t>
  </si>
  <si>
    <t>14 Oktober 2026</t>
  </si>
  <si>
    <t>15 Oktober 2026</t>
  </si>
  <si>
    <t>16 Oktober 2026</t>
  </si>
  <si>
    <t>19 Oktober 2026</t>
  </si>
  <si>
    <t>20 Oktober 2026</t>
  </si>
  <si>
    <t>21 Oktober 2026</t>
  </si>
  <si>
    <t>22 Oktober 2026</t>
  </si>
  <si>
    <t>**https://bri2-my.sharepoint.com/:f:/g/personal/00136153_hq_bri_co_id/IgDa3hABZ1toR7yxMRAO163UAXn4_97WpTspKfjy6Z32Xms?e=UtcLii</t>
  </si>
  <si>
    <t>4.Kertas Kerja</t>
  </si>
  <si>
    <t>5. Laporan Uji Petik</t>
  </si>
  <si>
    <t>Nilai maturitas</t>
  </si>
  <si>
    <t>Rating maturitas</t>
  </si>
  <si>
    <t>BO Batang</t>
  </si>
  <si>
    <t>B</t>
  </si>
  <si>
    <t>BO Blora</t>
  </si>
  <si>
    <t>BO Cepu</t>
  </si>
  <si>
    <t>BO Kendal</t>
  </si>
  <si>
    <t>BO Pati</t>
  </si>
  <si>
    <t>BO Pekalongan</t>
  </si>
  <si>
    <t>BO Pemalang</t>
  </si>
  <si>
    <t>BO Rembang</t>
  </si>
  <si>
    <t>BO Salatiga</t>
  </si>
  <si>
    <t>BO Semarang Brigjen Sudiarto</t>
  </si>
  <si>
    <t>BO Semarang Patimura</t>
  </si>
  <si>
    <t>BO Brebes</t>
  </si>
  <si>
    <t>AB</t>
  </si>
  <si>
    <t>BO Bumiayu</t>
  </si>
  <si>
    <t>BO Demak</t>
  </si>
  <si>
    <t>BO Jepara</t>
  </si>
  <si>
    <t>BO Kudus</t>
  </si>
  <si>
    <t>BO Purwodadi</t>
  </si>
  <si>
    <t>BO Semarang Ahmad Yani</t>
  </si>
  <si>
    <t>BO Semarang Pandanaran</t>
  </si>
  <si>
    <t>BO Slawi</t>
  </si>
  <si>
    <t>BO Tegal</t>
  </si>
  <si>
    <t>BO Ungaran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</si>
  <si>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</si>
  <si>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</si>
  <si>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</si>
  <si>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</si>
  <si>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</si>
  <si>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</si>
  <si>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</si>
  <si>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CB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</si>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</sst>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4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5" fillId="3" borderId="4" xfId="0" applyNumberFormat="1" applyFont="1" applyFill="1" applyBorder="1"/>
    <xf numFmtId="0" fontId="5" fillId="3" borderId="4" xfId="0" applyFont="1" applyFill="1" applyBorder="1"/>
    <xf numFmtId="0" fontId="6" fillId="0" borderId="5" xfId="0" applyFont="1" applyBorder="1"/>
    <xf numFmtId="0" fontId="6" fillId="0" borderId="6" xfId="0" applyFont="1" applyBorder="1"/>
    <xf numFmtId="15" fontId="0" fillId="0" borderId="1" xfId="0" applyNumberFormat="1" applyBorder="1"/>
    <xf numFmtId="0" fontId="1" fillId="2" borderId="7" xfId="0" applyFont="1" applyFill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0" fontId="0" fillId="0" borderId="10" xfId="0" applyBorder="1"/>
    <xf numFmtId="0" fontId="6" fillId="5" borderId="3" xfId="0" applyFont="1" applyFill="1" applyBorder="1"/>
    <xf numFmtId="0" fontId="6" fillId="0" borderId="3" xfId="0" applyFont="1" applyBorder="1"/>
    <xf numFmtId="1" fontId="3" fillId="0" borderId="10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15" fontId="1" fillId="2" borderId="4" xfId="0" applyNumberFormat="1" applyFont="1" applyFill="1" applyBorder="1"/>
    <xf numFmtId="9" fontId="0" fillId="0" borderId="3" xfId="0" applyNumberFormat="1" applyBorder="1"/>
    <xf numFmtId="10" fontId="0" fillId="0" borderId="3" xfId="1" applyNumberFormat="1" applyFont="1" applyBorder="1"/>
    <xf numFmtId="10" fontId="0" fillId="0" borderId="1" xfId="1" applyNumberFormat="1" applyFont="1" applyBorder="1"/>
    <xf numFmtId="164" fontId="8" fillId="0" borderId="5" xfId="0" applyNumberFormat="1" applyFont="1" applyBorder="1"/>
    <xf numFmtId="0" fontId="7" fillId="0" borderId="5" xfId="0" applyFont="1" applyBorder="1"/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left" vertical="center"/>
    </xf>
    <xf numFmtId="164" fontId="10" fillId="0" borderId="4" xfId="0" applyNumberFormat="1" applyFont="1" applyBorder="1" applyAlignment="1">
      <alignment horizontal="center"/>
    </xf>
    <xf numFmtId="9" fontId="10" fillId="0" borderId="4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8" fillId="0" borderId="4" xfId="1" applyNumberFormat="1" applyFont="1" applyBorder="1" applyAlignment="1">
      <alignment horizontal="center" vertical="center"/>
    </xf>
    <xf numFmtId="10" fontId="8" fillId="0" borderId="8" xfId="1" applyNumberFormat="1" applyFont="1" applyBorder="1" applyAlignment="1">
      <alignment horizontal="center" vertical="center"/>
    </xf>
    <xf numFmtId="10" fontId="8" fillId="0" borderId="9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0%20-%20Semarang/Data%20Evaluasi%20Semarang.xlsx" TargetMode="External"/><Relationship Id="rId2" Type="http://schemas.openxmlformats.org/officeDocument/2006/relationships/externalLinkPath" Target="https://bri2-my.sharepoint.com/personal/00136153_hq_bri_co_id/Documents/Assurance%20Team/RAC%20Team/Moneva/Region%2010%20-%20Semarang/Data%20Evaluasi%20Semarang.xlsx" TargetMode="External"/><Relationship Id="rId1" Type="http://schemas.openxmlformats.org/officeDocument/2006/relationships/externalLinkPath" Target="/personal/00136153_hq_bri_co_id/Documents/Assurance%20Team/RAC%20Team/Moneva/Region%2010%20-%20Semarang/Data%20Evaluasi%20Semara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TKM/10.%20Penilaian%20Region%2010%20Semarang.xlsx" TargetMode="External"/><Relationship Id="rId2" Type="http://schemas.openxmlformats.org/officeDocument/2006/relationships/externalLinkPath" Target="https://bri2-my.sharepoint.com/personal/00136153_hq_bri_co_id/Documents/Assurance%20Team/00%20-%20Data%20RAC/LTKM/10.%20Penilaian%20Region%2010%20Semarang.xlsx" TargetMode="External"/><Relationship Id="rId1" Type="http://schemas.openxmlformats.org/officeDocument/2006/relationships/externalLinkPath" Target="/personal/00136153_hq_bri_co_id/Documents/Assurance%20Team/00%20-%20Data%20RAC/LTKM/10.%20Penilaian%20Region%2010%20Semar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VPQHKLJTMWA5BZ4IDE44ZI47CH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V2" t="str">
            <v>Syamsul Arifianto</v>
          </cell>
          <cell r="X2" t="b">
            <v>1</v>
          </cell>
        </row>
        <row r="3">
          <cell r="V3" t="str">
            <v>Veronica Dwi Kurniasih</v>
          </cell>
          <cell r="X3" t="b">
            <v>1</v>
          </cell>
        </row>
        <row r="4">
          <cell r="V4" t="str">
            <v>Veronica Dwi Kurniasih</v>
          </cell>
          <cell r="X4" t="b">
            <v>1</v>
          </cell>
        </row>
        <row r="5">
          <cell r="V5" t="str">
            <v>Syamsul Arifianto</v>
          </cell>
          <cell r="X5" t="b">
            <v>1</v>
          </cell>
        </row>
        <row r="6">
          <cell r="V6" t="str">
            <v>Syamsul Arifianto</v>
          </cell>
          <cell r="X6" t="b">
            <v>1</v>
          </cell>
        </row>
        <row r="7">
          <cell r="V7" t="str">
            <v>Syamsul Arifianto</v>
          </cell>
          <cell r="X7" t="b">
            <v>1</v>
          </cell>
        </row>
        <row r="8">
          <cell r="V8" t="str">
            <v>Veronica Dwi Kurniasih</v>
          </cell>
          <cell r="X8" t="b">
            <v>1</v>
          </cell>
        </row>
        <row r="9">
          <cell r="V9" t="str">
            <v>Veronica Dwi Kurniasih</v>
          </cell>
          <cell r="X9" t="b">
            <v>1</v>
          </cell>
        </row>
        <row r="10">
          <cell r="V10" t="str">
            <v>Syamsul Arifianto</v>
          </cell>
          <cell r="X10" t="b">
            <v>1</v>
          </cell>
        </row>
        <row r="11">
          <cell r="V11" t="str">
            <v>Veronica Dwi Kurniasih</v>
          </cell>
          <cell r="X11" t="b">
            <v>1</v>
          </cell>
        </row>
        <row r="12">
          <cell r="V12" t="str">
            <v>Veronica Dwi Kurniasih</v>
          </cell>
          <cell r="X12" t="b">
            <v>1</v>
          </cell>
        </row>
        <row r="13">
          <cell r="V13" t="str">
            <v>Veronica Dwi Kurniasih</v>
          </cell>
          <cell r="X13" t="b">
            <v>1</v>
          </cell>
        </row>
        <row r="14">
          <cell r="V14" t="str">
            <v>Veronica Dwi Kurniasih</v>
          </cell>
          <cell r="X14" t="b">
            <v>1</v>
          </cell>
        </row>
        <row r="15">
          <cell r="V15" t="str">
            <v>Veronica Dwi Kurniasih</v>
          </cell>
          <cell r="X15" t="b">
            <v>1</v>
          </cell>
        </row>
        <row r="16">
          <cell r="V16" t="str">
            <v>Syamsul Arifianto</v>
          </cell>
          <cell r="X16" t="b">
            <v>1</v>
          </cell>
        </row>
        <row r="17">
          <cell r="V17" t="str">
            <v>Veronica Dwi Kurniasih</v>
          </cell>
          <cell r="X17" t="b">
            <v>1</v>
          </cell>
        </row>
        <row r="18">
          <cell r="V18" t="str">
            <v>Syamsul Arifianto</v>
          </cell>
          <cell r="X18" t="b">
            <v>1</v>
          </cell>
        </row>
        <row r="19">
          <cell r="V19" t="str">
            <v>Syamsul Arifianto</v>
          </cell>
          <cell r="X19" t="b">
            <v>1</v>
          </cell>
        </row>
        <row r="20">
          <cell r="V20" t="str">
            <v>Veronica Dwi Kurniasih</v>
          </cell>
          <cell r="X20" t="b">
            <v>1</v>
          </cell>
        </row>
        <row r="21">
          <cell r="V21" t="str">
            <v>Veronica Dwi Kurniasih</v>
          </cell>
          <cell r="X21" t="b">
            <v>1</v>
          </cell>
        </row>
        <row r="22">
          <cell r="V22" t="str">
            <v>Veronica Dwi Kurniasih</v>
          </cell>
          <cell r="X22" t="b">
            <v>1</v>
          </cell>
        </row>
        <row r="23">
          <cell r="V23" t="str">
            <v>Syamsul Arifianto</v>
          </cell>
          <cell r="X23" t="b">
            <v>1</v>
          </cell>
        </row>
        <row r="24">
          <cell r="V24" t="str">
            <v>Veronica Dwi Kurniasih</v>
          </cell>
          <cell r="X24" t="b">
            <v>1</v>
          </cell>
        </row>
        <row r="25">
          <cell r="V25" t="str">
            <v>Veronica Dwi Kurniasih</v>
          </cell>
          <cell r="X25" t="b">
            <v>1</v>
          </cell>
        </row>
        <row r="26">
          <cell r="V26" t="str">
            <v>Veronica Dwi Kurniasih</v>
          </cell>
          <cell r="X26" t="b">
            <v>1</v>
          </cell>
        </row>
        <row r="27">
          <cell r="V27" t="str">
            <v>Veronica Dwi Kurniasih</v>
          </cell>
          <cell r="X27" t="b">
            <v>1</v>
          </cell>
        </row>
        <row r="28">
          <cell r="V28" t="str">
            <v>Veronica Dwi Kurniasih</v>
          </cell>
          <cell r="X28" t="b">
            <v>1</v>
          </cell>
        </row>
        <row r="29">
          <cell r="V29" t="str">
            <v>Veronica Dwi Kurniasih</v>
          </cell>
          <cell r="X29" t="b">
            <v>1</v>
          </cell>
        </row>
        <row r="30">
          <cell r="V30" t="str">
            <v>Veronica Dwi Kurniasih</v>
          </cell>
          <cell r="X30" t="b">
            <v>1</v>
          </cell>
        </row>
        <row r="31">
          <cell r="V31" t="str">
            <v>Veronica Dwi Kurniasih</v>
          </cell>
          <cell r="X31" t="b">
            <v>1</v>
          </cell>
        </row>
        <row r="32">
          <cell r="V32" t="str">
            <v>Veronica Dwi Kurniasih</v>
          </cell>
          <cell r="X32" t="b">
            <v>1</v>
          </cell>
        </row>
        <row r="33">
          <cell r="V33" t="str">
            <v>Veronica Dwi Kurniasih</v>
          </cell>
          <cell r="X33" t="b">
            <v>1</v>
          </cell>
        </row>
        <row r="34">
          <cell r="V34" t="str">
            <v>Veronica Dwi Kurniasih</v>
          </cell>
          <cell r="X34" t="b">
            <v>1</v>
          </cell>
        </row>
        <row r="35">
          <cell r="V35" t="str">
            <v>Veronica Dwi Kurniasih</v>
          </cell>
          <cell r="X35" t="b">
            <v>1</v>
          </cell>
        </row>
        <row r="36">
          <cell r="V36" t="str">
            <v>Veronica Dwi Kurniasih</v>
          </cell>
          <cell r="X36" t="b">
            <v>1</v>
          </cell>
        </row>
        <row r="37">
          <cell r="V37" t="str">
            <v>Syamsul Arifianto</v>
          </cell>
          <cell r="X37" t="b">
            <v>1</v>
          </cell>
        </row>
        <row r="38">
          <cell r="V38" t="str">
            <v>Veronica Dwi Kurniasih</v>
          </cell>
          <cell r="X38" t="b">
            <v>1</v>
          </cell>
        </row>
        <row r="39">
          <cell r="V39" t="str">
            <v>Veronica Dwi Kurniasih</v>
          </cell>
          <cell r="X39" t="b">
            <v>1</v>
          </cell>
        </row>
        <row r="40">
          <cell r="V40" t="str">
            <v>Veronica Dwi Kurniasih</v>
          </cell>
          <cell r="X40" t="b">
            <v>1</v>
          </cell>
        </row>
        <row r="41">
          <cell r="V41" t="str">
            <v>Veronica Dwi Kurniasih</v>
          </cell>
          <cell r="X41" t="b">
            <v>1</v>
          </cell>
        </row>
        <row r="42">
          <cell r="V42" t="str">
            <v>Veronica Dwi Kurniasih</v>
          </cell>
          <cell r="X42" t="b">
            <v>1</v>
          </cell>
        </row>
        <row r="43">
          <cell r="V43" t="str">
            <v>Veronica Dwi Kurniasih</v>
          </cell>
          <cell r="X43" t="b">
            <v>1</v>
          </cell>
        </row>
        <row r="44">
          <cell r="V44" t="str">
            <v>Veronica Dwi Kurniasih</v>
          </cell>
          <cell r="X44" t="b">
            <v>1</v>
          </cell>
        </row>
        <row r="45">
          <cell r="V45" t="str">
            <v>Veronica Dwi Kurniasih</v>
          </cell>
          <cell r="X45" t="b">
            <v>1</v>
          </cell>
        </row>
        <row r="46">
          <cell r="V46" t="str">
            <v>Veronica Dwi Kurniasih</v>
          </cell>
          <cell r="X46" t="b">
            <v>1</v>
          </cell>
        </row>
        <row r="47">
          <cell r="V47" t="str">
            <v>Veronica Dwi Kurniasih</v>
          </cell>
          <cell r="X47" t="b">
            <v>1</v>
          </cell>
        </row>
        <row r="48">
          <cell r="V48" t="str">
            <v>Veronica Dwi Kurniasih</v>
          </cell>
          <cell r="X48" t="b">
            <v>1</v>
          </cell>
        </row>
        <row r="49">
          <cell r="V49" t="str">
            <v>Syamsul Arifianto</v>
          </cell>
          <cell r="X49" t="b">
            <v>1</v>
          </cell>
        </row>
        <row r="50">
          <cell r="V50" t="str">
            <v>Syamsul Arifianto</v>
          </cell>
          <cell r="X50" t="b">
            <v>1</v>
          </cell>
        </row>
        <row r="51">
          <cell r="V51" t="str">
            <v>Syamsul Arifianto</v>
          </cell>
          <cell r="X51" t="b">
            <v>1</v>
          </cell>
        </row>
        <row r="52">
          <cell r="V52" t="str">
            <v>Syamsul Arifianto</v>
          </cell>
          <cell r="X52" t="b">
            <v>1</v>
          </cell>
        </row>
        <row r="53">
          <cell r="V53" t="str">
            <v>Veronica Dwi Kurniasih</v>
          </cell>
          <cell r="X53" t="b">
            <v>1</v>
          </cell>
        </row>
        <row r="54">
          <cell r="V54" t="str">
            <v>Veronica Dwi Kurniasih</v>
          </cell>
          <cell r="X54" t="b">
            <v>1</v>
          </cell>
        </row>
        <row r="55">
          <cell r="V55" t="str">
            <v>Syamsul Arifianto</v>
          </cell>
          <cell r="X55" t="b">
            <v>1</v>
          </cell>
        </row>
        <row r="56">
          <cell r="V56" t="str">
            <v>Veronica Dwi Kurniasih</v>
          </cell>
          <cell r="X56" t="b">
            <v>1</v>
          </cell>
        </row>
        <row r="57">
          <cell r="V57" t="str">
            <v>Veronica Dwi Kurniasih</v>
          </cell>
          <cell r="X57" t="b">
            <v>1</v>
          </cell>
        </row>
        <row r="58">
          <cell r="V58" t="str">
            <v>Syamsul Arifianto</v>
          </cell>
          <cell r="X58" t="b">
            <v>1</v>
          </cell>
        </row>
        <row r="59">
          <cell r="V59" t="str">
            <v>Syamsul Arifianto</v>
          </cell>
          <cell r="X59" t="b">
            <v>1</v>
          </cell>
        </row>
        <row r="60">
          <cell r="V60" t="str">
            <v>Veronica Dwi Kurniasih</v>
          </cell>
          <cell r="X60" t="b">
            <v>1</v>
          </cell>
        </row>
        <row r="61">
          <cell r="V61" t="str">
            <v>Veronica Dwi Kurniasih</v>
          </cell>
          <cell r="X61" t="b">
            <v>1</v>
          </cell>
        </row>
        <row r="62">
          <cell r="V62" t="str">
            <v>Veronica Dwi Kurniasih</v>
          </cell>
          <cell r="X62" t="b">
            <v>1</v>
          </cell>
        </row>
        <row r="63">
          <cell r="V63" t="str">
            <v>Syamsul Arifianto</v>
          </cell>
          <cell r="X63" t="b">
            <v>1</v>
          </cell>
        </row>
        <row r="64">
          <cell r="V64" t="str">
            <v>Syamsul Arifianto</v>
          </cell>
          <cell r="X64" t="b">
            <v>1</v>
          </cell>
        </row>
        <row r="65">
          <cell r="V65" t="str">
            <v>Veronica Dwi Kurniasih</v>
          </cell>
          <cell r="X65" t="b">
            <v>1</v>
          </cell>
        </row>
        <row r="66">
          <cell r="V66" t="str">
            <v>Veronica Dwi Kurniasih</v>
          </cell>
          <cell r="X66" t="b">
            <v>1</v>
          </cell>
        </row>
        <row r="67">
          <cell r="V67" t="str">
            <v>Syamsul Arifianto</v>
          </cell>
          <cell r="X67" t="b">
            <v>1</v>
          </cell>
        </row>
        <row r="68">
          <cell r="V68" t="str">
            <v>Veronica Dwi Kurniasih</v>
          </cell>
          <cell r="X68" t="b">
            <v>1</v>
          </cell>
        </row>
        <row r="69">
          <cell r="V69" t="str">
            <v>Veronica Dwi Kurniasih</v>
          </cell>
          <cell r="X69" t="b">
            <v>1</v>
          </cell>
        </row>
        <row r="70">
          <cell r="V70" t="str">
            <v>Veronica Dwi Kurniasih</v>
          </cell>
          <cell r="X70" t="b">
            <v>1</v>
          </cell>
        </row>
        <row r="71">
          <cell r="V71" t="str">
            <v>Syamsul Arifianto</v>
          </cell>
          <cell r="X71" t="b">
            <v>1</v>
          </cell>
        </row>
        <row r="72">
          <cell r="V72" t="str">
            <v>Veronica Dwi Kurniasih</v>
          </cell>
          <cell r="X72" t="b">
            <v>1</v>
          </cell>
        </row>
        <row r="73">
          <cell r="V73" t="str">
            <v>Syamsul Arifianto</v>
          </cell>
          <cell r="X73" t="b">
            <v>1</v>
          </cell>
        </row>
        <row r="74">
          <cell r="V74" t="str">
            <v>Veronica Dwi Kurniasih</v>
          </cell>
          <cell r="X74" t="b">
            <v>1</v>
          </cell>
        </row>
        <row r="75">
          <cell r="V75" t="str">
            <v>Syamsul Arifianto</v>
          </cell>
          <cell r="X75" t="b">
            <v>1</v>
          </cell>
        </row>
        <row r="76">
          <cell r="V76" t="str">
            <v>Syamsul Arifianto</v>
          </cell>
          <cell r="X76" t="b">
            <v>1</v>
          </cell>
        </row>
        <row r="77">
          <cell r="V77" t="str">
            <v>Syamsul Arifianto</v>
          </cell>
          <cell r="X77" t="b">
            <v>1</v>
          </cell>
        </row>
        <row r="78">
          <cell r="V78" t="str">
            <v>Syamsul Arifianto</v>
          </cell>
          <cell r="X78" t="b">
            <v>1</v>
          </cell>
        </row>
        <row r="79">
          <cell r="V79" t="str">
            <v>Veronica Dwi Kurniasih</v>
          </cell>
          <cell r="X79" t="b">
            <v>1</v>
          </cell>
        </row>
        <row r="80">
          <cell r="V80" t="str">
            <v>Syamsul Arifianto</v>
          </cell>
          <cell r="X80" t="b">
            <v>1</v>
          </cell>
        </row>
        <row r="81">
          <cell r="V81" t="str">
            <v>Syamsul Arifianto</v>
          </cell>
          <cell r="X81" t="b">
            <v>1</v>
          </cell>
        </row>
        <row r="82">
          <cell r="V82" t="str">
            <v>Veronica Dwi Kurniasih</v>
          </cell>
          <cell r="X82" t="b">
            <v>1</v>
          </cell>
        </row>
        <row r="83">
          <cell r="V83" t="str">
            <v>Veronica Dwi Kurniasih</v>
          </cell>
          <cell r="X83" t="b">
            <v>1</v>
          </cell>
        </row>
        <row r="84">
          <cell r="V84" t="str">
            <v>Syamsul Arifianto</v>
          </cell>
          <cell r="X84" t="b">
            <v>1</v>
          </cell>
        </row>
        <row r="85">
          <cell r="V85" t="str">
            <v>Syamsul Arifianto</v>
          </cell>
          <cell r="X85" t="b">
            <v>1</v>
          </cell>
        </row>
        <row r="86">
          <cell r="V86" t="str">
            <v>Syamsul Arifianto</v>
          </cell>
          <cell r="X86" t="b">
            <v>1</v>
          </cell>
        </row>
        <row r="87">
          <cell r="V87" t="str">
            <v>Veronica Dwi Kurniasih</v>
          </cell>
          <cell r="X87" t="b">
            <v>1</v>
          </cell>
        </row>
        <row r="88">
          <cell r="V88" t="str">
            <v>Syamsul Arifianto</v>
          </cell>
          <cell r="X88" t="b">
            <v>1</v>
          </cell>
        </row>
        <row r="89">
          <cell r="V89" t="str">
            <v>Veronica Dwi Kurniasih</v>
          </cell>
          <cell r="X89" t="b">
            <v>1</v>
          </cell>
        </row>
        <row r="90">
          <cell r="V90" t="str">
            <v>Veronica Dwi Kurniasih</v>
          </cell>
          <cell r="X90" t="b">
            <v>1</v>
          </cell>
        </row>
        <row r="91">
          <cell r="V91" t="str">
            <v>Syamsul Arifianto</v>
          </cell>
          <cell r="X91" t="b">
            <v>1</v>
          </cell>
        </row>
        <row r="92">
          <cell r="V92" t="str">
            <v>Syamsul Arifianto</v>
          </cell>
          <cell r="X92" t="b">
            <v>1</v>
          </cell>
        </row>
        <row r="93">
          <cell r="V93" t="str">
            <v>Veronica Dwi Kurniasih</v>
          </cell>
          <cell r="X93" t="b">
            <v>1</v>
          </cell>
        </row>
        <row r="94">
          <cell r="V94" t="str">
            <v>Veronica Dwi Kurniasih</v>
          </cell>
          <cell r="X94" t="b">
            <v>1</v>
          </cell>
        </row>
        <row r="95">
          <cell r="V95" t="str">
            <v>Veronica Dwi Kurniasih</v>
          </cell>
          <cell r="X95" t="b">
            <v>1</v>
          </cell>
        </row>
        <row r="96">
          <cell r="V96" t="str">
            <v>Syamsul Arifianto</v>
          </cell>
          <cell r="X96" t="b">
            <v>1</v>
          </cell>
        </row>
        <row r="97">
          <cell r="V97" t="str">
            <v>Syamsul Arifianto</v>
          </cell>
          <cell r="X97" t="b">
            <v>1</v>
          </cell>
        </row>
        <row r="98">
          <cell r="V98" t="str">
            <v>Syamsul Arifianto</v>
          </cell>
          <cell r="X98" t="b">
            <v>1</v>
          </cell>
        </row>
        <row r="99">
          <cell r="V99" t="str">
            <v>Syamsul Arifianto</v>
          </cell>
          <cell r="X99" t="b">
            <v>1</v>
          </cell>
        </row>
        <row r="100">
          <cell r="V100" t="str">
            <v>Veronica Dwi Kurniasih</v>
          </cell>
          <cell r="X100" t="b">
            <v>1</v>
          </cell>
        </row>
        <row r="101">
          <cell r="V101" t="str">
            <v>Syamsul Arifianto</v>
          </cell>
          <cell r="X101" t="b">
            <v>1</v>
          </cell>
        </row>
        <row r="102">
          <cell r="V102" t="str">
            <v>Veronica Dwi Kurniasih</v>
          </cell>
          <cell r="X102" t="b">
            <v>1</v>
          </cell>
        </row>
        <row r="103">
          <cell r="V103" t="str">
            <v>Syamsul Arifianto</v>
          </cell>
          <cell r="X103" t="b">
            <v>1</v>
          </cell>
        </row>
        <row r="104">
          <cell r="V104" t="str">
            <v>Syamsul Arifianto</v>
          </cell>
          <cell r="X104" t="b">
            <v>1</v>
          </cell>
        </row>
        <row r="105">
          <cell r="V105" t="str">
            <v>Syamsul Arifianto</v>
          </cell>
          <cell r="X105" t="b">
            <v>1</v>
          </cell>
        </row>
        <row r="106">
          <cell r="V106" t="str">
            <v>Veronica Dwi Kurniasih</v>
          </cell>
          <cell r="X106" t="b">
            <v>1</v>
          </cell>
        </row>
        <row r="107">
          <cell r="V107" t="str">
            <v>Veronica Dwi Kurniasih</v>
          </cell>
          <cell r="X107" t="b">
            <v>1</v>
          </cell>
        </row>
        <row r="108">
          <cell r="V108" t="str">
            <v>Veronica Dwi Kurniasih</v>
          </cell>
          <cell r="X108" t="b">
            <v>1</v>
          </cell>
        </row>
        <row r="109">
          <cell r="V109" t="str">
            <v>Syamsul Arifianto</v>
          </cell>
          <cell r="X109" t="b">
            <v>1</v>
          </cell>
        </row>
        <row r="110">
          <cell r="V110" t="str">
            <v>Veronica Dwi Kurniasih</v>
          </cell>
          <cell r="X110" t="b">
            <v>1</v>
          </cell>
        </row>
        <row r="111">
          <cell r="V111" t="str">
            <v>Syamsul Arifianto</v>
          </cell>
          <cell r="X111" t="b">
            <v>1</v>
          </cell>
        </row>
        <row r="112">
          <cell r="V112" t="str">
            <v>Syamsul Arifianto</v>
          </cell>
          <cell r="X112" t="b">
            <v>1</v>
          </cell>
        </row>
        <row r="113">
          <cell r="V113" t="str">
            <v>Veronica Dwi Kurniasih</v>
          </cell>
          <cell r="X113" t="b">
            <v>1</v>
          </cell>
        </row>
        <row r="114">
          <cell r="V114" t="str">
            <v>Veronica Dwi Kurniasih</v>
          </cell>
          <cell r="X114" t="b">
            <v>1</v>
          </cell>
        </row>
        <row r="115">
          <cell r="V115" t="str">
            <v>Veronica Dwi Kurniasih</v>
          </cell>
          <cell r="X115" t="b">
            <v>1</v>
          </cell>
        </row>
        <row r="116">
          <cell r="V116" t="str">
            <v>Syamsul Arifianto</v>
          </cell>
          <cell r="X116" t="b">
            <v>1</v>
          </cell>
        </row>
        <row r="117">
          <cell r="V117" t="str">
            <v>Syamsul Arifianto</v>
          </cell>
          <cell r="X117" t="b">
            <v>1</v>
          </cell>
        </row>
        <row r="118">
          <cell r="V118" t="str">
            <v>Veronica Dwi Kurniasih</v>
          </cell>
          <cell r="X118" t="b">
            <v>1</v>
          </cell>
        </row>
        <row r="119">
          <cell r="V119" t="str">
            <v>Syamsul Arifianto</v>
          </cell>
          <cell r="X119" t="b">
            <v>1</v>
          </cell>
        </row>
        <row r="120">
          <cell r="V120" t="str">
            <v>Veronica Dwi Kurniasih</v>
          </cell>
          <cell r="X120" t="b">
            <v>1</v>
          </cell>
        </row>
        <row r="121">
          <cell r="V121" t="str">
            <v>Syamsul Arifianto</v>
          </cell>
          <cell r="X121" t="b">
            <v>1</v>
          </cell>
        </row>
        <row r="122">
          <cell r="V122" t="str">
            <v>Syamsul Arifianto</v>
          </cell>
          <cell r="X122" t="b">
            <v>1</v>
          </cell>
        </row>
        <row r="123">
          <cell r="V123" t="str">
            <v>Veronica Dwi Kurniasih</v>
          </cell>
          <cell r="X123" t="b">
            <v>1</v>
          </cell>
        </row>
        <row r="124">
          <cell r="V124" t="str">
            <v>Veronica Dwi Kurniasih</v>
          </cell>
          <cell r="X124" t="b">
            <v>1</v>
          </cell>
        </row>
        <row r="125">
          <cell r="V125" t="str">
            <v>Syamsul Arifianto</v>
          </cell>
          <cell r="X125" t="b">
            <v>1</v>
          </cell>
        </row>
        <row r="126">
          <cell r="V126" t="str">
            <v>Syamsul Arifianto</v>
          </cell>
          <cell r="X126" t="b">
            <v>1</v>
          </cell>
        </row>
        <row r="127">
          <cell r="V127" t="str">
            <v>Veronica Dwi Kurniasih</v>
          </cell>
          <cell r="X127" t="b">
            <v>1</v>
          </cell>
        </row>
        <row r="128">
          <cell r="V128" t="str">
            <v>Syamsul Arifianto</v>
          </cell>
          <cell r="X128" t="b">
            <v>1</v>
          </cell>
        </row>
        <row r="129">
          <cell r="V129" t="str">
            <v>Veronica Dwi Kurniasih</v>
          </cell>
          <cell r="X129" t="b">
            <v>1</v>
          </cell>
        </row>
        <row r="130">
          <cell r="V130" t="str">
            <v>Syamsul Arifianto</v>
          </cell>
          <cell r="X130" t="b">
            <v>1</v>
          </cell>
        </row>
        <row r="131">
          <cell r="V131" t="str">
            <v>Veronica Dwi Kurniasih</v>
          </cell>
          <cell r="X131" t="b">
            <v>1</v>
          </cell>
        </row>
        <row r="132">
          <cell r="V132" t="str">
            <v>Syamsul Arifianto</v>
          </cell>
          <cell r="X132" t="b">
            <v>1</v>
          </cell>
        </row>
        <row r="133">
          <cell r="V133" t="str">
            <v>Veronica Dwi Kurniasih</v>
          </cell>
          <cell r="X133" t="b">
            <v>1</v>
          </cell>
        </row>
        <row r="134">
          <cell r="V134" t="str">
            <v>Syamsul Arifianto</v>
          </cell>
          <cell r="X134" t="b">
            <v>1</v>
          </cell>
        </row>
        <row r="135">
          <cell r="V135" t="str">
            <v>Syamsul Arifianto</v>
          </cell>
          <cell r="X135" t="b">
            <v>1</v>
          </cell>
        </row>
        <row r="136">
          <cell r="V136" t="str">
            <v>Veronica Dwi Kurniasih</v>
          </cell>
          <cell r="X136" t="b">
            <v>1</v>
          </cell>
        </row>
        <row r="137">
          <cell r="V137" t="str">
            <v>Syamsul Arifianto</v>
          </cell>
          <cell r="X137" t="b">
            <v>1</v>
          </cell>
        </row>
        <row r="138">
          <cell r="V138" t="str">
            <v>Syamsul Arifianto</v>
          </cell>
          <cell r="X138" t="b">
            <v>1</v>
          </cell>
        </row>
        <row r="139">
          <cell r="V139" t="str">
            <v>Veronica Dwi Kurniasih</v>
          </cell>
          <cell r="X139" t="b">
            <v>1</v>
          </cell>
        </row>
        <row r="140">
          <cell r="V140" t="str">
            <v>Syamsul Arifianto</v>
          </cell>
          <cell r="X140" t="b">
            <v>1</v>
          </cell>
        </row>
        <row r="141">
          <cell r="V141" t="str">
            <v>Veronica Dwi Kurniasih</v>
          </cell>
          <cell r="X141" t="b">
            <v>1</v>
          </cell>
        </row>
        <row r="142">
          <cell r="V142" t="str">
            <v>Veronica Dwi Kurniasih</v>
          </cell>
          <cell r="X142" t="b">
            <v>1</v>
          </cell>
        </row>
        <row r="143">
          <cell r="V143" t="str">
            <v>Syamsul Arifianto</v>
          </cell>
          <cell r="X143" t="b">
            <v>1</v>
          </cell>
        </row>
        <row r="144">
          <cell r="V144" t="str">
            <v>Syamsul Arifianto</v>
          </cell>
          <cell r="X144" t="b">
            <v>1</v>
          </cell>
        </row>
        <row r="145">
          <cell r="V145" t="str">
            <v>Veronica Dwi Kurniasih</v>
          </cell>
          <cell r="X145" t="b">
            <v>1</v>
          </cell>
        </row>
        <row r="146">
          <cell r="V146" t="str">
            <v>Veronica Dwi Kurniasih</v>
          </cell>
          <cell r="X146" t="b">
            <v>1</v>
          </cell>
        </row>
        <row r="147">
          <cell r="V147" t="str">
            <v>Veronica Dwi Kurniasih</v>
          </cell>
          <cell r="X147" t="b">
            <v>1</v>
          </cell>
        </row>
        <row r="148">
          <cell r="V148" t="str">
            <v>Syamsul Arifianto</v>
          </cell>
          <cell r="X148" t="b">
            <v>1</v>
          </cell>
        </row>
        <row r="149">
          <cell r="V149" t="str">
            <v>Syamsul Arifianto</v>
          </cell>
          <cell r="X149" t="b">
            <v>1</v>
          </cell>
        </row>
        <row r="150">
          <cell r="V150" t="str">
            <v>Syamsul Arifianto</v>
          </cell>
          <cell r="X150" t="b">
            <v>1</v>
          </cell>
        </row>
        <row r="151">
          <cell r="V151" t="str">
            <v>Veronica Dwi Kurniasih</v>
          </cell>
          <cell r="X151" t="b">
            <v>1</v>
          </cell>
        </row>
        <row r="152">
          <cell r="V152" t="str">
            <v>Syamsul Arifianto</v>
          </cell>
          <cell r="X152" t="b">
            <v>1</v>
          </cell>
        </row>
        <row r="153">
          <cell r="V153" t="str">
            <v>Veronica Dwi Kurniasih</v>
          </cell>
          <cell r="X153" t="b">
            <v>1</v>
          </cell>
        </row>
        <row r="154">
          <cell r="V154" t="str">
            <v>Syamsul Arifianto</v>
          </cell>
          <cell r="X154" t="b">
            <v>1</v>
          </cell>
        </row>
        <row r="155">
          <cell r="V155" t="str">
            <v>Veronica Dwi Kurniasih</v>
          </cell>
          <cell r="X155" t="b">
            <v>1</v>
          </cell>
        </row>
        <row r="156">
          <cell r="V156" t="str">
            <v>Veronica Dwi Kurniasih</v>
          </cell>
          <cell r="X156" t="b">
            <v>1</v>
          </cell>
        </row>
        <row r="157">
          <cell r="V157" t="str">
            <v>Syamsul Arifianto</v>
          </cell>
          <cell r="X157" t="b">
            <v>1</v>
          </cell>
        </row>
        <row r="158">
          <cell r="V158" t="str">
            <v>Syamsul Arifianto</v>
          </cell>
          <cell r="X158" t="b">
            <v>1</v>
          </cell>
        </row>
        <row r="159">
          <cell r="V159" t="str">
            <v>Syamsul Arifianto</v>
          </cell>
          <cell r="X159" t="b">
            <v>1</v>
          </cell>
        </row>
        <row r="160">
          <cell r="V160" t="str">
            <v>Syamsul Arifianto</v>
          </cell>
          <cell r="X160" t="b">
            <v>1</v>
          </cell>
        </row>
        <row r="161">
          <cell r="V161" t="str">
            <v>Syamsul Arifianto</v>
          </cell>
          <cell r="X161" t="b">
            <v>1</v>
          </cell>
        </row>
        <row r="162">
          <cell r="V162" t="str">
            <v>Syamsul Arifianto</v>
          </cell>
          <cell r="X162" t="b">
            <v>1</v>
          </cell>
        </row>
        <row r="163">
          <cell r="V163" t="str">
            <v>Syamsul Arifianto</v>
          </cell>
          <cell r="X163" t="b">
            <v>1</v>
          </cell>
        </row>
        <row r="164">
          <cell r="V164" t="str">
            <v>Veronica Dwi Kurniasih</v>
          </cell>
          <cell r="X164" t="b">
            <v>1</v>
          </cell>
        </row>
        <row r="165">
          <cell r="V165" t="str">
            <v>Syamsul Arifianto</v>
          </cell>
          <cell r="X165" t="b">
            <v>1</v>
          </cell>
        </row>
        <row r="166">
          <cell r="V166" t="str">
            <v>Veronica Dwi Kurniasih</v>
          </cell>
          <cell r="X166" t="b">
            <v>1</v>
          </cell>
        </row>
        <row r="167">
          <cell r="V167" t="str">
            <v>Syamsul Arifianto</v>
          </cell>
          <cell r="X167" t="b">
            <v>1</v>
          </cell>
        </row>
        <row r="168">
          <cell r="V168" t="str">
            <v>Syamsul Arifianto</v>
          </cell>
          <cell r="X168" t="b">
            <v>1</v>
          </cell>
        </row>
        <row r="169">
          <cell r="V169" t="str">
            <v>Veronica Dwi Kurniasih</v>
          </cell>
          <cell r="X169" t="b">
            <v>1</v>
          </cell>
        </row>
        <row r="170">
          <cell r="V170" t="str">
            <v>Veronica Dwi Kurniasih</v>
          </cell>
          <cell r="X170" t="b">
            <v>1</v>
          </cell>
        </row>
        <row r="171">
          <cell r="V171" t="str">
            <v>Veronica Dwi Kurniasih</v>
          </cell>
          <cell r="X171" t="b">
            <v>1</v>
          </cell>
        </row>
        <row r="172">
          <cell r="V172" t="str">
            <v>Syamsul Arifianto</v>
          </cell>
          <cell r="X172" t="b">
            <v>1</v>
          </cell>
        </row>
        <row r="173">
          <cell r="V173" t="str">
            <v>Syamsul Arifianto</v>
          </cell>
          <cell r="X173" t="b">
            <v>1</v>
          </cell>
        </row>
        <row r="174">
          <cell r="V174" t="str">
            <v>Veronica Dwi Kurniasih</v>
          </cell>
          <cell r="X174" t="b">
            <v>1</v>
          </cell>
        </row>
        <row r="175">
          <cell r="V175" t="str">
            <v>Veronica Dwi Kurniasih</v>
          </cell>
          <cell r="X175" t="b">
            <v>1</v>
          </cell>
        </row>
        <row r="176">
          <cell r="V176" t="str">
            <v>Veronica Dwi Kurniasih</v>
          </cell>
          <cell r="X176" t="b">
            <v>1</v>
          </cell>
        </row>
        <row r="177">
          <cell r="V177" t="str">
            <v>Syamsul Arifianto</v>
          </cell>
          <cell r="X177" t="b">
            <v>1</v>
          </cell>
        </row>
        <row r="178">
          <cell r="V178" t="str">
            <v>Veronica Dwi Kurniasih</v>
          </cell>
          <cell r="X178" t="b">
            <v>1</v>
          </cell>
        </row>
        <row r="179">
          <cell r="V179" t="str">
            <v>Veronica Dwi Kurniasih</v>
          </cell>
          <cell r="X179" t="b">
            <v>1</v>
          </cell>
        </row>
        <row r="180">
          <cell r="V180" t="str">
            <v>Syamsul Arifianto</v>
          </cell>
          <cell r="X180" t="b">
            <v>1</v>
          </cell>
        </row>
        <row r="181">
          <cell r="V181" t="str">
            <v>Veronica Dwi Kurniasih</v>
          </cell>
          <cell r="X181" t="b">
            <v>1</v>
          </cell>
        </row>
        <row r="182">
          <cell r="V182" t="str">
            <v>Syamsul Arifianto</v>
          </cell>
          <cell r="X182" t="b">
            <v>1</v>
          </cell>
        </row>
        <row r="183">
          <cell r="V183" t="str">
            <v>Syamsul Arifianto</v>
          </cell>
          <cell r="X183" t="b">
            <v>1</v>
          </cell>
        </row>
        <row r="184">
          <cell r="V184" t="str">
            <v>Syamsul Arifianto</v>
          </cell>
          <cell r="X184" t="b">
            <v>1</v>
          </cell>
        </row>
        <row r="185">
          <cell r="V185" t="str">
            <v>Syamsul Arifianto</v>
          </cell>
          <cell r="X185" t="b">
            <v>1</v>
          </cell>
        </row>
        <row r="186">
          <cell r="V186" t="str">
            <v>Syamsul Arifianto</v>
          </cell>
          <cell r="X186" t="b">
            <v>1</v>
          </cell>
        </row>
        <row r="187">
          <cell r="V187" t="str">
            <v>Syamsul Arifianto</v>
          </cell>
          <cell r="X187" t="b">
            <v>1</v>
          </cell>
        </row>
        <row r="188">
          <cell r="V188" t="str">
            <v>Syamsul Arifianto</v>
          </cell>
          <cell r="X188" t="b">
            <v>1</v>
          </cell>
        </row>
        <row r="189">
          <cell r="V189" t="str">
            <v>Syamsul Arifianto</v>
          </cell>
          <cell r="X189" t="b">
            <v>1</v>
          </cell>
        </row>
        <row r="190">
          <cell r="V190" t="str">
            <v>Syamsul Arifianto</v>
          </cell>
          <cell r="X190" t="b">
            <v>1</v>
          </cell>
        </row>
        <row r="191">
          <cell r="V191" t="str">
            <v>Syamsul Arifianto</v>
          </cell>
          <cell r="X191" t="b">
            <v>1</v>
          </cell>
        </row>
        <row r="192">
          <cell r="V192" t="str">
            <v>Syamsul Arifianto</v>
          </cell>
          <cell r="X192" t="b">
            <v>1</v>
          </cell>
        </row>
        <row r="193">
          <cell r="V193" t="str">
            <v>Syamsul Arifianto</v>
          </cell>
          <cell r="X193" t="b">
            <v>1</v>
          </cell>
        </row>
        <row r="194">
          <cell r="V194" t="str">
            <v>Syamsul Arifianto</v>
          </cell>
          <cell r="X194" t="b">
            <v>1</v>
          </cell>
        </row>
        <row r="195">
          <cell r="V195" t="str">
            <v>Syamsul Arifianto</v>
          </cell>
          <cell r="X195" t="b">
            <v>1</v>
          </cell>
        </row>
        <row r="196">
          <cell r="V196" t="str">
            <v>Veronica Dwi Kurniasih</v>
          </cell>
          <cell r="X196" t="b">
            <v>1</v>
          </cell>
        </row>
        <row r="197">
          <cell r="V197" t="str">
            <v>Syamsul Arifianto</v>
          </cell>
          <cell r="X197" t="b">
            <v>1</v>
          </cell>
        </row>
        <row r="198">
          <cell r="V198" t="str">
            <v>Syamsul Arifianto</v>
          </cell>
          <cell r="X198" t="b">
            <v>1</v>
          </cell>
        </row>
        <row r="199">
          <cell r="V199" t="str">
            <v>Syamsul Arifianto</v>
          </cell>
          <cell r="X199" t="b">
            <v>1</v>
          </cell>
        </row>
        <row r="200">
          <cell r="V200" t="str">
            <v>Syamsul Arifianto</v>
          </cell>
          <cell r="X200" t="b">
            <v>1</v>
          </cell>
        </row>
        <row r="201">
          <cell r="V201" t="str">
            <v>Syamsul Arifianto</v>
          </cell>
          <cell r="X201" t="b">
            <v>1</v>
          </cell>
        </row>
        <row r="202">
          <cell r="V202" t="str">
            <v>Syamsul Arifianto</v>
          </cell>
          <cell r="X202" t="b">
            <v>1</v>
          </cell>
        </row>
        <row r="203">
          <cell r="V203" t="str">
            <v>Syamsul Arifianto</v>
          </cell>
          <cell r="X203" t="b">
            <v>1</v>
          </cell>
        </row>
        <row r="204">
          <cell r="V204" t="str">
            <v>Veronica Dwi Kurniasih</v>
          </cell>
          <cell r="X204" t="b">
            <v>1</v>
          </cell>
        </row>
        <row r="205">
          <cell r="V205"/>
          <cell r="X205" t="b">
            <v>1</v>
          </cell>
        </row>
        <row r="206">
          <cell r="V206"/>
          <cell r="X206" t="b">
            <v>1</v>
          </cell>
        </row>
        <row r="207">
          <cell r="V207"/>
          <cell r="X207" t="b">
            <v>1</v>
          </cell>
        </row>
        <row r="208">
          <cell r="V208"/>
          <cell r="X208" t="b">
            <v>1</v>
          </cell>
        </row>
        <row r="209">
          <cell r="V209" t="str">
            <v>Syamsul Arifianto</v>
          </cell>
          <cell r="X209" t="b">
            <v>1</v>
          </cell>
        </row>
      </sheetData>
      <sheetData sheetId="1"/>
      <sheetData sheetId="2"/>
      <sheetData sheetId="3"/>
      <sheetData sheetId="4">
        <row r="3">
          <cell r="C3" t="str">
            <v>Syamsul Arifianto</v>
          </cell>
          <cell r="E3"/>
        </row>
        <row r="4">
          <cell r="C4" t="str">
            <v>Veronica Dwi Kurniasih</v>
          </cell>
          <cell r="E4"/>
        </row>
        <row r="5">
          <cell r="C5" t="str">
            <v>Veronica Dwi Kurniasih</v>
          </cell>
          <cell r="E5"/>
        </row>
        <row r="6">
          <cell r="C6" t="str">
            <v>Veronica Dwi Kurniasih</v>
          </cell>
          <cell r="E6"/>
        </row>
        <row r="7">
          <cell r="C7" t="str">
            <v>Syamsul Arifianto</v>
          </cell>
          <cell r="E7"/>
        </row>
        <row r="8">
          <cell r="C8" t="str">
            <v>Syamsul Arifianto</v>
          </cell>
          <cell r="E8"/>
        </row>
        <row r="9">
          <cell r="C9" t="str">
            <v>Syamsul Arifianto</v>
          </cell>
          <cell r="E9"/>
        </row>
        <row r="10">
          <cell r="C10" t="str">
            <v>Syamsul Arifianto</v>
          </cell>
          <cell r="E10"/>
        </row>
        <row r="11">
          <cell r="C11" t="str">
            <v>Syamsul Arifianto</v>
          </cell>
          <cell r="E11"/>
        </row>
        <row r="12">
          <cell r="C12" t="str">
            <v>Syamsul Arifianto</v>
          </cell>
          <cell r="E12"/>
        </row>
        <row r="13">
          <cell r="C13" t="str">
            <v>Veronica Dwi Kurniasih</v>
          </cell>
          <cell r="E13"/>
        </row>
        <row r="14">
          <cell r="C14" t="str">
            <v>Veronica Dwi Kurniasih</v>
          </cell>
          <cell r="E14"/>
        </row>
        <row r="15">
          <cell r="C15" t="str">
            <v>Veronica Dwi Kurniasih</v>
          </cell>
          <cell r="E15"/>
        </row>
        <row r="16">
          <cell r="C16" t="str">
            <v>Veronica Dwi Kurniasih</v>
          </cell>
          <cell r="E16"/>
        </row>
        <row r="17">
          <cell r="C17" t="str">
            <v>Veronica Dwi Kurniasih</v>
          </cell>
          <cell r="E17"/>
        </row>
        <row r="18">
          <cell r="C18" t="str">
            <v>Veronica Dwi Kurniasih</v>
          </cell>
          <cell r="E18"/>
        </row>
        <row r="19">
          <cell r="C19" t="str">
            <v>Veronica Dwi Kurniasih</v>
          </cell>
          <cell r="E19"/>
        </row>
        <row r="20">
          <cell r="C20" t="str">
            <v>Veronica Dwi Kurniasih</v>
          </cell>
          <cell r="E20"/>
        </row>
        <row r="21">
          <cell r="C21" t="str">
            <v>Syamsul Arifianto</v>
          </cell>
          <cell r="E21"/>
        </row>
        <row r="22">
          <cell r="C22" t="str">
            <v>Syamsul Arifianto</v>
          </cell>
          <cell r="E22"/>
        </row>
        <row r="23">
          <cell r="C23" t="str">
            <v>Syamsul Arifianto</v>
          </cell>
          <cell r="E23"/>
        </row>
        <row r="24">
          <cell r="C24" t="str">
            <v>Syamsul Arifianto</v>
          </cell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  <sheetName val="Sheet5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/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3HMYZJU2WPZALHJ46FN6XPC5I">
      <xxl21:absoluteUrl r:id="rId2"/>
      <xxl21:relativeUrl r:id="rId3"/>
    </xxl21:alternateUrls>
    <sheetNames>
      <sheetName val="STR"/>
      <sheetName val="BUKAN STR"/>
    </sheetNames>
    <sheetDataSet>
      <sheetData sheetId="0">
        <row r="2">
          <cell r="A2" t="str">
            <v>Nama Nasabah</v>
          </cell>
          <cell r="B2"/>
          <cell r="C2"/>
          <cell r="D2"/>
          <cell r="E2" t="str">
            <v>SUHERMAN</v>
          </cell>
          <cell r="F2" t="str">
            <v>GAGAS TUTUR PAMUNGKAS</v>
          </cell>
          <cell r="G2" t="str">
            <v>FARID AGUS PRIYONO</v>
          </cell>
          <cell r="H2" t="str">
            <v>NADIN ARIN NAJWA</v>
          </cell>
          <cell r="J2"/>
        </row>
        <row r="44">
          <cell r="B44"/>
          <cell r="E44">
            <v>2.2866071428571431</v>
          </cell>
          <cell r="F44">
            <v>2.3598214285714283</v>
          </cell>
          <cell r="G44">
            <v>2.3700892857142861</v>
          </cell>
          <cell r="H44">
            <v>2.3700892857142861</v>
          </cell>
          <cell r="J44">
            <v>2.3466517857142857</v>
          </cell>
          <cell r="K44" t="str">
            <v>CUKUP BAIK (CB)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209"/>
  <sheetViews>
    <sheetView workbookViewId="0">
      <pane xSplit="3" ySplit="1" topLeftCell="V2" activePane="bottomRight" state="frozen"/>
      <selection pane="bottomRight" activeCell="AB20" sqref="AB20"/>
      <selection pane="bottomLeft" activeCell="A2" sqref="A2"/>
      <selection pane="topRight" activeCell="D1" sqref="D1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customWidth="1"/>
    <col min="7" max="7" width="15.85546875" customWidth="1"/>
    <col min="8" max="8" width="15.42578125" customWidth="1"/>
    <col min="9" max="9" width="35.28515625" bestFit="1" customWidth="1"/>
    <col min="10" max="10" width="8.85546875" customWidth="1"/>
    <col min="11" max="11" width="12.5703125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customWidth="1"/>
    <col min="17" max="17" width="18.5703125" customWidth="1"/>
    <col min="18" max="18" width="16.85546875" customWidth="1"/>
    <col min="19" max="19" width="15.7109375" customWidth="1"/>
    <col min="20" max="20" width="32.7109375" customWidth="1"/>
    <col min="21" max="21" width="6.5703125" customWidth="1"/>
    <col min="22" max="22" width="21" bestFit="1" customWidth="1"/>
    <col min="23" max="23" width="10.28515625" bestFit="1" customWidth="1"/>
  </cols>
  <sheetData>
    <row r="1" spans="1:2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</row>
    <row r="2" spans="1:26">
      <c r="A2" s="8" cm="1">
        <f t="array" ref="A2:U209">_xlfn._xlws.FILTER('[3]STR-2026-8-2026-8'!$A:$U, ISNUMBER(SEARCH("Semarang", '[3]STR-2026-8-2026-8'!$O:$O)), "")</f>
        <v>46265</v>
      </c>
      <c r="B2" s="9" t="str">
        <v xml:space="preserve">ADANG FERRI UTOMO                       </v>
      </c>
      <c r="C2" s="9" t="str">
        <v>AAKRU21</v>
      </c>
      <c r="D2" s="9">
        <v>600401025631539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Narkotika - Area Lapas</v>
      </c>
      <c r="J2" s="9">
        <v>63</v>
      </c>
      <c r="K2" s="9">
        <v>48</v>
      </c>
      <c r="L2" s="9" t="str">
        <v>Narkotika</v>
      </c>
      <c r="M2" s="9" t="str">
        <v>UNIT PENGKOL PURWODADI</v>
      </c>
      <c r="N2" s="9" t="str">
        <v>KC Purwodadi</v>
      </c>
      <c r="O2" s="9" t="str">
        <v>Semarang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90186796 - Devito Arya Wiradila</v>
      </c>
      <c r="U2" s="9" t="str">
        <v>"-"</v>
      </c>
      <c r="V2" s="10" t="str">
        <f>IF([1]STR!$V2 = "", "", [1]STR!$V2)</f>
        <v>Syamsul Arifianto</v>
      </c>
      <c r="W2" s="11"/>
      <c r="X2" s="12" t="b">
        <f>[1]STR!$X2</f>
        <v>1</v>
      </c>
      <c r="Y2" t="str">
        <f>_xlfn.XLOOKUP(TRIM(B2), [4]STR!$2:$2,[4]STR!$44:$44, "")</f>
        <v/>
      </c>
    </row>
    <row r="3" spans="1:26">
      <c r="A3" s="8">
        <v>46265</v>
      </c>
      <c r="B3" s="9" t="str">
        <v xml:space="preserve">BUSRO                                   </v>
      </c>
      <c r="C3" s="9" t="str">
        <v>BJM9587</v>
      </c>
      <c r="D3" s="9">
        <v>224001023184506</v>
      </c>
      <c r="E3" s="9">
        <v>0</v>
      </c>
      <c r="F3" s="9" t="str">
        <v>Tidak</v>
      </c>
      <c r="G3" s="9" t="str">
        <v>Tidak</v>
      </c>
      <c r="H3" s="9">
        <v>0</v>
      </c>
      <c r="I3" s="9" t="str">
        <v>Jual Beli Rekening - E channel Trx</v>
      </c>
      <c r="J3" s="9">
        <v>33</v>
      </c>
      <c r="K3" s="9">
        <v>113</v>
      </c>
      <c r="L3" s="9" t="str">
        <v>Narkotika/Judi Online/Penipuan</v>
      </c>
      <c r="M3" s="9" t="str">
        <v xml:space="preserve">KCP KALINYAMATAN                        </v>
      </c>
      <c r="N3" s="9" t="str">
        <v xml:space="preserve">KC Jepara                               </v>
      </c>
      <c r="O3" s="9" t="str">
        <v xml:space="preserve">Semarang   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>
        <v>0</v>
      </c>
      <c r="U3" s="9" t="str">
        <v>"-"</v>
      </c>
      <c r="V3" s="10" t="str">
        <f>IF([1]STR!$V3 = "", "", [1]STR!$V3)</f>
        <v>Veronica Dwi Kurniasih</v>
      </c>
      <c r="W3" s="11"/>
      <c r="X3" s="12" t="b">
        <f>[1]STR!$X3</f>
        <v>1</v>
      </c>
      <c r="Y3" t="str">
        <f>_xlfn.XLOOKUP(TRIM(B3), [4]STR!$2:$2,[4]STR!$44:$44, "")</f>
        <v/>
      </c>
    </row>
    <row r="4" spans="1:26">
      <c r="A4" s="8">
        <v>46265</v>
      </c>
      <c r="B4" s="9" t="str">
        <v xml:space="preserve">DPC PARTAI GERINDRA KABUPATEN TEGAL     </v>
      </c>
      <c r="C4" s="9" t="str">
        <v>DCMH946</v>
      </c>
      <c r="D4" s="9">
        <v>66101000899560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Perpajakan</v>
      </c>
      <c r="J4" s="9">
        <v>48</v>
      </c>
      <c r="K4" s="9">
        <v>41</v>
      </c>
      <c r="L4" s="9" t="str">
        <v>Perpajakan</v>
      </c>
      <c r="M4" s="9" t="str">
        <v xml:space="preserve">KC Slawi                                </v>
      </c>
      <c r="N4" s="9" t="str">
        <v xml:space="preserve">KC Slawi                                </v>
      </c>
      <c r="O4" s="9" t="str">
        <v xml:space="preserve">Semarang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90186790 - Muhammad Alfin Farha</v>
      </c>
      <c r="U4" s="9" t="str">
        <v>"-"</v>
      </c>
      <c r="V4" s="10" t="str">
        <f>IF([1]STR!$V4 = "", "", [1]STR!$V4)</f>
        <v>Veronica Dwi Kurniasih</v>
      </c>
      <c r="W4" s="11">
        <v>46279</v>
      </c>
      <c r="X4" s="12" t="b">
        <f>[1]STR!$X4</f>
        <v>1</v>
      </c>
      <c r="Y4" t="str">
        <f>_xlfn.XLOOKUP(TRIM(B4), [4]STR!$2:$2,[4]STR!$44:$44, "")</f>
        <v/>
      </c>
    </row>
    <row r="5" spans="1:26">
      <c r="A5" s="8">
        <v>46265</v>
      </c>
      <c r="B5" s="9" t="str">
        <v xml:space="preserve">FARID AGUS PRIYONO                      </v>
      </c>
      <c r="C5" s="9" t="str">
        <v>FLI1424</v>
      </c>
      <c r="D5" s="9">
        <v>2201003091301</v>
      </c>
      <c r="E5" s="9" t="str">
        <v>SEDANG</v>
      </c>
      <c r="F5" s="9" t="str">
        <v>Tidak</v>
      </c>
      <c r="G5" s="9" t="str">
        <v>Tidak</v>
      </c>
      <c r="H5" s="9" t="str">
        <v>Tidak</v>
      </c>
      <c r="I5" s="9" t="str">
        <v>Perpajakan</v>
      </c>
      <c r="J5" s="9">
        <v>49</v>
      </c>
      <c r="K5" s="9">
        <v>1.33</v>
      </c>
      <c r="L5" s="9" t="str">
        <v>Perpajakan</v>
      </c>
      <c r="M5" s="9" t="str">
        <v xml:space="preserve">KC Jepara                               </v>
      </c>
      <c r="N5" s="9" t="str">
        <v xml:space="preserve">KC Jepara                               </v>
      </c>
      <c r="O5" s="9" t="str">
        <v xml:space="preserve">Semarang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90185537 - Moh.Khoerul Fajar Ar</v>
      </c>
      <c r="U5" s="9" t="str">
        <v>"-"</v>
      </c>
      <c r="V5" s="10" t="str">
        <f>IF([1]STR!$V5 = "", "", [1]STR!$V5)</f>
        <v>Syamsul Arifianto</v>
      </c>
      <c r="W5" s="11">
        <v>46276</v>
      </c>
      <c r="X5" s="12" t="b">
        <f>[1]STR!$X5</f>
        <v>1</v>
      </c>
      <c r="Y5">
        <f>_xlfn.XLOOKUP(TRIM(B5), [4]STR!$2:$2,[4]STR!$44:$44, "")</f>
        <v>2.3700892857142861</v>
      </c>
      <c r="Z5" t="s">
        <v>24</v>
      </c>
    </row>
    <row r="6" spans="1:26">
      <c r="A6" s="8">
        <v>46265</v>
      </c>
      <c r="B6" s="9" t="str">
        <v xml:space="preserve">GOSHEN ANUGERAH SEJAHTERA               </v>
      </c>
      <c r="C6" s="9" t="str">
        <v>GL45413</v>
      </c>
      <c r="D6" s="9">
        <v>105801000447561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Perpajakan</v>
      </c>
      <c r="J6" s="9">
        <v>48</v>
      </c>
      <c r="K6" s="9">
        <v>41</v>
      </c>
      <c r="L6" s="9" t="str">
        <v>Perpajakan</v>
      </c>
      <c r="M6" s="9" t="str">
        <v xml:space="preserve">KCP HAMKA                               </v>
      </c>
      <c r="N6" s="9" t="str">
        <v xml:space="preserve">KC Semarang Pandanaran                  </v>
      </c>
      <c r="O6" s="9" t="str">
        <v xml:space="preserve">Semarang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00394520 - Frida Akbar Rani</v>
      </c>
      <c r="U6" s="9" t="str">
        <v>"-"</v>
      </c>
      <c r="V6" s="10" t="str">
        <f>IF([1]STR!$V6 = "", "", [1]STR!$V6)</f>
        <v>Syamsul Arifianto</v>
      </c>
      <c r="W6" s="11">
        <v>46275</v>
      </c>
      <c r="X6" s="12" t="b">
        <f>[1]STR!$X6</f>
        <v>1</v>
      </c>
      <c r="Y6" t="str">
        <f>_xlfn.XLOOKUP(TRIM(B6), [4]STR!$2:$2,[4]STR!$44:$44, "")</f>
        <v/>
      </c>
    </row>
    <row r="7" spans="1:26">
      <c r="A7" s="8">
        <v>46265</v>
      </c>
      <c r="B7" s="9" t="str">
        <v xml:space="preserve">ATNA TUKIMAN                            </v>
      </c>
      <c r="C7" s="9" t="str">
        <v>HB96041</v>
      </c>
      <c r="D7" s="9">
        <v>14201000023565</v>
      </c>
      <c r="E7" s="9" t="str">
        <v>SEDANG</v>
      </c>
      <c r="F7" s="9" t="str">
        <v>Ya</v>
      </c>
      <c r="G7" s="9" t="str">
        <v>Tidak</v>
      </c>
      <c r="H7" s="9" t="str">
        <v>Tidak</v>
      </c>
      <c r="I7" s="9" t="str">
        <v>Perpajakan</v>
      </c>
      <c r="J7" s="9">
        <v>58</v>
      </c>
      <c r="K7" s="9">
        <v>1.33</v>
      </c>
      <c r="L7" s="9" t="str">
        <v>Perpajakan</v>
      </c>
      <c r="M7" s="9" t="str">
        <v xml:space="preserve">KC Rembang                              </v>
      </c>
      <c r="N7" s="9" t="str">
        <v xml:space="preserve">KC Rembang                              </v>
      </c>
      <c r="O7" s="9" t="str">
        <v xml:space="preserve">Semarang 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00394521 - Muhammad Hibbanduta</v>
      </c>
      <c r="U7" s="9" t="str">
        <v>"-"</v>
      </c>
      <c r="V7" s="10" t="str">
        <f>IF([1]STR!$V7 = "", "", [1]STR!$V7)</f>
        <v>Syamsul Arifianto</v>
      </c>
      <c r="W7" s="11">
        <v>46274</v>
      </c>
      <c r="X7" s="12" t="b">
        <f>[1]STR!$X7</f>
        <v>1</v>
      </c>
      <c r="Y7" t="str">
        <f>_xlfn.XLOOKUP(TRIM(B7), [4]STR!$2:$2,[4]STR!$44:$44, "")</f>
        <v/>
      </c>
    </row>
    <row r="8" spans="1:26">
      <c r="A8" s="8">
        <v>46265</v>
      </c>
      <c r="B8" s="9" t="str">
        <v xml:space="preserve">KOPERASI GAPOKTAN BUDI LUHUR            </v>
      </c>
      <c r="C8" s="9" t="str">
        <v>KANZ210</v>
      </c>
      <c r="D8" s="9">
        <v>66101001396565</v>
      </c>
      <c r="E8" s="9">
        <v>0</v>
      </c>
      <c r="F8" s="9" t="str">
        <v>Tidak</v>
      </c>
      <c r="G8" s="9" t="str">
        <v>Tidak</v>
      </c>
      <c r="H8" s="9" t="str">
        <v>Tidak</v>
      </c>
      <c r="I8" s="9" t="str">
        <v>Perpajakan</v>
      </c>
      <c r="J8" s="9">
        <v>34</v>
      </c>
      <c r="K8" s="9">
        <v>41</v>
      </c>
      <c r="L8" s="9" t="str">
        <v>Perpajakan</v>
      </c>
      <c r="M8" s="9" t="str">
        <v xml:space="preserve">KC Slawi                                </v>
      </c>
      <c r="N8" s="9" t="str">
        <v xml:space="preserve">KC Slawi                                </v>
      </c>
      <c r="O8" s="9" t="str">
        <v xml:space="preserve">Semarang  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00394520 - Frida Akbar Rani</v>
      </c>
      <c r="U8" s="9" t="str">
        <v>"-"</v>
      </c>
      <c r="V8" s="10" t="str">
        <f>IF([1]STR!$V8 = "", "", [1]STR!$V8)</f>
        <v>Veronica Dwi Kurniasih</v>
      </c>
      <c r="W8" s="11">
        <v>46279</v>
      </c>
      <c r="X8" s="12" t="b">
        <f>[1]STR!$X8</f>
        <v>1</v>
      </c>
      <c r="Y8" t="str">
        <f>_xlfn.XLOOKUP(TRIM(B8), [4]STR!$2:$2,[4]STR!$44:$44, "")</f>
        <v/>
      </c>
    </row>
    <row r="9" spans="1:26">
      <c r="A9" s="8">
        <v>46265</v>
      </c>
      <c r="B9" s="9" t="str">
        <v xml:space="preserve">NOOR ROZAQ                              </v>
      </c>
      <c r="C9" s="9" t="str">
        <v>NHSZ791</v>
      </c>
      <c r="D9" s="9">
        <v>592201054791537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Narkotika - Area Lapas</v>
      </c>
      <c r="J9" s="9">
        <v>53</v>
      </c>
      <c r="K9" s="9">
        <v>46</v>
      </c>
      <c r="L9" s="9" t="str">
        <v>Narkotika</v>
      </c>
      <c r="M9" s="9" t="str">
        <v>UNIT DAWE KUDUS</v>
      </c>
      <c r="N9" s="9" t="str">
        <v>KC Kudus</v>
      </c>
      <c r="O9" s="9" t="str">
        <v>Semarang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90185538 - Muhammad Fahikal Auz</v>
      </c>
      <c r="U9" s="9" t="str">
        <v>"-"</v>
      </c>
      <c r="V9" s="10" t="str">
        <f>IF([1]STR!$V9 = "", "", [1]STR!$V9)</f>
        <v>Veronica Dwi Kurniasih</v>
      </c>
      <c r="W9" s="11"/>
      <c r="X9" s="12" t="b">
        <f>[1]STR!$X9</f>
        <v>1</v>
      </c>
      <c r="Y9" t="str">
        <f>_xlfn.XLOOKUP(TRIM(B9), [4]STR!$2:$2,[4]STR!$44:$44, "")</f>
        <v/>
      </c>
    </row>
    <row r="10" spans="1:26">
      <c r="A10" s="8">
        <v>46265</v>
      </c>
      <c r="B10" s="9" t="str">
        <v xml:space="preserve">NADIN ARIN NAJWA                        </v>
      </c>
      <c r="C10" s="9" t="str">
        <v>NMDE959</v>
      </c>
      <c r="D10" s="9">
        <v>2201003092307</v>
      </c>
      <c r="E10" s="9">
        <v>0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35</v>
      </c>
      <c r="K10" s="9">
        <v>1.33</v>
      </c>
      <c r="L10" s="9" t="str">
        <v>Perpajakan</v>
      </c>
      <c r="M10" s="9" t="str">
        <v xml:space="preserve">KC Jepara                               </v>
      </c>
      <c r="N10" s="9" t="str">
        <v xml:space="preserve">KC Jepara                               </v>
      </c>
      <c r="O10" s="9" t="str">
        <v xml:space="preserve">Semarang 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90170665 - Mutiara Ayuningtyas</v>
      </c>
      <c r="U10" s="9" t="str">
        <v>"-"</v>
      </c>
      <c r="V10" s="10" t="str">
        <f>IF([1]STR!$V10 = "", "", [1]STR!$V10)</f>
        <v>Syamsul Arifianto</v>
      </c>
      <c r="W10" s="11">
        <v>46276</v>
      </c>
      <c r="X10" s="12" t="b">
        <f>[1]STR!$X10</f>
        <v>1</v>
      </c>
      <c r="Y10">
        <f>_xlfn.XLOOKUP(TRIM(B10), [4]STR!$2:$2,[4]STR!$44:$44, "")</f>
        <v>2.3700892857142861</v>
      </c>
    </row>
    <row r="11" spans="1:26">
      <c r="A11" s="8">
        <v>46265</v>
      </c>
      <c r="B11" s="9" t="str">
        <v xml:space="preserve">PUSAKA HIDUP                            </v>
      </c>
      <c r="C11" s="9" t="str">
        <v>PKS3555</v>
      </c>
      <c r="D11" s="9">
        <v>8301003905308</v>
      </c>
      <c r="E11" s="9" t="str">
        <v>SEDANG</v>
      </c>
      <c r="F11" s="9" t="str">
        <v>Tidak</v>
      </c>
      <c r="G11" s="9" t="str">
        <v>Tidak</v>
      </c>
      <c r="H11" s="9" t="str">
        <v>Tidak</v>
      </c>
      <c r="I11" s="9" t="str">
        <v>Perpajakan</v>
      </c>
      <c r="J11" s="9">
        <v>50</v>
      </c>
      <c r="K11" s="9">
        <v>1.33</v>
      </c>
      <c r="L11" s="9" t="str">
        <v>Perpajakan</v>
      </c>
      <c r="M11" s="9" t="str">
        <v xml:space="preserve">KC Semarang Patimura                    </v>
      </c>
      <c r="N11" s="9" t="str">
        <v xml:space="preserve">KC Semarang Patimura                    </v>
      </c>
      <c r="O11" s="9" t="str">
        <v xml:space="preserve">Semarang   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90171841 - Rifqi Aziz</v>
      </c>
      <c r="U11" s="9" t="str">
        <v>"-"</v>
      </c>
      <c r="V11" s="10" t="str">
        <f>IF([1]STR!$V11 = "", "", [1]STR!$V11)</f>
        <v>Veronica Dwi Kurniasih</v>
      </c>
      <c r="W11" s="11"/>
      <c r="X11" s="12" t="b">
        <f>[1]STR!$X11</f>
        <v>1</v>
      </c>
      <c r="Y11" t="str">
        <f>_xlfn.XLOOKUP(TRIM(B11), [4]STR!$2:$2,[4]STR!$44:$44, "")</f>
        <v/>
      </c>
    </row>
    <row r="12" spans="1:26">
      <c r="A12" s="8">
        <v>46265</v>
      </c>
      <c r="B12" s="9" t="str">
        <v xml:space="preserve">RESTU RAHMA AULIA                       </v>
      </c>
      <c r="C12" s="9" t="str">
        <v>RBPL029</v>
      </c>
      <c r="D12" s="9">
        <v>592701011976500</v>
      </c>
      <c r="E12" s="9">
        <v>0</v>
      </c>
      <c r="F12" s="9" t="str">
        <v>Tidak</v>
      </c>
      <c r="G12" s="9" t="str">
        <v>Tidak</v>
      </c>
      <c r="H12" s="9">
        <v>0</v>
      </c>
      <c r="I12" s="9" t="str">
        <v>Jual Beli Rekening - E channel Trx</v>
      </c>
      <c r="J12" s="9">
        <v>33</v>
      </c>
      <c r="K12" s="9">
        <v>113</v>
      </c>
      <c r="L12" s="9" t="str">
        <v>Narkotika/Judi Online/Penipuan</v>
      </c>
      <c r="M12" s="9" t="str">
        <v xml:space="preserve">UNIT NGETUK KUDUS                       </v>
      </c>
      <c r="N12" s="9" t="str">
        <v xml:space="preserve">KC Kudus                                </v>
      </c>
      <c r="O12" s="9" t="str">
        <v xml:space="preserve">Semarang   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>
        <v>0</v>
      </c>
      <c r="U12" s="9" t="str">
        <v>"-"</v>
      </c>
      <c r="V12" s="10" t="str">
        <f>IF([1]STR!$V12 = "", "", [1]STR!$V12)</f>
        <v>Veronica Dwi Kurniasih</v>
      </c>
      <c r="W12" s="11"/>
      <c r="X12" s="12" t="b">
        <f>[1]STR!$X12</f>
        <v>1</v>
      </c>
      <c r="Y12" t="str">
        <f>_xlfn.XLOOKUP(TRIM(B12), [4]STR!$2:$2,[4]STR!$44:$44, "")</f>
        <v/>
      </c>
    </row>
    <row r="13" spans="1:26">
      <c r="A13" s="8">
        <v>46265</v>
      </c>
      <c r="B13" s="9" t="str">
        <v xml:space="preserve">SRI ROHATI                              </v>
      </c>
      <c r="C13" s="9" t="str">
        <v>SACMD03</v>
      </c>
      <c r="D13" s="9">
        <v>379201013099509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33</v>
      </c>
      <c r="K13" s="9">
        <v>113</v>
      </c>
      <c r="L13" s="9" t="str">
        <v>Narkotika/Judi Online/Penipuan</v>
      </c>
      <c r="M13" s="9" t="str">
        <v xml:space="preserve">UNIT MULYOHARJO PEMALANG                </v>
      </c>
      <c r="N13" s="9" t="str">
        <v xml:space="preserve">KC Pemalang                             </v>
      </c>
      <c r="O13" s="9" t="str">
        <v xml:space="preserve">Semarang  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0" t="str">
        <f>IF([1]STR!$V13 = "", "", [1]STR!$V13)</f>
        <v>Veronica Dwi Kurniasih</v>
      </c>
      <c r="W13" s="11"/>
      <c r="X13" s="12" t="b">
        <f>[1]STR!$X13</f>
        <v>1</v>
      </c>
      <c r="Y13" t="str">
        <f>_xlfn.XLOOKUP(TRIM(B13), [4]STR!$2:$2,[4]STR!$44:$44, "")</f>
        <v/>
      </c>
    </row>
    <row r="14" spans="1:26">
      <c r="A14" s="8">
        <v>46265</v>
      </c>
      <c r="B14" s="9" t="str">
        <v xml:space="preserve">UD INNAYA                               </v>
      </c>
      <c r="C14" s="9" t="str">
        <v>UJ25185</v>
      </c>
      <c r="D14" s="9">
        <v>66101001049304</v>
      </c>
      <c r="E14" s="9" t="str">
        <v>SEDANG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48</v>
      </c>
      <c r="K14" s="9">
        <v>41</v>
      </c>
      <c r="L14" s="9" t="str">
        <v>Perpajakan</v>
      </c>
      <c r="M14" s="9" t="str">
        <v xml:space="preserve">KC Slawi                                </v>
      </c>
      <c r="N14" s="9" t="str">
        <v xml:space="preserve">KC Slawi                                </v>
      </c>
      <c r="O14" s="9" t="str">
        <v xml:space="preserve">Semarang  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90171841 - Rifqi Aziz</v>
      </c>
      <c r="U14" s="9" t="str">
        <v>"-"</v>
      </c>
      <c r="V14" s="10" t="str">
        <f>IF([1]STR!$V14 = "", "", [1]STR!$V14)</f>
        <v>Veronica Dwi Kurniasih</v>
      </c>
      <c r="W14" s="11">
        <v>46279</v>
      </c>
      <c r="X14" s="12" t="b">
        <f>[1]STR!$X14</f>
        <v>1</v>
      </c>
      <c r="Y14" t="str">
        <f>_xlfn.XLOOKUP(TRIM(B14), [4]STR!$2:$2,[4]STR!$44:$44, "")</f>
        <v/>
      </c>
    </row>
    <row r="15" spans="1:26">
      <c r="A15" s="8">
        <v>46265</v>
      </c>
      <c r="B15" s="9" t="str">
        <v xml:space="preserve">YAYASAN SYUBANUL WATHAN NUSANTARA       </v>
      </c>
      <c r="C15" s="9" t="str">
        <v>YQV3280</v>
      </c>
      <c r="D15" s="9">
        <v>66101001344568</v>
      </c>
      <c r="E15" s="9">
        <v>0</v>
      </c>
      <c r="F15" s="9" t="str">
        <v>Tidak</v>
      </c>
      <c r="G15" s="9" t="str">
        <v>Tidak</v>
      </c>
      <c r="H15" s="9" t="str">
        <v>Tidak</v>
      </c>
      <c r="I15" s="9" t="str">
        <v>Perpajakan</v>
      </c>
      <c r="J15" s="9">
        <v>33</v>
      </c>
      <c r="K15" s="9">
        <v>41</v>
      </c>
      <c r="L15" s="9" t="str">
        <v>Perpajakan</v>
      </c>
      <c r="M15" s="9" t="str">
        <v xml:space="preserve">KC Slawi                                </v>
      </c>
      <c r="N15" s="9" t="str">
        <v xml:space="preserve">KC Slawi                                </v>
      </c>
      <c r="O15" s="9" t="str">
        <v xml:space="preserve">Semarang     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00394520 - Frida Akbar Rani</v>
      </c>
      <c r="U15" s="9" t="str">
        <v>"-"</v>
      </c>
      <c r="V15" s="10" t="str">
        <f>IF([1]STR!$V15 = "", "", [1]STR!$V15)</f>
        <v>Veronica Dwi Kurniasih</v>
      </c>
      <c r="W15" s="11">
        <v>46279</v>
      </c>
      <c r="X15" s="12" t="b">
        <f>[1]STR!$X15</f>
        <v>1</v>
      </c>
      <c r="Y15" t="str">
        <f>_xlfn.XLOOKUP(TRIM(B15), [4]STR!$2:$2,[4]STR!$44:$44, "")</f>
        <v/>
      </c>
    </row>
    <row r="16" spans="1:26">
      <c r="A16" s="8">
        <v>46265</v>
      </c>
      <c r="B16" s="9" t="str">
        <v xml:space="preserve">YANTI                                   </v>
      </c>
      <c r="C16" s="9" t="str">
        <v>YX10337</v>
      </c>
      <c r="D16" s="9">
        <v>379201013101500</v>
      </c>
      <c r="E16" s="9">
        <v>0</v>
      </c>
      <c r="F16" s="9" t="str">
        <v>Tidak</v>
      </c>
      <c r="G16" s="9" t="str">
        <v>Tidak</v>
      </c>
      <c r="H16" s="9">
        <v>0</v>
      </c>
      <c r="I16" s="9" t="str">
        <v>Jual Beli Rekening - E channel Trx</v>
      </c>
      <c r="J16" s="9">
        <v>33</v>
      </c>
      <c r="K16" s="9">
        <v>113</v>
      </c>
      <c r="L16" s="9" t="str">
        <v>Narkotika/Judi Online/Penipuan</v>
      </c>
      <c r="M16" s="9" t="str">
        <v xml:space="preserve">UNIT MULYOHARJO PEMALANG                </v>
      </c>
      <c r="N16" s="9" t="str">
        <v xml:space="preserve">KC Pemalang                             </v>
      </c>
      <c r="O16" s="9" t="str">
        <v xml:space="preserve">Semarang                                </v>
      </c>
      <c r="P16" s="9">
        <v>0</v>
      </c>
      <c r="Q16" s="9">
        <v>0</v>
      </c>
      <c r="R16" s="9" t="str">
        <v>Belum TL</v>
      </c>
      <c r="S16" s="9" t="str">
        <v>Belum TL</v>
      </c>
      <c r="T16" s="9">
        <v>0</v>
      </c>
      <c r="U16" s="9" t="str">
        <v>"-"</v>
      </c>
      <c r="V16" s="10" t="str">
        <f>IF([1]STR!$V16 = "", "", [1]STR!$V16)</f>
        <v>Syamsul Arifianto</v>
      </c>
      <c r="W16" s="11"/>
      <c r="X16" s="12" t="b">
        <f>[1]STR!$X16</f>
        <v>1</v>
      </c>
      <c r="Y16" t="str">
        <f>_xlfn.XLOOKUP(TRIM(B16), [4]STR!$2:$2,[4]STR!$44:$44, "")</f>
        <v/>
      </c>
    </row>
    <row r="17" spans="1:25">
      <c r="A17" s="8">
        <v>46265</v>
      </c>
      <c r="B17" s="9" t="str">
        <v xml:space="preserve">CV MULTI PESONA MALANG                  </v>
      </c>
      <c r="C17" s="9" t="str">
        <v>CS90357</v>
      </c>
      <c r="D17" s="9">
        <v>8101010806563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Perpajakan</v>
      </c>
      <c r="J17" s="9">
        <v>53</v>
      </c>
      <c r="K17" s="9">
        <v>41</v>
      </c>
      <c r="L17" s="9" t="str">
        <v>Perpajakan</v>
      </c>
      <c r="M17" s="9" t="str">
        <v xml:space="preserve">KC Salatiga                             </v>
      </c>
      <c r="N17" s="9" t="str">
        <v xml:space="preserve">KC Salatiga                             </v>
      </c>
      <c r="O17" s="9" t="str">
        <v xml:space="preserve">Semarang                                </v>
      </c>
      <c r="P17" s="9" t="str">
        <v>Tidak</v>
      </c>
      <c r="Q17" s="9">
        <v>0</v>
      </c>
      <c r="R17" s="9" t="str">
        <v>Done</v>
      </c>
      <c r="S17" s="9" t="str">
        <v>Belum TL</v>
      </c>
      <c r="T17" s="9" t="str">
        <v>00394521 - Muhammad Hibbanduta</v>
      </c>
      <c r="U17" s="9" t="str">
        <v>"-"</v>
      </c>
      <c r="V17" s="10" t="str">
        <f>IF([1]STR!$V17 = "", "", [1]STR!$V17)</f>
        <v>Veronica Dwi Kurniasih</v>
      </c>
      <c r="W17" s="11">
        <v>46274</v>
      </c>
      <c r="X17" s="12" t="b">
        <f>[1]STR!$X17</f>
        <v>1</v>
      </c>
      <c r="Y17" t="str">
        <f>_xlfn.XLOOKUP(TRIM(B17), [4]STR!$2:$2,[4]STR!$44:$44, "")</f>
        <v/>
      </c>
    </row>
    <row r="18" spans="1:25">
      <c r="A18" s="8">
        <v>46265</v>
      </c>
      <c r="B18" s="9" t="str">
        <v xml:space="preserve">CV JAYA ELANG SALATIGA                  </v>
      </c>
      <c r="C18" s="9" t="str">
        <v>CZ10112</v>
      </c>
      <c r="D18" s="9">
        <v>8101010118562</v>
      </c>
      <c r="E18" s="9">
        <v>0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33</v>
      </c>
      <c r="K18" s="9">
        <v>41</v>
      </c>
      <c r="L18" s="9" t="str">
        <v>Perpajakan</v>
      </c>
      <c r="M18" s="9" t="str">
        <v xml:space="preserve">KC Salatiga                             </v>
      </c>
      <c r="N18" s="9" t="str">
        <v xml:space="preserve">KC Salatiga                             </v>
      </c>
      <c r="O18" s="9" t="str">
        <v xml:space="preserve">Semarang                                </v>
      </c>
      <c r="P18" s="9" t="str">
        <v>Tidak</v>
      </c>
      <c r="Q18" s="9">
        <v>0</v>
      </c>
      <c r="R18" s="9" t="str">
        <v>Done</v>
      </c>
      <c r="S18" s="9" t="str">
        <v>Belum TL</v>
      </c>
      <c r="T18" s="9" t="str">
        <v>00394521 - Muhammad Hibbanduta</v>
      </c>
      <c r="U18" s="9" t="str">
        <v>"-"</v>
      </c>
      <c r="V18" s="10" t="str">
        <f>IF([1]STR!$V18 = "", "", [1]STR!$V18)</f>
        <v>Syamsul Arifianto</v>
      </c>
      <c r="W18" s="11" t="s">
        <v>25</v>
      </c>
      <c r="X18" s="12" t="b">
        <f>[1]STR!$X18</f>
        <v>1</v>
      </c>
      <c r="Y18" t="str">
        <f>_xlfn.XLOOKUP(TRIM(B18), [4]STR!$2:$2,[4]STR!$44:$44, "")</f>
        <v/>
      </c>
    </row>
    <row r="19" spans="1:25">
      <c r="A19" s="8">
        <v>46265</v>
      </c>
      <c r="B19" s="9" t="str">
        <v xml:space="preserve">CV JAYA ELANG PEKALONGAN                </v>
      </c>
      <c r="C19" s="9" t="str">
        <v>CZ10126</v>
      </c>
      <c r="D19" s="9">
        <v>8101011505568</v>
      </c>
      <c r="E19" s="9">
        <v>0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36</v>
      </c>
      <c r="K19" s="9">
        <v>41</v>
      </c>
      <c r="L19" s="9" t="str">
        <v>Perpajakan</v>
      </c>
      <c r="M19" s="9" t="str">
        <v xml:space="preserve">KC Salatiga                             </v>
      </c>
      <c r="N19" s="9" t="str">
        <v xml:space="preserve">KC Salatiga                             </v>
      </c>
      <c r="O19" s="9" t="str">
        <v xml:space="preserve">Semarang                                </v>
      </c>
      <c r="P19" s="9" t="str">
        <v>Tidak</v>
      </c>
      <c r="Q19" s="9">
        <v>0</v>
      </c>
      <c r="R19" s="9" t="str">
        <v>Done</v>
      </c>
      <c r="S19" s="9" t="str">
        <v>Belum TL</v>
      </c>
      <c r="T19" s="9" t="str">
        <v>90170665 - Mutiara Ayuningtyas</v>
      </c>
      <c r="U19" s="9" t="str">
        <v>"-"</v>
      </c>
      <c r="V19" s="10" t="str">
        <f>IF([1]STR!$V19 = "", "", [1]STR!$V19)</f>
        <v>Syamsul Arifianto</v>
      </c>
      <c r="W19" s="11">
        <v>46274</v>
      </c>
      <c r="X19" s="12" t="b">
        <f>[1]STR!$X19</f>
        <v>1</v>
      </c>
      <c r="Y19" t="str">
        <f>_xlfn.XLOOKUP(TRIM(B19), [4]STR!$2:$2,[4]STR!$44:$44, "")</f>
        <v/>
      </c>
    </row>
    <row r="20" spans="1:25">
      <c r="A20" s="8">
        <v>46265</v>
      </c>
      <c r="B20" s="9" t="str">
        <v xml:space="preserve">CV GELORA ABADI PEKALONGAN              </v>
      </c>
      <c r="C20" s="9" t="str">
        <v>CZ10142</v>
      </c>
      <c r="D20" s="9">
        <v>8101011506564</v>
      </c>
      <c r="E20" s="9">
        <v>0</v>
      </c>
      <c r="F20" s="9" t="str">
        <v>Tidak</v>
      </c>
      <c r="G20" s="9" t="str">
        <v>Tidak</v>
      </c>
      <c r="H20" s="9" t="str">
        <v>Tidak</v>
      </c>
      <c r="I20" s="9" t="str">
        <v>Perpajakan</v>
      </c>
      <c r="J20" s="9">
        <v>33</v>
      </c>
      <c r="K20" s="9">
        <v>41</v>
      </c>
      <c r="L20" s="9" t="str">
        <v>Perpajakan</v>
      </c>
      <c r="M20" s="9" t="str">
        <v xml:space="preserve">KC Salatiga                             </v>
      </c>
      <c r="N20" s="9" t="str">
        <v xml:space="preserve">KC Salatiga                             </v>
      </c>
      <c r="O20" s="9" t="str">
        <v xml:space="preserve">Semarang                                </v>
      </c>
      <c r="P20" s="9" t="str">
        <v>Tidak</v>
      </c>
      <c r="Q20" s="9">
        <v>0</v>
      </c>
      <c r="R20" s="9" t="str">
        <v>Done</v>
      </c>
      <c r="S20" s="9" t="str">
        <v>Belum TL</v>
      </c>
      <c r="T20" s="9" t="str">
        <v>90171841 - Rifqi Aziz</v>
      </c>
      <c r="U20" s="9" t="str">
        <v>"-"</v>
      </c>
      <c r="V20" s="10" t="str">
        <f>IF([1]STR!$V20 = "", "", [1]STR!$V20)</f>
        <v>Veronica Dwi Kurniasih</v>
      </c>
      <c r="W20" s="11" t="s">
        <v>25</v>
      </c>
      <c r="X20" s="12" t="b">
        <f>[1]STR!$X20</f>
        <v>1</v>
      </c>
      <c r="Y20" t="str">
        <f>_xlfn.XLOOKUP(TRIM(B20), [4]STR!$2:$2,[4]STR!$44:$44, "")</f>
        <v/>
      </c>
    </row>
    <row r="21" spans="1:25">
      <c r="A21" s="8">
        <v>46265</v>
      </c>
      <c r="B21" s="9" t="str">
        <v xml:space="preserve">CV GELORA BINTANG PEKALONGAN            </v>
      </c>
      <c r="C21" s="9" t="str">
        <v>CZ10193</v>
      </c>
      <c r="D21" s="9">
        <v>8101011507560</v>
      </c>
      <c r="E21" s="9">
        <v>0</v>
      </c>
      <c r="F21" s="9" t="str">
        <v>Tidak</v>
      </c>
      <c r="G21" s="9" t="str">
        <v>Tidak</v>
      </c>
      <c r="H21" s="9" t="str">
        <v>Tidak</v>
      </c>
      <c r="I21" s="9" t="str">
        <v>Perpajakan</v>
      </c>
      <c r="J21" s="9">
        <v>33</v>
      </c>
      <c r="K21" s="9">
        <v>41</v>
      </c>
      <c r="L21" s="9" t="str">
        <v>Perpajakan</v>
      </c>
      <c r="M21" s="9" t="str">
        <v xml:space="preserve">KC Salatiga                             </v>
      </c>
      <c r="N21" s="9" t="str">
        <v xml:space="preserve">KC Salatiga                             </v>
      </c>
      <c r="O21" s="9" t="str">
        <v xml:space="preserve">Semarang                                </v>
      </c>
      <c r="P21" s="9" t="str">
        <v>Tidak</v>
      </c>
      <c r="Q21" s="9">
        <v>0</v>
      </c>
      <c r="R21" s="9" t="str">
        <v>Done</v>
      </c>
      <c r="S21" s="9" t="str">
        <v>Belum TL</v>
      </c>
      <c r="T21" s="9" t="str">
        <v>90150130 - Intan Aida Pratiwi</v>
      </c>
      <c r="U21" s="9" t="str">
        <v>"-"</v>
      </c>
      <c r="V21" s="10" t="str">
        <f>IF([1]STR!$V21 = "", "", [1]STR!$V21)</f>
        <v>Veronica Dwi Kurniasih</v>
      </c>
      <c r="W21" s="11">
        <v>46274</v>
      </c>
      <c r="X21" s="12" t="b">
        <f>[1]STR!$X21</f>
        <v>1</v>
      </c>
      <c r="Y21" t="str">
        <f>_xlfn.XLOOKUP(TRIM(B21), [4]STR!$2:$2,[4]STR!$44:$44, "")</f>
        <v/>
      </c>
    </row>
    <row r="22" spans="1:25">
      <c r="A22" s="8">
        <v>46265</v>
      </c>
      <c r="B22" s="9" t="str">
        <v xml:space="preserve">CV GELORA CAHAYA PEKALONGAN             </v>
      </c>
      <c r="C22" s="9" t="str">
        <v>CZ10208</v>
      </c>
      <c r="D22" s="9">
        <v>8101011508566</v>
      </c>
      <c r="E22" s="9">
        <v>0</v>
      </c>
      <c r="F22" s="9" t="str">
        <v>Tidak</v>
      </c>
      <c r="G22" s="9" t="str">
        <v>Tidak</v>
      </c>
      <c r="H22" s="9" t="str">
        <v>Tidak</v>
      </c>
      <c r="I22" s="9" t="str">
        <v>Perpajakan</v>
      </c>
      <c r="J22" s="9">
        <v>33</v>
      </c>
      <c r="K22" s="9">
        <v>41</v>
      </c>
      <c r="L22" s="9" t="str">
        <v>Perpajakan</v>
      </c>
      <c r="M22" s="9" t="str">
        <v xml:space="preserve">KC Salatiga                             </v>
      </c>
      <c r="N22" s="9" t="str">
        <v xml:space="preserve">KC Salatiga                             </v>
      </c>
      <c r="O22" s="9" t="str">
        <v xml:space="preserve">Semarang                                </v>
      </c>
      <c r="P22" s="9" t="str">
        <v>Tidak</v>
      </c>
      <c r="Q22" s="9">
        <v>0</v>
      </c>
      <c r="R22" s="9" t="str">
        <v>Done</v>
      </c>
      <c r="S22" s="9" t="str">
        <v>Belum TL</v>
      </c>
      <c r="T22" s="9" t="str">
        <v>90170665 - Mutiara Ayuningtyas</v>
      </c>
      <c r="U22" s="9" t="str">
        <v>"-"</v>
      </c>
      <c r="V22" s="10" t="str">
        <f>IF([1]STR!$V22 = "", "", [1]STR!$V22)</f>
        <v>Veronica Dwi Kurniasih</v>
      </c>
      <c r="W22" s="11">
        <v>46274</v>
      </c>
      <c r="X22" s="12" t="b">
        <f>[1]STR!$X22</f>
        <v>1</v>
      </c>
      <c r="Y22" t="str">
        <f>_xlfn.XLOOKUP(TRIM(B22), [4]STR!$2:$2,[4]STR!$44:$44, "")</f>
        <v/>
      </c>
    </row>
    <row r="23" spans="1:25">
      <c r="A23" s="8">
        <v>46265</v>
      </c>
      <c r="B23" s="9" t="str">
        <v xml:space="preserve">CV KENCANA CAKRA PEKALONGAN             </v>
      </c>
      <c r="C23" s="9" t="str">
        <v>CZ10215</v>
      </c>
      <c r="D23" s="9">
        <v>8101011509562</v>
      </c>
      <c r="E23" s="9">
        <v>0</v>
      </c>
      <c r="F23" s="9" t="str">
        <v>Tidak</v>
      </c>
      <c r="G23" s="9" t="str">
        <v>Tidak</v>
      </c>
      <c r="H23" s="9" t="str">
        <v>Tidak</v>
      </c>
      <c r="I23" s="9" t="str">
        <v>Perpajakan</v>
      </c>
      <c r="J23" s="9">
        <v>33</v>
      </c>
      <c r="K23" s="9">
        <v>41</v>
      </c>
      <c r="L23" s="9" t="str">
        <v>Perpajakan</v>
      </c>
      <c r="M23" s="9" t="str">
        <v xml:space="preserve">KC Salatiga                             </v>
      </c>
      <c r="N23" s="9" t="str">
        <v xml:space="preserve">KC Salatiga                             </v>
      </c>
      <c r="O23" s="9" t="str">
        <v xml:space="preserve">Semarang                                </v>
      </c>
      <c r="P23" s="9" t="str">
        <v>Tidak</v>
      </c>
      <c r="Q23" s="9">
        <v>0</v>
      </c>
      <c r="R23" s="9" t="str">
        <v>Done</v>
      </c>
      <c r="S23" s="9" t="str">
        <v>Belum TL</v>
      </c>
      <c r="T23" s="9" t="str">
        <v>90171841 - Rifqi Aziz</v>
      </c>
      <c r="U23" s="9" t="str">
        <v>"-"</v>
      </c>
      <c r="V23" s="10" t="str">
        <f>IF([1]STR!$V23 = "", "", [1]STR!$V23)</f>
        <v>Syamsul Arifianto</v>
      </c>
      <c r="W23" s="11" t="s">
        <v>25</v>
      </c>
      <c r="X23" s="12" t="b">
        <f>[1]STR!$X23</f>
        <v>1</v>
      </c>
      <c r="Y23" t="str">
        <f>_xlfn.XLOOKUP(TRIM(B23), [4]STR!$2:$2,[4]STR!$44:$44, "")</f>
        <v/>
      </c>
    </row>
    <row r="24" spans="1:25">
      <c r="A24" s="8">
        <v>46265</v>
      </c>
      <c r="B24" s="9" t="str">
        <v xml:space="preserve">CV AGUNG SEJAHTERA CIANJUR              </v>
      </c>
      <c r="C24" s="9" t="str">
        <v>CW99462</v>
      </c>
      <c r="D24" s="9">
        <v>8101011302562</v>
      </c>
      <c r="E24" s="9">
        <v>0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33</v>
      </c>
      <c r="K24" s="9">
        <v>41</v>
      </c>
      <c r="L24" s="9" t="str">
        <v>Perpajakan</v>
      </c>
      <c r="M24" s="9" t="str">
        <v xml:space="preserve">KC Salatiga                             </v>
      </c>
      <c r="N24" s="9" t="str">
        <v xml:space="preserve">KC Salatiga                             </v>
      </c>
      <c r="O24" s="9" t="str">
        <v xml:space="preserve">Semarang                                </v>
      </c>
      <c r="P24" s="9" t="str">
        <v>Tidak</v>
      </c>
      <c r="Q24" s="9">
        <v>0</v>
      </c>
      <c r="R24" s="9" t="str">
        <v>Done</v>
      </c>
      <c r="S24" s="9" t="str">
        <v>Belum TL</v>
      </c>
      <c r="T24" s="9" t="str">
        <v>90185538 - Muhammad Fahikal Auz</v>
      </c>
      <c r="U24" s="9" t="str">
        <v>"-"</v>
      </c>
      <c r="V24" s="10" t="str">
        <f>IF([1]STR!$V24 = "", "", [1]STR!$V24)</f>
        <v>Veronica Dwi Kurniasih</v>
      </c>
      <c r="W24" s="11">
        <v>46274</v>
      </c>
      <c r="X24" s="12" t="b">
        <f>[1]STR!$X24</f>
        <v>1</v>
      </c>
      <c r="Y24" t="str">
        <f>_xlfn.XLOOKUP(TRIM(B24), [4]STR!$2:$2,[4]STR!$44:$44, "")</f>
        <v/>
      </c>
    </row>
    <row r="25" spans="1:25">
      <c r="A25" s="8">
        <v>46265</v>
      </c>
      <c r="B25" s="9" t="str">
        <v xml:space="preserve">GONDOSARI HARTA NUSANTARA               </v>
      </c>
      <c r="C25" s="9" t="str">
        <v>GN06499</v>
      </c>
      <c r="D25" s="9">
        <v>3801002924566</v>
      </c>
      <c r="E25" s="9" t="str">
        <v>TINGGI</v>
      </c>
      <c r="F25" s="9" t="str">
        <v>Tidak</v>
      </c>
      <c r="G25" s="9" t="str">
        <v>Tidak</v>
      </c>
      <c r="H25" s="9" t="str">
        <v>Tidak</v>
      </c>
      <c r="I25" s="9" t="str">
        <v>Perpajakan</v>
      </c>
      <c r="J25" s="9">
        <v>63</v>
      </c>
      <c r="K25" s="9">
        <v>41</v>
      </c>
      <c r="L25" s="9" t="str">
        <v>Perpajakan</v>
      </c>
      <c r="M25" s="9" t="str">
        <v xml:space="preserve">KC Kudus                                </v>
      </c>
      <c r="N25" s="9" t="str">
        <v xml:space="preserve">KC Kudus                                </v>
      </c>
      <c r="O25" s="9" t="str">
        <v xml:space="preserve">Semarang                                </v>
      </c>
      <c r="P25" s="9" t="str">
        <v>Tidak</v>
      </c>
      <c r="Q25" s="9">
        <v>0</v>
      </c>
      <c r="R25" s="9" t="str">
        <v>Done</v>
      </c>
      <c r="S25" s="9" t="str">
        <v>Belum TL</v>
      </c>
      <c r="T25" s="9" t="str">
        <v>90170665 - Mutiara Ayuningtyas</v>
      </c>
      <c r="U25" s="9" t="str">
        <v>"-"</v>
      </c>
      <c r="V25" s="10" t="str">
        <f>IF([1]STR!$V25 = "", "", [1]STR!$V25)</f>
        <v>Veronica Dwi Kurniasih</v>
      </c>
      <c r="W25" s="11">
        <v>46274</v>
      </c>
      <c r="X25" s="12" t="b">
        <f>[1]STR!$X25</f>
        <v>1</v>
      </c>
      <c r="Y25" t="str">
        <f>_xlfn.XLOOKUP(TRIM(B25), [4]STR!$2:$2,[4]STR!$44:$44, "")</f>
        <v/>
      </c>
    </row>
    <row r="26" spans="1:25">
      <c r="A26" s="8">
        <v>46265</v>
      </c>
      <c r="B26" s="9" t="str">
        <v xml:space="preserve">MUARA TALENTA MERR                      </v>
      </c>
      <c r="C26" s="9" t="str">
        <v>MCTBT47</v>
      </c>
      <c r="D26" s="9">
        <v>8101011207568</v>
      </c>
      <c r="E26" s="9">
        <v>0</v>
      </c>
      <c r="F26" s="9" t="str">
        <v>Tidak</v>
      </c>
      <c r="G26" s="9" t="str">
        <v>Tidak</v>
      </c>
      <c r="H26" s="9" t="str">
        <v>Tidak</v>
      </c>
      <c r="I26" s="9" t="str">
        <v>Perpajakan</v>
      </c>
      <c r="J26" s="9">
        <v>38</v>
      </c>
      <c r="K26" s="9">
        <v>41</v>
      </c>
      <c r="L26" s="9" t="str">
        <v>Perpajakan</v>
      </c>
      <c r="M26" s="9" t="str">
        <v xml:space="preserve">KC Salatiga                             </v>
      </c>
      <c r="N26" s="9" t="str">
        <v xml:space="preserve">KC Salatiga                             </v>
      </c>
      <c r="O26" s="9" t="str">
        <v xml:space="preserve">Semarang                                </v>
      </c>
      <c r="P26" s="9" t="str">
        <v>Tidak</v>
      </c>
      <c r="Q26" s="9">
        <v>0</v>
      </c>
      <c r="R26" s="9" t="str">
        <v>Done</v>
      </c>
      <c r="S26" s="9" t="str">
        <v>Belum TL</v>
      </c>
      <c r="T26" s="9" t="str">
        <v>00394521 - Muhammad Hibbanduta</v>
      </c>
      <c r="U26" s="9" t="str">
        <v>"-"</v>
      </c>
      <c r="V26" s="10" t="str">
        <f>IF([1]STR!$V26 = "", "", [1]STR!$V26)</f>
        <v>Veronica Dwi Kurniasih</v>
      </c>
      <c r="W26" s="11">
        <v>46274</v>
      </c>
      <c r="X26" s="12" t="b">
        <f>[1]STR!$X26</f>
        <v>1</v>
      </c>
      <c r="Y26" t="str">
        <f>_xlfn.XLOOKUP(TRIM(B26), [4]STR!$2:$2,[4]STR!$44:$44, "")</f>
        <v/>
      </c>
    </row>
    <row r="27" spans="1:25">
      <c r="A27" s="8">
        <v>46265</v>
      </c>
      <c r="B27" s="9" t="str">
        <v xml:space="preserve">MULIA ABADI SEMARANG                    </v>
      </c>
      <c r="C27" s="9" t="str">
        <v>MCTBV50</v>
      </c>
      <c r="D27" s="9">
        <v>8101010208561</v>
      </c>
      <c r="E27" s="9">
        <v>0</v>
      </c>
      <c r="F27" s="9" t="str">
        <v>Tidak</v>
      </c>
      <c r="G27" s="9" t="str">
        <v>Tidak</v>
      </c>
      <c r="H27" s="9" t="str">
        <v>Tidak</v>
      </c>
      <c r="I27" s="9" t="str">
        <v>Perpajakan</v>
      </c>
      <c r="J27" s="9">
        <v>38</v>
      </c>
      <c r="K27" s="9">
        <v>41</v>
      </c>
      <c r="L27" s="9" t="str">
        <v>Perpajakan</v>
      </c>
      <c r="M27" s="9" t="str">
        <v xml:space="preserve">KC Salatiga                             </v>
      </c>
      <c r="N27" s="9" t="str">
        <v xml:space="preserve">KC Salatiga                             </v>
      </c>
      <c r="O27" s="9" t="str">
        <v xml:space="preserve">Semarang                                </v>
      </c>
      <c r="P27" s="9" t="str">
        <v>Tidak</v>
      </c>
      <c r="Q27" s="9" t="str">
        <v>Tidak</v>
      </c>
      <c r="R27" s="9" t="str">
        <v>Done</v>
      </c>
      <c r="S27" s="9" t="str">
        <v>Pending Checker</v>
      </c>
      <c r="T27" s="9" t="str">
        <v>90185538 - Muhammad Fahikal Auz</v>
      </c>
      <c r="U27" s="9" t="str">
        <v>"-"</v>
      </c>
      <c r="V27" s="10" t="str">
        <f>IF([1]STR!$V27 = "", "", [1]STR!$V27)</f>
        <v>Veronica Dwi Kurniasih</v>
      </c>
      <c r="W27" s="11">
        <v>46271</v>
      </c>
      <c r="X27" s="12" t="b">
        <f>[1]STR!$X27</f>
        <v>1</v>
      </c>
      <c r="Y27" t="str">
        <f>_xlfn.XLOOKUP(TRIM(B27), [4]STR!$2:$2,[4]STR!$44:$44, "")</f>
        <v/>
      </c>
    </row>
    <row r="28" spans="1:25">
      <c r="A28" s="8">
        <v>46265</v>
      </c>
      <c r="B28" s="9" t="str">
        <v xml:space="preserve">MULTI PESONA SURABAYA                   </v>
      </c>
      <c r="C28" s="9" t="str">
        <v>MCTBV76</v>
      </c>
      <c r="D28" s="9">
        <v>8101010506561</v>
      </c>
      <c r="E28" s="9">
        <v>0</v>
      </c>
      <c r="F28" s="9" t="str">
        <v>Tidak</v>
      </c>
      <c r="G28" s="9" t="str">
        <v>Tidak</v>
      </c>
      <c r="H28" s="9" t="str">
        <v>Tidak</v>
      </c>
      <c r="I28" s="9" t="str">
        <v>Perpajakan</v>
      </c>
      <c r="J28" s="9">
        <v>34</v>
      </c>
      <c r="K28" s="9">
        <v>41</v>
      </c>
      <c r="L28" s="9" t="str">
        <v>Perpajakan</v>
      </c>
      <c r="M28" s="9" t="str">
        <v xml:space="preserve">KC Salatiga                             </v>
      </c>
      <c r="N28" s="9" t="str">
        <v xml:space="preserve">KC Salatiga                             </v>
      </c>
      <c r="O28" s="9" t="str">
        <v xml:space="preserve">Semarang                                </v>
      </c>
      <c r="P28" s="9" t="str">
        <v>Tidak</v>
      </c>
      <c r="Q28" s="9" t="str">
        <v>Tidak</v>
      </c>
      <c r="R28" s="9" t="str">
        <v>Done</v>
      </c>
      <c r="S28" s="9" t="str">
        <v>Pending Checker</v>
      </c>
      <c r="T28" s="9" t="str">
        <v>90186790 - Muhammad Alfin Farha</v>
      </c>
      <c r="U28" s="9" t="str">
        <v>"-"</v>
      </c>
      <c r="V28" s="10" t="str">
        <f>IF([1]STR!$V28 = "", "", [1]STR!$V28)</f>
        <v>Veronica Dwi Kurniasih</v>
      </c>
      <c r="W28" s="11">
        <v>46271</v>
      </c>
      <c r="X28" s="12" t="b">
        <f>[1]STR!$X28</f>
        <v>1</v>
      </c>
      <c r="Y28" t="str">
        <f>_xlfn.XLOOKUP(TRIM(B28), [4]STR!$2:$2,[4]STR!$44:$44, "")</f>
        <v/>
      </c>
    </row>
    <row r="29" spans="1:25">
      <c r="A29" s="8">
        <v>46265</v>
      </c>
      <c r="B29" s="9" t="str">
        <v xml:space="preserve">MULTI PESONA SIDOARJO                   </v>
      </c>
      <c r="C29" s="9" t="str">
        <v>MCTCQ09</v>
      </c>
      <c r="D29" s="9">
        <v>8101010608567</v>
      </c>
      <c r="E29" s="9">
        <v>0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38</v>
      </c>
      <c r="K29" s="9">
        <v>41</v>
      </c>
      <c r="L29" s="9" t="str">
        <v>Perpajakan</v>
      </c>
      <c r="M29" s="9" t="str">
        <v xml:space="preserve">KC Salatiga                             </v>
      </c>
      <c r="N29" s="9" t="str">
        <v xml:space="preserve">KC Salatiga                             </v>
      </c>
      <c r="O29" s="9" t="str">
        <v xml:space="preserve">Semarang                                </v>
      </c>
      <c r="P29" s="9" t="str">
        <v>Tidak</v>
      </c>
      <c r="Q29" s="9" t="str">
        <v>Tidak</v>
      </c>
      <c r="R29" s="9" t="str">
        <v>Done</v>
      </c>
      <c r="S29" s="9" t="str">
        <v>Pending Checker</v>
      </c>
      <c r="T29" s="9" t="str">
        <v>90150130 - Intan Aida Pratiwi</v>
      </c>
      <c r="U29" s="9" t="str">
        <v>"-"</v>
      </c>
      <c r="V29" s="10" t="str">
        <f>IF([1]STR!$V29 = "", "", [1]STR!$V29)</f>
        <v>Veronica Dwi Kurniasih</v>
      </c>
      <c r="W29" s="11">
        <v>46271</v>
      </c>
      <c r="X29" s="12" t="b">
        <f>[1]STR!$X29</f>
        <v>1</v>
      </c>
      <c r="Y29" t="str">
        <f>_xlfn.XLOOKUP(TRIM(B29), [4]STR!$2:$2,[4]STR!$44:$44, "")</f>
        <v/>
      </c>
    </row>
    <row r="30" spans="1:25">
      <c r="A30" s="8">
        <v>46265</v>
      </c>
      <c r="B30" s="9" t="str">
        <v xml:space="preserve">MULIA ABADI SALATIGA                    </v>
      </c>
      <c r="C30" s="9" t="str">
        <v>MCTCU74</v>
      </c>
      <c r="D30" s="9">
        <v>8101010108567</v>
      </c>
      <c r="E30" s="9">
        <v>0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38</v>
      </c>
      <c r="K30" s="9">
        <v>41</v>
      </c>
      <c r="L30" s="9" t="str">
        <v>Perpajakan</v>
      </c>
      <c r="M30" s="9" t="str">
        <v xml:space="preserve">KC Salatiga                             </v>
      </c>
      <c r="N30" s="9" t="str">
        <v xml:space="preserve">KC Salatiga                             </v>
      </c>
      <c r="O30" s="9" t="str">
        <v xml:space="preserve">Semarang                                </v>
      </c>
      <c r="P30" s="9" t="str">
        <v>Tidak</v>
      </c>
      <c r="Q30" s="9" t="str">
        <v>Tidak</v>
      </c>
      <c r="R30" s="9" t="str">
        <v>Done</v>
      </c>
      <c r="S30" s="9" t="str">
        <v>Pending Checker</v>
      </c>
      <c r="T30" s="9" t="str">
        <v>90150130 - Intan Aida Pratiwi</v>
      </c>
      <c r="U30" s="9" t="str">
        <v>"-"</v>
      </c>
      <c r="V30" s="10" t="str">
        <f>IF([1]STR!$V30 = "", "", [1]STR!$V30)</f>
        <v>Veronica Dwi Kurniasih</v>
      </c>
      <c r="W30" s="11">
        <v>46269</v>
      </c>
      <c r="X30" s="12" t="b">
        <f>[1]STR!$X30</f>
        <v>1</v>
      </c>
      <c r="Y30" t="str">
        <f>_xlfn.XLOOKUP(TRIM(B30), [4]STR!$2:$2,[4]STR!$44:$44, "")</f>
        <v/>
      </c>
    </row>
    <row r="31" spans="1:25">
      <c r="A31" s="8">
        <v>46265</v>
      </c>
      <c r="B31" s="9" t="str">
        <v xml:space="preserve">MULIA ABADI SIDOARJO                    </v>
      </c>
      <c r="C31" s="9" t="str">
        <v>MCTCU84</v>
      </c>
      <c r="D31" s="9">
        <v>8101010607561</v>
      </c>
      <c r="E31" s="9">
        <v>0</v>
      </c>
      <c r="F31" s="9" t="str">
        <v>Tidak</v>
      </c>
      <c r="G31" s="9" t="str">
        <v>Tidak</v>
      </c>
      <c r="H31" s="9" t="str">
        <v>Tidak</v>
      </c>
      <c r="I31" s="9" t="str">
        <v>Perpajakan</v>
      </c>
      <c r="J31" s="9">
        <v>36</v>
      </c>
      <c r="K31" s="9">
        <v>41</v>
      </c>
      <c r="L31" s="9" t="str">
        <v>Perpajakan</v>
      </c>
      <c r="M31" s="9" t="str">
        <v xml:space="preserve">KC Salatiga                             </v>
      </c>
      <c r="N31" s="9" t="str">
        <v xml:space="preserve">KC Salatiga                             </v>
      </c>
      <c r="O31" s="9" t="str">
        <v xml:space="preserve">Semarang                                </v>
      </c>
      <c r="P31" s="9" t="str">
        <v>Tidak</v>
      </c>
      <c r="Q31" s="9" t="str">
        <v>Tidak</v>
      </c>
      <c r="R31" s="9" t="str">
        <v>Done</v>
      </c>
      <c r="S31" s="9" t="str">
        <v>Pending Checker</v>
      </c>
      <c r="T31" s="9" t="str">
        <v>90170665 - Mutiara Ayuningtyas</v>
      </c>
      <c r="U31" s="9" t="str">
        <v>"-"</v>
      </c>
      <c r="V31" s="10" t="str">
        <f>IF([1]STR!$V31 = "", "", [1]STR!$V31)</f>
        <v>Veronica Dwi Kurniasih</v>
      </c>
      <c r="W31" s="11">
        <v>46271</v>
      </c>
      <c r="X31" s="12" t="b">
        <f>[1]STR!$X31</f>
        <v>1</v>
      </c>
      <c r="Y31" t="str">
        <f>_xlfn.XLOOKUP(TRIM(B31), [4]STR!$2:$2,[4]STR!$44:$44, "")</f>
        <v/>
      </c>
    </row>
    <row r="32" spans="1:25">
      <c r="A32" s="8">
        <v>46265</v>
      </c>
      <c r="B32" s="9" t="str">
        <v xml:space="preserve">MULTI PESONA KUDUS                      </v>
      </c>
      <c r="C32" s="9" t="str">
        <v>MCTCU98</v>
      </c>
      <c r="D32" s="9">
        <v>8101010707565</v>
      </c>
      <c r="E32" s="9">
        <v>0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38</v>
      </c>
      <c r="K32" s="9">
        <v>41</v>
      </c>
      <c r="L32" s="9" t="str">
        <v>Perpajakan</v>
      </c>
      <c r="M32" s="9" t="str">
        <v xml:space="preserve">KC Salatiga                             </v>
      </c>
      <c r="N32" s="9" t="str">
        <v xml:space="preserve">KC Salatiga                             </v>
      </c>
      <c r="O32" s="9" t="str">
        <v xml:space="preserve">Semarang                                </v>
      </c>
      <c r="P32" s="9" t="str">
        <v>Tidak</v>
      </c>
      <c r="Q32" s="9" t="str">
        <v>Tidak</v>
      </c>
      <c r="R32" s="9" t="str">
        <v>Done</v>
      </c>
      <c r="S32" s="9" t="str">
        <v>Pending Checker</v>
      </c>
      <c r="T32" s="9" t="str">
        <v>90171841 - Rifqi Aziz</v>
      </c>
      <c r="U32" s="9" t="str">
        <v>"-"</v>
      </c>
      <c r="V32" s="10" t="str">
        <f>IF([1]STR!$V32 = "", "", [1]STR!$V32)</f>
        <v>Veronica Dwi Kurniasih</v>
      </c>
      <c r="W32" s="11">
        <v>46271</v>
      </c>
      <c r="X32" s="12" t="b">
        <f>[1]STR!$X32</f>
        <v>1</v>
      </c>
      <c r="Y32" t="str">
        <f>_xlfn.XLOOKUP(TRIM(B32), [4]STR!$2:$2,[4]STR!$44:$44, "")</f>
        <v/>
      </c>
    </row>
    <row r="33" spans="1:25">
      <c r="A33" s="8">
        <v>46265</v>
      </c>
      <c r="B33" s="9" t="str">
        <v xml:space="preserve">MULTI PESONA MOJOKERTO                  </v>
      </c>
      <c r="C33" s="9" t="str">
        <v>MCTDD93</v>
      </c>
      <c r="D33" s="9">
        <v>8101011106568</v>
      </c>
      <c r="E33" s="9">
        <v>0</v>
      </c>
      <c r="F33" s="9" t="str">
        <v>Tidak</v>
      </c>
      <c r="G33" s="9" t="str">
        <v>Tidak</v>
      </c>
      <c r="H33" s="9" t="str">
        <v>Tidak</v>
      </c>
      <c r="I33" s="9" t="str">
        <v>Perpajakan</v>
      </c>
      <c r="J33" s="9">
        <v>38</v>
      </c>
      <c r="K33" s="9">
        <v>41</v>
      </c>
      <c r="L33" s="9" t="str">
        <v>Perpajakan</v>
      </c>
      <c r="M33" s="9" t="str">
        <v xml:space="preserve">KC Salatiga                             </v>
      </c>
      <c r="N33" s="9" t="str">
        <v xml:space="preserve">KC Salatiga                             </v>
      </c>
      <c r="O33" s="9" t="str">
        <v xml:space="preserve">Semarang                                </v>
      </c>
      <c r="P33" s="9" t="str">
        <v>Tidak</v>
      </c>
      <c r="Q33" s="9" t="str">
        <v>Tidak</v>
      </c>
      <c r="R33" s="9" t="str">
        <v>Done</v>
      </c>
      <c r="S33" s="9" t="str">
        <v>Pending Checker</v>
      </c>
      <c r="T33" s="9" t="str">
        <v>90186796 - Devito Arya Wiradila</v>
      </c>
      <c r="U33" s="9" t="str">
        <v>"-"</v>
      </c>
      <c r="V33" s="10" t="str">
        <f>IF([1]STR!$V33 = "", "", [1]STR!$V33)</f>
        <v>Veronica Dwi Kurniasih</v>
      </c>
      <c r="W33" s="11">
        <v>46272</v>
      </c>
      <c r="X33" s="12" t="b">
        <f>[1]STR!$X33</f>
        <v>1</v>
      </c>
      <c r="Y33" t="str">
        <f>_xlfn.XLOOKUP(TRIM(B33), [4]STR!$2:$2,[4]STR!$44:$44, "")</f>
        <v/>
      </c>
    </row>
    <row r="34" spans="1:25">
      <c r="A34" s="8">
        <v>46265</v>
      </c>
      <c r="B34" s="9" t="str">
        <v xml:space="preserve">MULIA ABADI MALANG                      </v>
      </c>
      <c r="C34" s="9" t="str">
        <v>MCTDU21</v>
      </c>
      <c r="D34" s="9">
        <v>8101010809561</v>
      </c>
      <c r="E34" s="9">
        <v>0</v>
      </c>
      <c r="F34" s="9" t="str">
        <v>Tidak</v>
      </c>
      <c r="G34" s="9" t="str">
        <v>Tidak</v>
      </c>
      <c r="H34" s="9" t="str">
        <v>Tidak</v>
      </c>
      <c r="I34" s="9" t="str">
        <v>Perpajakan</v>
      </c>
      <c r="J34" s="9">
        <v>38</v>
      </c>
      <c r="K34" s="9">
        <v>41</v>
      </c>
      <c r="L34" s="9" t="str">
        <v>Perpajakan</v>
      </c>
      <c r="M34" s="9" t="str">
        <v xml:space="preserve">KC Salatiga                             </v>
      </c>
      <c r="N34" s="9" t="str">
        <v xml:space="preserve">KC Salatiga                             </v>
      </c>
      <c r="O34" s="9" t="str">
        <v xml:space="preserve">Semarang                                </v>
      </c>
      <c r="P34" s="9" t="str">
        <v>Tidak</v>
      </c>
      <c r="Q34" s="9" t="str">
        <v>Tidak</v>
      </c>
      <c r="R34" s="9" t="str">
        <v>Done</v>
      </c>
      <c r="S34" s="9" t="str">
        <v>Pending Checker</v>
      </c>
      <c r="T34" s="9" t="str">
        <v>00336949 - Mochammad Al Farabi</v>
      </c>
      <c r="U34" s="9" t="str">
        <v>"-"</v>
      </c>
      <c r="V34" s="10" t="str">
        <f>IF([1]STR!$V34 = "", "", [1]STR!$V34)</f>
        <v>Veronica Dwi Kurniasih</v>
      </c>
      <c r="W34" s="11">
        <v>46272</v>
      </c>
      <c r="X34" s="12" t="b">
        <f>[1]STR!$X34</f>
        <v>1</v>
      </c>
      <c r="Y34" t="str">
        <f>_xlfn.XLOOKUP(TRIM(B34), [4]STR!$2:$2,[4]STR!$44:$44, "")</f>
        <v/>
      </c>
    </row>
    <row r="35" spans="1:25">
      <c r="A35" s="8">
        <v>46265</v>
      </c>
      <c r="B35" s="9" t="str">
        <v xml:space="preserve">MULTI PESONA MERR                       </v>
      </c>
      <c r="C35" s="9" t="str">
        <v>MCSNR34</v>
      </c>
      <c r="D35" s="9">
        <v>8101011201562</v>
      </c>
      <c r="E35" s="9">
        <v>0</v>
      </c>
      <c r="F35" s="9" t="str">
        <v>Tidak</v>
      </c>
      <c r="G35" s="9" t="str">
        <v>Tidak</v>
      </c>
      <c r="H35" s="9" t="str">
        <v>Tidak</v>
      </c>
      <c r="I35" s="9" t="str">
        <v>Perpajakan</v>
      </c>
      <c r="J35" s="9">
        <v>38</v>
      </c>
      <c r="K35" s="9">
        <v>41</v>
      </c>
      <c r="L35" s="9" t="str">
        <v>Perpajakan</v>
      </c>
      <c r="M35" s="9" t="str">
        <v xml:space="preserve">KC Salatiga                             </v>
      </c>
      <c r="N35" s="9" t="str">
        <v xml:space="preserve">KC Salatiga                             </v>
      </c>
      <c r="O35" s="9" t="str">
        <v xml:space="preserve">Semarang                                </v>
      </c>
      <c r="P35" s="9" t="str">
        <v>Tidak</v>
      </c>
      <c r="Q35" s="9" t="str">
        <v>Tidak</v>
      </c>
      <c r="R35" s="9" t="str">
        <v>Done</v>
      </c>
      <c r="S35" s="9" t="str">
        <v>Pending Checker</v>
      </c>
      <c r="T35" s="9" t="str">
        <v>90150130 - Intan Aida Pratiwi</v>
      </c>
      <c r="U35" s="9" t="str">
        <v>"-"</v>
      </c>
      <c r="V35" s="10" t="str">
        <f>IF([1]STR!$V35 = "", "", [1]STR!$V35)</f>
        <v>Veronica Dwi Kurniasih</v>
      </c>
      <c r="W35" s="11">
        <v>46272</v>
      </c>
      <c r="X35" s="12" t="b">
        <f>[1]STR!$X35</f>
        <v>1</v>
      </c>
      <c r="Y35" t="str">
        <f>_xlfn.XLOOKUP(TRIM(B35), [4]STR!$2:$2,[4]STR!$44:$44, "")</f>
        <v/>
      </c>
    </row>
    <row r="36" spans="1:25">
      <c r="A36" s="8">
        <v>46265</v>
      </c>
      <c r="B36" s="9" t="str">
        <v xml:space="preserve">PT ALBISINDO SEHAT BAROKAH              </v>
      </c>
      <c r="C36" s="9" t="str">
        <v>PMW3707</v>
      </c>
      <c r="D36" s="9">
        <v>3801003288303</v>
      </c>
      <c r="E36" s="9" t="str">
        <v>SEDANG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48</v>
      </c>
      <c r="K36" s="9">
        <v>41</v>
      </c>
      <c r="L36" s="9" t="str">
        <v>Perpajakan</v>
      </c>
      <c r="M36" s="9" t="str">
        <v xml:space="preserve">KC Kudus                                </v>
      </c>
      <c r="N36" s="9" t="str">
        <v xml:space="preserve">KC Kudus                                </v>
      </c>
      <c r="O36" s="9" t="str">
        <v xml:space="preserve">Semarang                                </v>
      </c>
      <c r="P36" s="9" t="str">
        <v>Tidak</v>
      </c>
      <c r="Q36" s="9" t="str">
        <v>Tidak</v>
      </c>
      <c r="R36" s="9" t="str">
        <v>Done</v>
      </c>
      <c r="S36" s="9" t="str">
        <v>Pending Checker</v>
      </c>
      <c r="T36" s="9" t="str">
        <v>00394520 - Frida Akbar Rani</v>
      </c>
      <c r="U36" s="9" t="str">
        <v>"-"</v>
      </c>
      <c r="V36" s="10" t="str">
        <f>IF([1]STR!$V36 = "", "", [1]STR!$V36)</f>
        <v>Veronica Dwi Kurniasih</v>
      </c>
      <c r="W36" s="11">
        <v>46266</v>
      </c>
      <c r="X36" s="12" t="b">
        <f>[1]STR!$X36</f>
        <v>1</v>
      </c>
      <c r="Y36" t="str">
        <f>_xlfn.XLOOKUP(TRIM(B36), [4]STR!$2:$2,[4]STR!$44:$44, "")</f>
        <v/>
      </c>
    </row>
    <row r="37" spans="1:25">
      <c r="A37" s="8">
        <v>46265</v>
      </c>
      <c r="B37" s="9" t="str">
        <v xml:space="preserve">PUNCAK JAYA SAMUDRA                     </v>
      </c>
      <c r="C37" s="9" t="str">
        <v>PCJ0611</v>
      </c>
      <c r="D37" s="9">
        <v>6902000006303</v>
      </c>
      <c r="E37" s="9" t="str">
        <v>SEDANG</v>
      </c>
      <c r="F37" s="9" t="str">
        <v>Tidak</v>
      </c>
      <c r="G37" s="9" t="str">
        <v>Tidak</v>
      </c>
      <c r="H37" s="9" t="str">
        <v>Tidak</v>
      </c>
      <c r="I37" s="9" t="str">
        <v>TPPO - Perusahaan PJTKI</v>
      </c>
      <c r="J37" s="9">
        <v>48</v>
      </c>
      <c r="K37" s="9">
        <v>102</v>
      </c>
      <c r="L37" s="9" t="str">
        <v>TPPO</v>
      </c>
      <c r="M37" s="9" t="str">
        <v xml:space="preserve">KC Pemalang                             </v>
      </c>
      <c r="N37" s="9" t="str">
        <v xml:space="preserve">KC Pemalang                             </v>
      </c>
      <c r="O37" s="9" t="str">
        <v xml:space="preserve">Semarang                                </v>
      </c>
      <c r="P37" s="9" t="str">
        <v>Tidak</v>
      </c>
      <c r="Q37" s="9" t="str">
        <v>Tidak</v>
      </c>
      <c r="R37" s="9" t="str">
        <v>Done</v>
      </c>
      <c r="S37" s="9" t="str">
        <v>Pending Checker</v>
      </c>
      <c r="T37" s="9" t="str">
        <v>90186796 - Devito Arya Wiradila</v>
      </c>
      <c r="U37" s="9" t="str">
        <v>"-"</v>
      </c>
      <c r="V37" s="10" t="str">
        <f>IF([1]STR!$V37 = "", "", [1]STR!$V37)</f>
        <v>Syamsul Arifianto</v>
      </c>
      <c r="W37" s="11">
        <v>46255</v>
      </c>
      <c r="X37" s="12" t="b">
        <f>[1]STR!$X37</f>
        <v>1</v>
      </c>
      <c r="Y37" t="str">
        <f>_xlfn.XLOOKUP(TRIM(B37), [4]STR!$2:$2,[4]STR!$44:$44, "")</f>
        <v/>
      </c>
    </row>
    <row r="38" spans="1:25">
      <c r="A38" s="8">
        <v>46265</v>
      </c>
      <c r="B38" s="9" t="str">
        <v xml:space="preserve">SANTIKA DIVA SEMARANG                   </v>
      </c>
      <c r="C38" s="9" t="str">
        <v>SJFHZ83</v>
      </c>
      <c r="D38" s="9">
        <v>8101010210568</v>
      </c>
      <c r="E38" s="9">
        <v>0</v>
      </c>
      <c r="F38" s="9" t="str">
        <v>Tidak</v>
      </c>
      <c r="G38" s="9" t="str">
        <v>Tidak</v>
      </c>
      <c r="H38" s="9" t="str">
        <v>Tidak</v>
      </c>
      <c r="I38" s="9" t="str">
        <v>Perpajakan</v>
      </c>
      <c r="J38" s="9">
        <v>34</v>
      </c>
      <c r="K38" s="9">
        <v>41</v>
      </c>
      <c r="L38" s="9" t="str">
        <v>Perpajakan</v>
      </c>
      <c r="M38" s="9" t="str">
        <v xml:space="preserve">KC Salatiga                             </v>
      </c>
      <c r="N38" s="9" t="str">
        <v xml:space="preserve">KC Salatiga                             </v>
      </c>
      <c r="O38" s="9" t="str">
        <v xml:space="preserve">Semarang                                </v>
      </c>
      <c r="P38" s="9" t="str">
        <v>Tidak</v>
      </c>
      <c r="Q38" s="9" t="str">
        <v>Tidak</v>
      </c>
      <c r="R38" s="9" t="str">
        <v>Done</v>
      </c>
      <c r="S38" s="9" t="str">
        <v>Pending Checker</v>
      </c>
      <c r="T38" s="9" t="str">
        <v>90186790 - Muhammad Alfin Farha</v>
      </c>
      <c r="U38" s="9" t="str">
        <v>"-"</v>
      </c>
      <c r="V38" s="10" t="str">
        <f>IF([1]STR!$V38 = "", "", [1]STR!$V38)</f>
        <v>Veronica Dwi Kurniasih</v>
      </c>
      <c r="W38" s="11">
        <v>46271</v>
      </c>
      <c r="X38" s="12" t="b">
        <f>[1]STR!$X38</f>
        <v>1</v>
      </c>
      <c r="Y38" t="str">
        <f>_xlfn.XLOOKUP(TRIM(B38), [4]STR!$2:$2,[4]STR!$44:$44, "")</f>
        <v/>
      </c>
    </row>
    <row r="39" spans="1:25">
      <c r="A39" s="8">
        <v>46265</v>
      </c>
      <c r="B39" s="9" t="str">
        <v xml:space="preserve">SANTIKA DIVA SIDOARJO                   </v>
      </c>
      <c r="C39" s="9" t="str">
        <v>SJFIN30</v>
      </c>
      <c r="D39" s="9">
        <v>8101010606565</v>
      </c>
      <c r="E39" s="9">
        <v>0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38</v>
      </c>
      <c r="K39" s="9">
        <v>41</v>
      </c>
      <c r="L39" s="9" t="str">
        <v>Perpajakan</v>
      </c>
      <c r="M39" s="9" t="str">
        <v xml:space="preserve">KC Salatiga                             </v>
      </c>
      <c r="N39" s="9" t="str">
        <v xml:space="preserve">KC Salatiga                             </v>
      </c>
      <c r="O39" s="9" t="str">
        <v xml:space="preserve">Semarang                                </v>
      </c>
      <c r="P39" s="9" t="str">
        <v>Tidak</v>
      </c>
      <c r="Q39" s="9" t="str">
        <v>Tidak</v>
      </c>
      <c r="R39" s="9" t="str">
        <v>Done</v>
      </c>
      <c r="S39" s="9" t="str">
        <v>Pending Checker</v>
      </c>
      <c r="T39" s="9" t="str">
        <v>90170665 - Mutiara Ayuningtyas</v>
      </c>
      <c r="U39" s="9" t="str">
        <v>"-"</v>
      </c>
      <c r="V39" s="10" t="str">
        <f>IF([1]STR!$V39 = "", "", [1]STR!$V39)</f>
        <v>Veronica Dwi Kurniasih</v>
      </c>
      <c r="W39" s="11">
        <v>46271</v>
      </c>
      <c r="X39" s="12" t="b">
        <f>[1]STR!$X39</f>
        <v>1</v>
      </c>
      <c r="Y39" t="str">
        <f>_xlfn.XLOOKUP(TRIM(B39), [4]STR!$2:$2,[4]STR!$44:$44, "")</f>
        <v/>
      </c>
    </row>
    <row r="40" spans="1:25">
      <c r="A40" s="8">
        <v>46265</v>
      </c>
      <c r="B40" s="9" t="str">
        <v xml:space="preserve">SANTIKA DIVA MALANG                     </v>
      </c>
      <c r="C40" s="9" t="str">
        <v>SJFJF77</v>
      </c>
      <c r="D40" s="9">
        <v>8101010810562</v>
      </c>
      <c r="E40" s="9">
        <v>0</v>
      </c>
      <c r="F40" s="9" t="str">
        <v>Tidak</v>
      </c>
      <c r="G40" s="9" t="str">
        <v>Tidak</v>
      </c>
      <c r="H40" s="9" t="str">
        <v>Tidak</v>
      </c>
      <c r="I40" s="9" t="str">
        <v>Perpajakan</v>
      </c>
      <c r="J40" s="9">
        <v>34</v>
      </c>
      <c r="K40" s="9">
        <v>41</v>
      </c>
      <c r="L40" s="9" t="str">
        <v>Perpajakan</v>
      </c>
      <c r="M40" s="9" t="str">
        <v xml:space="preserve">KC Salatiga                             </v>
      </c>
      <c r="N40" s="9" t="str">
        <v xml:space="preserve">KC Salatiga                             </v>
      </c>
      <c r="O40" s="9" t="str">
        <v xml:space="preserve">Semarang                                </v>
      </c>
      <c r="P40" s="9" t="str">
        <v>Tidak</v>
      </c>
      <c r="Q40" s="9" t="str">
        <v>Tidak</v>
      </c>
      <c r="R40" s="9" t="str">
        <v>Done</v>
      </c>
      <c r="S40" s="9" t="str">
        <v>Pending Checker</v>
      </c>
      <c r="T40" s="9" t="str">
        <v>90186796 - Devito Arya Wiradila</v>
      </c>
      <c r="U40" s="9" t="str">
        <v>"-"</v>
      </c>
      <c r="V40" s="10" t="str">
        <f>IF([1]STR!$V40 = "", "", [1]STR!$V40)</f>
        <v>Veronica Dwi Kurniasih</v>
      </c>
      <c r="W40" s="11">
        <v>46272</v>
      </c>
      <c r="X40" s="12" t="b">
        <f>[1]STR!$X40</f>
        <v>1</v>
      </c>
      <c r="Y40" t="str">
        <f>_xlfn.XLOOKUP(TRIM(B40), [4]STR!$2:$2,[4]STR!$44:$44, "")</f>
        <v/>
      </c>
    </row>
    <row r="41" spans="1:25">
      <c r="A41" s="8">
        <v>46265</v>
      </c>
      <c r="B41" s="9" t="str">
        <v xml:space="preserve">WARISAN GAYA CIANJUR                    </v>
      </c>
      <c r="C41" s="9" t="str">
        <v>WMF1795</v>
      </c>
      <c r="D41" s="9">
        <v>8101011301566</v>
      </c>
      <c r="E41" s="9">
        <v>0</v>
      </c>
      <c r="F41" s="9" t="str">
        <v>Tidak</v>
      </c>
      <c r="G41" s="9" t="str">
        <v>Tidak</v>
      </c>
      <c r="H41" s="9" t="str">
        <v>Tidak</v>
      </c>
      <c r="I41" s="9" t="str">
        <v>Perpajakan</v>
      </c>
      <c r="J41" s="9">
        <v>36</v>
      </c>
      <c r="K41" s="9">
        <v>41</v>
      </c>
      <c r="L41" s="9" t="str">
        <v>Perpajakan</v>
      </c>
      <c r="M41" s="9" t="str">
        <v xml:space="preserve">KC Salatiga                             </v>
      </c>
      <c r="N41" s="9" t="str">
        <v xml:space="preserve">KC Salatiga                             </v>
      </c>
      <c r="O41" s="9" t="str">
        <v xml:space="preserve">Semarang                                </v>
      </c>
      <c r="P41" s="9" t="str">
        <v>Tidak</v>
      </c>
      <c r="Q41" s="9" t="str">
        <v>Tidak</v>
      </c>
      <c r="R41" s="9" t="str">
        <v>Done</v>
      </c>
      <c r="S41" s="9" t="str">
        <v>Pending Checker</v>
      </c>
      <c r="T41" s="9" t="str">
        <v>90185537 - Moh.Khoerul Fajar Ar</v>
      </c>
      <c r="U41" s="9" t="str">
        <v>"-"</v>
      </c>
      <c r="V41" s="10" t="str">
        <f>IF([1]STR!$V41 = "", "", [1]STR!$V41)</f>
        <v>Veronica Dwi Kurniasih</v>
      </c>
      <c r="W41" s="11">
        <v>46271</v>
      </c>
      <c r="X41" s="12" t="b">
        <f>[1]STR!$X41</f>
        <v>1</v>
      </c>
      <c r="Y41" t="str">
        <f>_xlfn.XLOOKUP(TRIM(B41), [4]STR!$2:$2,[4]STR!$44:$44, "")</f>
        <v/>
      </c>
    </row>
    <row r="42" spans="1:25">
      <c r="A42" s="8">
        <v>46265</v>
      </c>
      <c r="B42" s="9" t="str">
        <v xml:space="preserve">WARISAN GAYA MERR                       </v>
      </c>
      <c r="C42" s="9" t="str">
        <v>WLR6772</v>
      </c>
      <c r="D42" s="9">
        <v>8101011204560</v>
      </c>
      <c r="E42" s="9">
        <v>0</v>
      </c>
      <c r="F42" s="9" t="str">
        <v>Tidak</v>
      </c>
      <c r="G42" s="9" t="str">
        <v>Tidak</v>
      </c>
      <c r="H42" s="9" t="str">
        <v>Tidak</v>
      </c>
      <c r="I42" s="9" t="str">
        <v>Perpajakan</v>
      </c>
      <c r="J42" s="9">
        <v>34</v>
      </c>
      <c r="K42" s="9">
        <v>41</v>
      </c>
      <c r="L42" s="9" t="str">
        <v>Perpajakan</v>
      </c>
      <c r="M42" s="9" t="str">
        <v xml:space="preserve">KC Salatiga                             </v>
      </c>
      <c r="N42" s="9" t="str">
        <v xml:space="preserve">KC Salatiga                             </v>
      </c>
      <c r="O42" s="9" t="str">
        <v xml:space="preserve">Semarang                                </v>
      </c>
      <c r="P42" s="9" t="str">
        <v>Tidak</v>
      </c>
      <c r="Q42" s="9" t="str">
        <v>Tidak</v>
      </c>
      <c r="R42" s="9" t="str">
        <v>Done</v>
      </c>
      <c r="S42" s="9" t="str">
        <v>Pending Checker</v>
      </c>
      <c r="T42" s="9" t="str">
        <v>00394520 - Frida Akbar Rani</v>
      </c>
      <c r="U42" s="9" t="str">
        <v>"-"</v>
      </c>
      <c r="V42" s="10" t="str">
        <f>IF([1]STR!$V42 = "", "", [1]STR!$V42)</f>
        <v>Veronica Dwi Kurniasih</v>
      </c>
      <c r="W42" s="11">
        <v>46272</v>
      </c>
      <c r="X42" s="12" t="b">
        <f>[1]STR!$X42</f>
        <v>1</v>
      </c>
      <c r="Y42" t="str">
        <f>_xlfn.XLOOKUP(TRIM(B42), [4]STR!$2:$2,[4]STR!$44:$44, "")</f>
        <v/>
      </c>
    </row>
    <row r="43" spans="1:25">
      <c r="A43" s="8">
        <v>46265</v>
      </c>
      <c r="B43" s="9" t="str">
        <v xml:space="preserve">TUTI ROHMATIN                           </v>
      </c>
      <c r="C43" s="9" t="str">
        <v>TP23439</v>
      </c>
      <c r="D43" s="9">
        <v>67601000597569</v>
      </c>
      <c r="E43" s="9" t="str">
        <v>RENDAH</v>
      </c>
      <c r="F43" s="9" t="str">
        <v>Tidak</v>
      </c>
      <c r="G43" s="9" t="str">
        <v>Tidak</v>
      </c>
      <c r="H43" s="9" t="str">
        <v>Tidak</v>
      </c>
      <c r="I43" s="9" t="str">
        <v>Pencurian Rekening</v>
      </c>
      <c r="J43" s="9">
        <v>32</v>
      </c>
      <c r="K43" s="9">
        <v>59</v>
      </c>
      <c r="L43" s="9" t="str">
        <v>Perbankan</v>
      </c>
      <c r="M43" s="9" t="str">
        <v xml:space="preserve">KCP JATIBARANG                          </v>
      </c>
      <c r="N43" s="9" t="str">
        <v xml:space="preserve">KC Brebes                               </v>
      </c>
      <c r="O43" s="9" t="str">
        <v xml:space="preserve">Semarang                                </v>
      </c>
      <c r="P43" s="9" t="str">
        <v>Tidak</v>
      </c>
      <c r="Q43" s="9" t="str">
        <v>Tidak</v>
      </c>
      <c r="R43" s="9" t="str">
        <v>Done</v>
      </c>
      <c r="S43" s="9" t="str">
        <v>Pending Checker</v>
      </c>
      <c r="T43" s="9" t="str">
        <v>00336949 - Mochammad Al Farabi</v>
      </c>
      <c r="U43" s="9" t="str">
        <v>"-"</v>
      </c>
      <c r="V43" s="10" t="str">
        <f>IF([1]STR!$V43 = "", "", [1]STR!$V43)</f>
        <v>Veronica Dwi Kurniasih</v>
      </c>
      <c r="W43" s="11">
        <v>46253</v>
      </c>
      <c r="X43" s="12" t="b">
        <f>[1]STR!$X43</f>
        <v>1</v>
      </c>
      <c r="Y43" t="str">
        <f>_xlfn.XLOOKUP(TRIM(B43), [4]STR!$2:$2,[4]STR!$44:$44, "")</f>
        <v/>
      </c>
    </row>
    <row r="44" spans="1:25">
      <c r="A44" s="8">
        <v>46265</v>
      </c>
      <c r="B44" s="9" t="str">
        <v xml:space="preserve">IKA SAFITRI                             </v>
      </c>
      <c r="C44" s="9" t="str">
        <v>IWK4474</v>
      </c>
      <c r="D44" s="9">
        <v>303301065193537</v>
      </c>
      <c r="E44" s="9" t="str">
        <v>SEDANG</v>
      </c>
      <c r="F44" s="9" t="str">
        <v>Ya</v>
      </c>
      <c r="G44" s="9" t="str">
        <v>Tidak</v>
      </c>
      <c r="H44" s="9" t="str">
        <v>Tidak</v>
      </c>
      <c r="I44" s="9" t="str">
        <v>Pencurian Rekening</v>
      </c>
      <c r="J44" s="9">
        <v>49</v>
      </c>
      <c r="K44" s="9">
        <v>59</v>
      </c>
      <c r="L44" s="9" t="str">
        <v>Perbankan</v>
      </c>
      <c r="M44" s="9" t="str">
        <v xml:space="preserve">UNIT GENUK SEMARANG                     </v>
      </c>
      <c r="N44" s="9" t="str">
        <v xml:space="preserve">KC Semarang A. Yani                     </v>
      </c>
      <c r="O44" s="9" t="str">
        <v xml:space="preserve">Semarang                                </v>
      </c>
      <c r="P44" s="9" t="str">
        <v>Tidak</v>
      </c>
      <c r="Q44" s="9" t="str">
        <v>Tidak</v>
      </c>
      <c r="R44" s="9" t="str">
        <v>Done</v>
      </c>
      <c r="S44" s="9" t="str">
        <v>Pending Checker</v>
      </c>
      <c r="T44" s="9" t="str">
        <v>00336949 - Mochammad Al Farabi</v>
      </c>
      <c r="U44" s="9" t="str">
        <v>"-"</v>
      </c>
      <c r="V44" s="10" t="str">
        <f>IF([1]STR!$V44 = "", "", [1]STR!$V44)</f>
        <v>Veronica Dwi Kurniasih</v>
      </c>
      <c r="W44" s="11">
        <v>46252</v>
      </c>
      <c r="X44" s="12" t="b">
        <f>[1]STR!$X44</f>
        <v>1</v>
      </c>
      <c r="Y44" t="str">
        <f>_xlfn.XLOOKUP(TRIM(B44), [4]STR!$2:$2,[4]STR!$44:$44, "")</f>
        <v/>
      </c>
    </row>
    <row r="45" spans="1:25">
      <c r="A45" s="8">
        <v>46265</v>
      </c>
      <c r="B45" s="9" t="str">
        <v xml:space="preserve">JELITA ELANG SEMARANG                   </v>
      </c>
      <c r="C45" s="9" t="str">
        <v>JNL1675</v>
      </c>
      <c r="D45" s="9">
        <v>8101010209567</v>
      </c>
      <c r="E45" s="9">
        <v>0</v>
      </c>
      <c r="F45" s="9" t="str">
        <v>Tidak</v>
      </c>
      <c r="G45" s="9" t="str">
        <v>Tidak</v>
      </c>
      <c r="H45" s="9" t="str">
        <v>Tidak</v>
      </c>
      <c r="I45" s="9" t="str">
        <v>Perpajakan</v>
      </c>
      <c r="J45" s="9">
        <v>38</v>
      </c>
      <c r="K45" s="9">
        <v>41</v>
      </c>
      <c r="L45" s="9" t="str">
        <v>Perpajakan</v>
      </c>
      <c r="M45" s="9" t="str">
        <v xml:space="preserve">KC Salatiga                             </v>
      </c>
      <c r="N45" s="9" t="str">
        <v xml:space="preserve">KC Salatiga                             </v>
      </c>
      <c r="O45" s="9" t="str">
        <v xml:space="preserve">Semarang                                </v>
      </c>
      <c r="P45" s="9" t="str">
        <v>Tidak</v>
      </c>
      <c r="Q45" s="9" t="str">
        <v>Tidak</v>
      </c>
      <c r="R45" s="9" t="str">
        <v>Done</v>
      </c>
      <c r="S45" s="9" t="str">
        <v>Pending Checker</v>
      </c>
      <c r="T45" s="9" t="str">
        <v>90171841 - Rifqi Aziz</v>
      </c>
      <c r="U45" s="9" t="str">
        <v>"-"</v>
      </c>
      <c r="V45" s="10" t="str">
        <f>IF([1]STR!$V45 = "", "", [1]STR!$V45)</f>
        <v>Veronica Dwi Kurniasih</v>
      </c>
      <c r="W45" s="11">
        <v>46271</v>
      </c>
      <c r="X45" s="12" t="b">
        <f>[1]STR!$X45</f>
        <v>1</v>
      </c>
      <c r="Y45" t="str">
        <f>_xlfn.XLOOKUP(TRIM(B45), [4]STR!$2:$2,[4]STR!$44:$44, "")</f>
        <v/>
      </c>
    </row>
    <row r="46" spans="1:25">
      <c r="A46" s="8">
        <v>46265</v>
      </c>
      <c r="B46" s="9" t="str">
        <v xml:space="preserve">JELITA ELANG SIDOARJO                   </v>
      </c>
      <c r="C46" s="9" t="str">
        <v>JNL2222</v>
      </c>
      <c r="D46" s="9">
        <v>8101010609563</v>
      </c>
      <c r="E46" s="9">
        <v>0</v>
      </c>
      <c r="F46" s="9" t="str">
        <v>Tidak</v>
      </c>
      <c r="G46" s="9" t="str">
        <v>Tidak</v>
      </c>
      <c r="H46" s="9" t="str">
        <v>Tidak</v>
      </c>
      <c r="I46" s="9" t="str">
        <v>Perpajakan</v>
      </c>
      <c r="J46" s="9">
        <v>36</v>
      </c>
      <c r="K46" s="9">
        <v>41</v>
      </c>
      <c r="L46" s="9" t="str">
        <v>Perpajakan</v>
      </c>
      <c r="M46" s="9" t="str">
        <v xml:space="preserve">KC Salatiga                             </v>
      </c>
      <c r="N46" s="9" t="str">
        <v xml:space="preserve">KC Salatiga                             </v>
      </c>
      <c r="O46" s="9" t="str">
        <v xml:space="preserve">Semarang                                </v>
      </c>
      <c r="P46" s="9" t="str">
        <v>Tidak</v>
      </c>
      <c r="Q46" s="9" t="str">
        <v>Tidak</v>
      </c>
      <c r="R46" s="9" t="str">
        <v>Done</v>
      </c>
      <c r="S46" s="9" t="str">
        <v>Pending Checker</v>
      </c>
      <c r="T46" s="9" t="str">
        <v>90186796 - Devito Arya Wiradila</v>
      </c>
      <c r="U46" s="9" t="str">
        <v>"-"</v>
      </c>
      <c r="V46" s="10" t="str">
        <f>IF([1]STR!$V46 = "", "", [1]STR!$V46)</f>
        <v>Veronica Dwi Kurniasih</v>
      </c>
      <c r="W46" s="11">
        <v>46271</v>
      </c>
      <c r="X46" s="12" t="b">
        <f>[1]STR!$X46</f>
        <v>1</v>
      </c>
      <c r="Y46" t="str">
        <f>_xlfn.XLOOKUP(TRIM(B46), [4]STR!$2:$2,[4]STR!$44:$44, "")</f>
        <v/>
      </c>
    </row>
    <row r="47" spans="1:25">
      <c r="A47" s="8">
        <v>46265</v>
      </c>
      <c r="B47" s="9" t="str">
        <v xml:space="preserve">JELITA ELANG MALANG                     </v>
      </c>
      <c r="C47" s="9" t="str">
        <v>JNL3426</v>
      </c>
      <c r="D47" s="9">
        <v>8101010808565</v>
      </c>
      <c r="E47" s="9">
        <v>0</v>
      </c>
      <c r="F47" s="9" t="str">
        <v>Tidak</v>
      </c>
      <c r="G47" s="9" t="str">
        <v>Tidak</v>
      </c>
      <c r="H47" s="9" t="str">
        <v>Tidak</v>
      </c>
      <c r="I47" s="9" t="str">
        <v>Perpajakan</v>
      </c>
      <c r="J47" s="9">
        <v>38</v>
      </c>
      <c r="K47" s="9">
        <v>41</v>
      </c>
      <c r="L47" s="9" t="str">
        <v>Perpajakan</v>
      </c>
      <c r="M47" s="9" t="str">
        <v xml:space="preserve">KC Salatiga                             </v>
      </c>
      <c r="N47" s="9" t="str">
        <v xml:space="preserve">KC Salatiga                             </v>
      </c>
      <c r="O47" s="9" t="str">
        <v xml:space="preserve">Semarang                                </v>
      </c>
      <c r="P47" s="9" t="str">
        <v>Tidak</v>
      </c>
      <c r="Q47" s="9" t="str">
        <v>Tidak</v>
      </c>
      <c r="R47" s="9" t="str">
        <v>Done</v>
      </c>
      <c r="S47" s="9" t="str">
        <v>Pending Checker</v>
      </c>
      <c r="T47" s="9" t="str">
        <v>90170665 - Mutiara Ayuningtyas</v>
      </c>
      <c r="U47" s="9" t="str">
        <v>"-"</v>
      </c>
      <c r="V47" s="10" t="str">
        <f>IF([1]STR!$V47 = "", "", [1]STR!$V47)</f>
        <v>Veronica Dwi Kurniasih</v>
      </c>
      <c r="W47" s="11">
        <v>46272</v>
      </c>
      <c r="X47" s="12" t="b">
        <f>[1]STR!$X47</f>
        <v>1</v>
      </c>
      <c r="Y47" t="str">
        <f>_xlfn.XLOOKUP(TRIM(B47), [4]STR!$2:$2,[4]STR!$44:$44, "")</f>
        <v/>
      </c>
    </row>
    <row r="48" spans="1:25">
      <c r="A48" s="8">
        <v>46265</v>
      </c>
      <c r="B48" s="9" t="str">
        <v>KOPERASI SIMPAN PINJAM ARTHA GUNA SEJAHT</v>
      </c>
      <c r="C48" s="9" t="str">
        <v>KSU5752</v>
      </c>
      <c r="D48" s="9">
        <v>60901001262304</v>
      </c>
      <c r="E48" s="9" t="str">
        <v>SEDANG</v>
      </c>
      <c r="F48" s="9" t="str">
        <v>Tidak</v>
      </c>
      <c r="G48" s="9" t="str">
        <v>Tidak</v>
      </c>
      <c r="H48" s="9" t="str">
        <v>Tidak</v>
      </c>
      <c r="I48" s="9" t="str">
        <v>Perpajakan</v>
      </c>
      <c r="J48" s="9">
        <v>51</v>
      </c>
      <c r="K48" s="9">
        <v>41</v>
      </c>
      <c r="L48" s="9" t="str">
        <v>Perpajakan</v>
      </c>
      <c r="M48" s="9" t="str">
        <v xml:space="preserve">KC Semarang A. Yani                     </v>
      </c>
      <c r="N48" s="9" t="str">
        <v xml:space="preserve">KC Semarang A. Yani                     </v>
      </c>
      <c r="O48" s="9" t="str">
        <v xml:space="preserve">Semarang                                </v>
      </c>
      <c r="P48" s="9" t="str">
        <v>Tidak</v>
      </c>
      <c r="Q48" s="9" t="str">
        <v>Tidak</v>
      </c>
      <c r="R48" s="9" t="str">
        <v>Done</v>
      </c>
      <c r="S48" s="9" t="str">
        <v>Pending Checker</v>
      </c>
      <c r="T48" s="9" t="str">
        <v>90185537 - Moh.Khoerul Fajar Ar</v>
      </c>
      <c r="U48" s="9" t="str">
        <v>"-"</v>
      </c>
      <c r="V48" s="10" t="str">
        <f>IF([1]STR!$V48 = "", "", [1]STR!$V48)</f>
        <v>Veronica Dwi Kurniasih</v>
      </c>
      <c r="W48" s="11">
        <v>46258</v>
      </c>
      <c r="X48" s="12" t="b">
        <f>[1]STR!$X48</f>
        <v>1</v>
      </c>
      <c r="Y48" t="str">
        <f>_xlfn.XLOOKUP(TRIM(B48), [4]STR!$2:$2,[4]STR!$44:$44, "")</f>
        <v/>
      </c>
    </row>
    <row r="49" spans="1:25">
      <c r="A49" s="8">
        <v>46265</v>
      </c>
      <c r="B49" s="9" t="str">
        <v xml:space="preserve">CV BENGAWAN RAHMAT CIANJUR              </v>
      </c>
      <c r="C49" s="9" t="str">
        <v>CW99463</v>
      </c>
      <c r="D49" s="9">
        <v>8101011305560</v>
      </c>
      <c r="E49" s="9">
        <v>0</v>
      </c>
      <c r="F49" s="9" t="str">
        <v>Tidak</v>
      </c>
      <c r="G49" s="9" t="str">
        <v>Tidak</v>
      </c>
      <c r="H49" s="9" t="str">
        <v>Tidak</v>
      </c>
      <c r="I49" s="9" t="str">
        <v>Perpajakan</v>
      </c>
      <c r="J49" s="9">
        <v>36</v>
      </c>
      <c r="K49" s="9">
        <v>41</v>
      </c>
      <c r="L49" s="9" t="str">
        <v>Perpajakan</v>
      </c>
      <c r="M49" s="9" t="str">
        <v xml:space="preserve">KC Salatiga                             </v>
      </c>
      <c r="N49" s="9" t="str">
        <v xml:space="preserve">KC Salatiga                             </v>
      </c>
      <c r="O49" s="9" t="str">
        <v xml:space="preserve">Semarang                                </v>
      </c>
      <c r="P49" s="9" t="str">
        <v>Tidak</v>
      </c>
      <c r="Q49" s="9" t="str">
        <v>Tidak</v>
      </c>
      <c r="R49" s="9" t="str">
        <v>Done</v>
      </c>
      <c r="S49" s="9" t="str">
        <v>Pending Checker</v>
      </c>
      <c r="T49" s="9" t="str">
        <v>00394520 - Frida Akbar Rani</v>
      </c>
      <c r="U49" s="9" t="str">
        <v>"-"</v>
      </c>
      <c r="V49" s="10" t="str">
        <f>IF([1]STR!$V49 = "", "", [1]STR!$V49)</f>
        <v>Syamsul Arifianto</v>
      </c>
      <c r="W49" s="11">
        <v>46273</v>
      </c>
      <c r="X49" s="12" t="b">
        <f>[1]STR!$X49</f>
        <v>1</v>
      </c>
      <c r="Y49" t="str">
        <f>_xlfn.XLOOKUP(TRIM(B49), [4]STR!$2:$2,[4]STR!$44:$44, "")</f>
        <v/>
      </c>
    </row>
    <row r="50" spans="1:25">
      <c r="A50" s="8">
        <v>46265</v>
      </c>
      <c r="B50" s="9" t="str">
        <v xml:space="preserve">CV ANGKASA PELANGI CIANJUR              </v>
      </c>
      <c r="C50" s="9" t="str">
        <v>CW99466</v>
      </c>
      <c r="D50" s="9">
        <v>8101011303568</v>
      </c>
      <c r="E50" s="9">
        <v>0</v>
      </c>
      <c r="F50" s="9" t="str">
        <v>Tidak</v>
      </c>
      <c r="G50" s="9" t="str">
        <v>Tidak</v>
      </c>
      <c r="H50" s="9" t="str">
        <v>Tidak</v>
      </c>
      <c r="I50" s="9" t="str">
        <v>Perpajakan</v>
      </c>
      <c r="J50" s="9">
        <v>35</v>
      </c>
      <c r="K50" s="9">
        <v>41</v>
      </c>
      <c r="L50" s="9" t="str">
        <v>Perpajakan</v>
      </c>
      <c r="M50" s="9" t="str">
        <v xml:space="preserve">KC Salatiga                             </v>
      </c>
      <c r="N50" s="9" t="str">
        <v xml:space="preserve">KC Salatiga                             </v>
      </c>
      <c r="O50" s="9" t="str">
        <v xml:space="preserve">Semarang                                </v>
      </c>
      <c r="P50" s="9" t="str">
        <v>Tidak</v>
      </c>
      <c r="Q50" s="9" t="str">
        <v>Tidak</v>
      </c>
      <c r="R50" s="9" t="str">
        <v>Done</v>
      </c>
      <c r="S50" s="9" t="str">
        <v>Pending Checker</v>
      </c>
      <c r="T50" s="9" t="str">
        <v>90186790 - Muhammad Alfin Farha</v>
      </c>
      <c r="U50" s="9" t="str">
        <v>"-"</v>
      </c>
      <c r="V50" s="10" t="str">
        <f>IF([1]STR!$V50 = "", "", [1]STR!$V50)</f>
        <v>Syamsul Arifianto</v>
      </c>
      <c r="W50" s="11">
        <v>46272</v>
      </c>
      <c r="X50" s="12" t="b">
        <f>[1]STR!$X50</f>
        <v>1</v>
      </c>
      <c r="Y50" t="str">
        <f>_xlfn.XLOOKUP(TRIM(B50), [4]STR!$2:$2,[4]STR!$44:$44, "")</f>
        <v/>
      </c>
    </row>
    <row r="51" spans="1:25">
      <c r="A51" s="8">
        <v>46265</v>
      </c>
      <c r="B51" s="9" t="str">
        <v xml:space="preserve">CV BARA PELITA CIANJUR                  </v>
      </c>
      <c r="C51" s="9" t="str">
        <v>CW99467</v>
      </c>
      <c r="D51" s="9">
        <v>8101011304564</v>
      </c>
      <c r="E51" s="9">
        <v>0</v>
      </c>
      <c r="F51" s="9" t="str">
        <v>Tidak</v>
      </c>
      <c r="G51" s="9" t="str">
        <v>Tidak</v>
      </c>
      <c r="H51" s="9" t="str">
        <v>Tidak</v>
      </c>
      <c r="I51" s="9" t="str">
        <v>Perpajakan</v>
      </c>
      <c r="J51" s="9">
        <v>36</v>
      </c>
      <c r="K51" s="9">
        <v>41</v>
      </c>
      <c r="L51" s="9" t="str">
        <v>Perpajakan</v>
      </c>
      <c r="M51" s="9" t="str">
        <v xml:space="preserve">KC Salatiga                             </v>
      </c>
      <c r="N51" s="9" t="str">
        <v xml:space="preserve">KC Salatiga                             </v>
      </c>
      <c r="O51" s="9" t="str">
        <v xml:space="preserve">Semarang                                </v>
      </c>
      <c r="P51" s="9" t="str">
        <v>Tidak</v>
      </c>
      <c r="Q51" s="9" t="str">
        <v>Tidak</v>
      </c>
      <c r="R51" s="9" t="str">
        <v>Done</v>
      </c>
      <c r="S51" s="9" t="str">
        <v>Pending Checker</v>
      </c>
      <c r="T51" s="9" t="str">
        <v>90186796 - Devito Arya Wiradila</v>
      </c>
      <c r="U51" s="9" t="str">
        <v>"-"</v>
      </c>
      <c r="V51" s="10" t="str">
        <f>IF([1]STR!$V51 = "", "", [1]STR!$V51)</f>
        <v>Syamsul Arifianto</v>
      </c>
      <c r="W51" s="11">
        <v>46273</v>
      </c>
      <c r="X51" s="12" t="b">
        <f>[1]STR!$X51</f>
        <v>1</v>
      </c>
      <c r="Y51" t="str">
        <f>_xlfn.XLOOKUP(TRIM(B51), [4]STR!$2:$2,[4]STR!$44:$44, "")</f>
        <v/>
      </c>
    </row>
    <row r="52" spans="1:25">
      <c r="A52" s="8">
        <v>46265</v>
      </c>
      <c r="B52" s="9" t="str">
        <v xml:space="preserve">CV JELITA ELANG CIANJUR                 </v>
      </c>
      <c r="C52" s="9" t="str">
        <v>CW99468</v>
      </c>
      <c r="D52" s="9">
        <v>8101011306566</v>
      </c>
      <c r="E52" s="9">
        <v>0</v>
      </c>
      <c r="F52" s="9" t="str">
        <v>Tidak</v>
      </c>
      <c r="G52" s="9" t="str">
        <v>Tidak</v>
      </c>
      <c r="H52" s="9" t="str">
        <v>Tidak</v>
      </c>
      <c r="I52" s="9" t="str">
        <v>Perpajakan</v>
      </c>
      <c r="J52" s="9">
        <v>33</v>
      </c>
      <c r="K52" s="9">
        <v>41</v>
      </c>
      <c r="L52" s="9" t="str">
        <v>Perpajakan</v>
      </c>
      <c r="M52" s="9" t="str">
        <v xml:space="preserve">KC Salatiga                             </v>
      </c>
      <c r="N52" s="9" t="str">
        <v xml:space="preserve">KC Salatiga                             </v>
      </c>
      <c r="O52" s="9" t="str">
        <v xml:space="preserve">Semarang                                </v>
      </c>
      <c r="P52" s="9" t="str">
        <v>Tidak</v>
      </c>
      <c r="Q52" s="9" t="str">
        <v>Tidak</v>
      </c>
      <c r="R52" s="9" t="str">
        <v>Done</v>
      </c>
      <c r="S52" s="9" t="str">
        <v>Pending Checker</v>
      </c>
      <c r="T52" s="9" t="str">
        <v>00336949 - Mochammad Al Farabi</v>
      </c>
      <c r="U52" s="9" t="str">
        <v>"-"</v>
      </c>
      <c r="V52" s="10" t="str">
        <f>IF([1]STR!$V52 = "", "", [1]STR!$V52)</f>
        <v>Syamsul Arifianto</v>
      </c>
      <c r="W52" s="11">
        <v>46273</v>
      </c>
      <c r="X52" s="12" t="b">
        <f>[1]STR!$X52</f>
        <v>1</v>
      </c>
      <c r="Y52" t="str">
        <f>_xlfn.XLOOKUP(TRIM(B52), [4]STR!$2:$2,[4]STR!$44:$44, "")</f>
        <v/>
      </c>
    </row>
    <row r="53" spans="1:25">
      <c r="A53" s="8">
        <v>46265</v>
      </c>
      <c r="B53" s="9" t="str">
        <v xml:space="preserve">CV MULIA ABADI CIANJUR                  </v>
      </c>
      <c r="C53" s="9" t="str">
        <v>CW99496</v>
      </c>
      <c r="D53" s="9">
        <v>8101011308568</v>
      </c>
      <c r="E53" s="9">
        <v>0</v>
      </c>
      <c r="F53" s="9" t="str">
        <v>Tidak</v>
      </c>
      <c r="G53" s="9" t="str">
        <v>Tidak</v>
      </c>
      <c r="H53" s="9" t="str">
        <v>Tidak</v>
      </c>
      <c r="I53" s="9" t="str">
        <v>Perpajakan</v>
      </c>
      <c r="J53" s="9">
        <v>36</v>
      </c>
      <c r="K53" s="9">
        <v>41</v>
      </c>
      <c r="L53" s="9" t="str">
        <v>Perpajakan</v>
      </c>
      <c r="M53" s="9" t="str">
        <v xml:space="preserve">KC Salatiga                             </v>
      </c>
      <c r="N53" s="9" t="str">
        <v xml:space="preserve">KC Salatiga                             </v>
      </c>
      <c r="O53" s="9" t="str">
        <v xml:space="preserve">Semarang                                </v>
      </c>
      <c r="P53" s="9" t="str">
        <v>Tidak</v>
      </c>
      <c r="Q53" s="9" t="str">
        <v>Tidak</v>
      </c>
      <c r="R53" s="9" t="str">
        <v>Done</v>
      </c>
      <c r="S53" s="9" t="str">
        <v>Pending Checker</v>
      </c>
      <c r="T53" s="9" t="str">
        <v>00394520 - Frida Akbar Rani</v>
      </c>
      <c r="U53" s="9" t="str">
        <v>"-"</v>
      </c>
      <c r="V53" s="10" t="str">
        <f>IF([1]STR!$V53 = "", "", [1]STR!$V53)</f>
        <v>Veronica Dwi Kurniasih</v>
      </c>
      <c r="W53" s="11">
        <v>46273</v>
      </c>
      <c r="X53" s="12" t="b">
        <f>[1]STR!$X53</f>
        <v>1</v>
      </c>
      <c r="Y53" t="str">
        <f>_xlfn.XLOOKUP(TRIM(B53), [4]STR!$2:$2,[4]STR!$44:$44, "")</f>
        <v/>
      </c>
    </row>
    <row r="54" spans="1:25">
      <c r="A54" s="8">
        <v>46265</v>
      </c>
      <c r="B54" s="9" t="str">
        <v xml:space="preserve">CV MULTI PESONA CIANJUR                 </v>
      </c>
      <c r="C54" s="9" t="str">
        <v>CW99498</v>
      </c>
      <c r="D54" s="9">
        <v>8101011309564</v>
      </c>
      <c r="E54" s="9">
        <v>0</v>
      </c>
      <c r="F54" s="9" t="str">
        <v>Tidak</v>
      </c>
      <c r="G54" s="9" t="str">
        <v>Tidak</v>
      </c>
      <c r="H54" s="9" t="str">
        <v>Tidak</v>
      </c>
      <c r="I54" s="9" t="str">
        <v>Perpajakan</v>
      </c>
      <c r="J54" s="9">
        <v>35</v>
      </c>
      <c r="K54" s="9">
        <v>41</v>
      </c>
      <c r="L54" s="9" t="str">
        <v>Perpajakan</v>
      </c>
      <c r="M54" s="9" t="str">
        <v xml:space="preserve">KC Salatiga                             </v>
      </c>
      <c r="N54" s="9" t="str">
        <v xml:space="preserve">KC Salatiga                             </v>
      </c>
      <c r="O54" s="9" t="str">
        <v xml:space="preserve">Semarang                                </v>
      </c>
      <c r="P54" s="9" t="str">
        <v>Tidak</v>
      </c>
      <c r="Q54" s="9" t="str">
        <v>Tidak</v>
      </c>
      <c r="R54" s="9" t="str">
        <v>Done</v>
      </c>
      <c r="S54" s="9" t="str">
        <v>Pending Checker</v>
      </c>
      <c r="T54" s="9" t="str">
        <v>00394521 - Muhammad Hibbanduta</v>
      </c>
      <c r="U54" s="9" t="str">
        <v>"-"</v>
      </c>
      <c r="V54" s="10" t="str">
        <f>IF([1]STR!$V54 = "", "", [1]STR!$V54)</f>
        <v>Veronica Dwi Kurniasih</v>
      </c>
      <c r="W54" s="11">
        <v>46273</v>
      </c>
      <c r="X54" s="12" t="b">
        <f>[1]STR!$X54</f>
        <v>1</v>
      </c>
      <c r="Y54" t="str">
        <f>_xlfn.XLOOKUP(TRIM(B54), [4]STR!$2:$2,[4]STR!$44:$44, "")</f>
        <v/>
      </c>
    </row>
    <row r="55" spans="1:25">
      <c r="A55" s="8">
        <v>46265</v>
      </c>
      <c r="B55" s="9" t="str">
        <v xml:space="preserve">CV MUARA TALENTA CIANJUR                </v>
      </c>
      <c r="C55" s="9" t="str">
        <v>CW99499</v>
      </c>
      <c r="D55" s="9">
        <v>8101010307569</v>
      </c>
      <c r="E55" s="9">
        <v>0</v>
      </c>
      <c r="F55" s="9" t="str">
        <v>Tidak</v>
      </c>
      <c r="G55" s="9" t="str">
        <v>Tidak</v>
      </c>
      <c r="H55" s="9" t="str">
        <v>Tidak</v>
      </c>
      <c r="I55" s="9" t="str">
        <v>Perpajakan</v>
      </c>
      <c r="J55" s="9">
        <v>36</v>
      </c>
      <c r="K55" s="9">
        <v>41</v>
      </c>
      <c r="L55" s="9" t="str">
        <v>Perpajakan</v>
      </c>
      <c r="M55" s="9" t="str">
        <v xml:space="preserve">KC Salatiga                             </v>
      </c>
      <c r="N55" s="9" t="str">
        <v xml:space="preserve">KC Salatiga                             </v>
      </c>
      <c r="O55" s="9" t="str">
        <v xml:space="preserve">Semarang                                </v>
      </c>
      <c r="P55" s="9" t="str">
        <v>Tidak</v>
      </c>
      <c r="Q55" s="9" t="str">
        <v>Tidak</v>
      </c>
      <c r="R55" s="9" t="str">
        <v>Done</v>
      </c>
      <c r="S55" s="9" t="str">
        <v>Pending Checker</v>
      </c>
      <c r="T55" s="9" t="str">
        <v>90150130 - Intan Aida Pratiwi</v>
      </c>
      <c r="U55" s="9" t="str">
        <v>"-"</v>
      </c>
      <c r="V55" s="10" t="str">
        <f>IF([1]STR!$V55 = "", "", [1]STR!$V55)</f>
        <v>Syamsul Arifianto</v>
      </c>
      <c r="W55" s="11">
        <v>46273</v>
      </c>
      <c r="X55" s="12" t="b">
        <f>[1]STR!$X55</f>
        <v>1</v>
      </c>
      <c r="Y55" t="str">
        <f>_xlfn.XLOOKUP(TRIM(B55), [4]STR!$2:$2,[4]STR!$44:$44, "")</f>
        <v/>
      </c>
    </row>
    <row r="56" spans="1:25">
      <c r="A56" s="8">
        <v>46265</v>
      </c>
      <c r="B56" s="9" t="str">
        <v xml:space="preserve">CV SANTIKA DIVA CIANJUR                 </v>
      </c>
      <c r="C56" s="9" t="str">
        <v>CW99861</v>
      </c>
      <c r="D56" s="9">
        <v>8101011310565</v>
      </c>
      <c r="E56" s="9">
        <v>0</v>
      </c>
      <c r="F56" s="9" t="str">
        <v>Tidak</v>
      </c>
      <c r="G56" s="9" t="str">
        <v>Tidak</v>
      </c>
      <c r="H56" s="9" t="str">
        <v>Tidak</v>
      </c>
      <c r="I56" s="9" t="str">
        <v>Perpajakan</v>
      </c>
      <c r="J56" s="9">
        <v>35</v>
      </c>
      <c r="K56" s="9">
        <v>41</v>
      </c>
      <c r="L56" s="9" t="str">
        <v>Perpajakan</v>
      </c>
      <c r="M56" s="9" t="str">
        <v xml:space="preserve">KC Salatiga                             </v>
      </c>
      <c r="N56" s="9" t="str">
        <v xml:space="preserve">KC Salatiga                             </v>
      </c>
      <c r="O56" s="9" t="str">
        <v xml:space="preserve">Semarang                                </v>
      </c>
      <c r="P56" s="9" t="str">
        <v>Tidak</v>
      </c>
      <c r="Q56" s="9" t="str">
        <v>Tidak</v>
      </c>
      <c r="R56" s="9" t="str">
        <v>Done</v>
      </c>
      <c r="S56" s="9" t="str">
        <v>Pending Checker</v>
      </c>
      <c r="T56" s="9" t="str">
        <v>90170665 - Mutiara Ayuningtyas</v>
      </c>
      <c r="U56" s="9" t="str">
        <v>"-"</v>
      </c>
      <c r="V56" s="10" t="str">
        <f>IF([1]STR!$V56 = "", "", [1]STR!$V56)</f>
        <v>Veronica Dwi Kurniasih</v>
      </c>
      <c r="W56" s="11">
        <v>46273</v>
      </c>
      <c r="X56" s="12" t="b">
        <f>[1]STR!$X56</f>
        <v>1</v>
      </c>
      <c r="Y56" t="str">
        <f>_xlfn.XLOOKUP(TRIM(B56), [4]STR!$2:$2,[4]STR!$44:$44, "")</f>
        <v/>
      </c>
    </row>
    <row r="57" spans="1:25">
      <c r="A57" s="8">
        <v>46265</v>
      </c>
      <c r="B57" s="9" t="str">
        <v xml:space="preserve">CV WARISAN GEMILANG SURABAYA            </v>
      </c>
      <c r="C57" s="9" t="str">
        <v>CW99922</v>
      </c>
      <c r="D57" s="9">
        <v>8101011211567</v>
      </c>
      <c r="E57" s="9">
        <v>0</v>
      </c>
      <c r="F57" s="9" t="str">
        <v>Tidak</v>
      </c>
      <c r="G57" s="9" t="str">
        <v>Tidak</v>
      </c>
      <c r="H57" s="9" t="str">
        <v>Tidak</v>
      </c>
      <c r="I57" s="9" t="str">
        <v>Perpajakan</v>
      </c>
      <c r="J57" s="9">
        <v>34</v>
      </c>
      <c r="K57" s="9">
        <v>41</v>
      </c>
      <c r="L57" s="9" t="str">
        <v>Perpajakan</v>
      </c>
      <c r="M57" s="9" t="str">
        <v xml:space="preserve">KC Salatiga                             </v>
      </c>
      <c r="N57" s="9" t="str">
        <v xml:space="preserve">KC Salatiga                             </v>
      </c>
      <c r="O57" s="9" t="str">
        <v xml:space="preserve">Semarang                                </v>
      </c>
      <c r="P57" s="9" t="str">
        <v>Tidak</v>
      </c>
      <c r="Q57" s="9" t="str">
        <v>Tidak</v>
      </c>
      <c r="R57" s="9" t="str">
        <v>Done</v>
      </c>
      <c r="S57" s="9" t="str">
        <v>Pending Checker</v>
      </c>
      <c r="T57" s="9" t="str">
        <v>90171841 - Rifqi Aziz</v>
      </c>
      <c r="U57" s="9" t="str">
        <v>"-"</v>
      </c>
      <c r="V57" s="10" t="str">
        <f>IF([1]STR!$V57 = "", "", [1]STR!$V57)</f>
        <v>Veronica Dwi Kurniasih</v>
      </c>
      <c r="W57" s="11">
        <v>46272</v>
      </c>
      <c r="X57" s="12" t="b">
        <f>[1]STR!$X57</f>
        <v>1</v>
      </c>
      <c r="Y57" t="str">
        <f>_xlfn.XLOOKUP(TRIM(B57), [4]STR!$2:$2,[4]STR!$44:$44, "")</f>
        <v/>
      </c>
    </row>
    <row r="58" spans="1:25">
      <c r="A58" s="8">
        <v>46265</v>
      </c>
      <c r="B58" s="9" t="str">
        <v xml:space="preserve">CV AGUNG SINERGI SIDOARJO               </v>
      </c>
      <c r="C58" s="9" t="str">
        <v>CX00040</v>
      </c>
      <c r="D58" s="9">
        <v>8101010612566</v>
      </c>
      <c r="E58" s="9">
        <v>0</v>
      </c>
      <c r="F58" s="9" t="str">
        <v>Tidak</v>
      </c>
      <c r="G58" s="9" t="str">
        <v>Tidak</v>
      </c>
      <c r="H58" s="9" t="str">
        <v>Tidak</v>
      </c>
      <c r="I58" s="9" t="str">
        <v>Perpajakan</v>
      </c>
      <c r="J58" s="9">
        <v>36</v>
      </c>
      <c r="K58" s="9">
        <v>41</v>
      </c>
      <c r="L58" s="9" t="str">
        <v>Perpajakan</v>
      </c>
      <c r="M58" s="9" t="str">
        <v xml:space="preserve">KC Salatiga                             </v>
      </c>
      <c r="N58" s="9" t="str">
        <v xml:space="preserve">KC Salatiga                             </v>
      </c>
      <c r="O58" s="9" t="str">
        <v xml:space="preserve">Semarang                                </v>
      </c>
      <c r="P58" s="9" t="str">
        <v>Tidak</v>
      </c>
      <c r="Q58" s="9" t="str">
        <v>Tidak</v>
      </c>
      <c r="R58" s="9" t="str">
        <v>Done</v>
      </c>
      <c r="S58" s="9" t="str">
        <v>Pending Checker</v>
      </c>
      <c r="T58" s="9" t="str">
        <v>00394521 - Muhammad Hibbanduta</v>
      </c>
      <c r="U58" s="9" t="str">
        <v>"-"</v>
      </c>
      <c r="V58" s="10" t="str">
        <f>IF([1]STR!$V58 = "", "", [1]STR!$V58)</f>
        <v>Syamsul Arifianto</v>
      </c>
      <c r="W58" s="11">
        <v>46272</v>
      </c>
      <c r="X58" s="12" t="b">
        <f>[1]STR!$X58</f>
        <v>1</v>
      </c>
      <c r="Y58" t="str">
        <f>_xlfn.XLOOKUP(TRIM(B58), [4]STR!$2:$2,[4]STR!$44:$44, "")</f>
        <v/>
      </c>
    </row>
    <row r="59" spans="1:25">
      <c r="A59" s="8">
        <v>46265</v>
      </c>
      <c r="B59" s="9" t="str">
        <v xml:space="preserve">CV AGUNG SINERGI MALANG                 </v>
      </c>
      <c r="C59" s="9" t="str">
        <v>CX00068</v>
      </c>
      <c r="D59" s="9">
        <v>8101010813560</v>
      </c>
      <c r="E59" s="9">
        <v>0</v>
      </c>
      <c r="F59" s="9" t="str">
        <v>Tidak</v>
      </c>
      <c r="G59" s="9" t="str">
        <v>Tidak</v>
      </c>
      <c r="H59" s="9" t="str">
        <v>Tidak</v>
      </c>
      <c r="I59" s="9" t="str">
        <v>Perpajakan</v>
      </c>
      <c r="J59" s="9">
        <v>38</v>
      </c>
      <c r="K59" s="9">
        <v>41</v>
      </c>
      <c r="L59" s="9" t="str">
        <v>Perpajakan</v>
      </c>
      <c r="M59" s="9" t="str">
        <v xml:space="preserve">KC Salatiga                             </v>
      </c>
      <c r="N59" s="9" t="str">
        <v xml:space="preserve">KC Salatiga                             </v>
      </c>
      <c r="O59" s="9" t="str">
        <v xml:space="preserve">Semarang                                </v>
      </c>
      <c r="P59" s="9" t="str">
        <v>Tidak</v>
      </c>
      <c r="Q59" s="9" t="str">
        <v>Tidak</v>
      </c>
      <c r="R59" s="9" t="str">
        <v>Done</v>
      </c>
      <c r="S59" s="9" t="str">
        <v>Pending Checker</v>
      </c>
      <c r="T59" s="9" t="str">
        <v>90186790 - Muhammad Alfin Farha</v>
      </c>
      <c r="U59" s="9" t="str">
        <v>"-"</v>
      </c>
      <c r="V59" s="10" t="str">
        <f>IF([1]STR!$V59 = "", "", [1]STR!$V59)</f>
        <v>Syamsul Arifianto</v>
      </c>
      <c r="W59" s="11">
        <v>46272</v>
      </c>
      <c r="X59" s="12" t="b">
        <f>[1]STR!$X59</f>
        <v>1</v>
      </c>
      <c r="Y59" t="str">
        <f>_xlfn.XLOOKUP(TRIM(B59), [4]STR!$2:$2,[4]STR!$44:$44, "")</f>
        <v/>
      </c>
    </row>
    <row r="60" spans="1:25">
      <c r="A60" s="8">
        <v>46265</v>
      </c>
      <c r="B60" s="9" t="str">
        <v xml:space="preserve">CV MUARA TRADISI MALANG                 </v>
      </c>
      <c r="C60" s="9" t="str">
        <v>CX00122</v>
      </c>
      <c r="D60" s="9">
        <v>8101010814566</v>
      </c>
      <c r="E60" s="9">
        <v>0</v>
      </c>
      <c r="F60" s="9" t="str">
        <v>Tidak</v>
      </c>
      <c r="G60" s="9" t="str">
        <v>Tidak</v>
      </c>
      <c r="H60" s="9" t="str">
        <v>Tidak</v>
      </c>
      <c r="I60" s="9" t="str">
        <v>Perpajakan</v>
      </c>
      <c r="J60" s="9">
        <v>34</v>
      </c>
      <c r="K60" s="9">
        <v>41</v>
      </c>
      <c r="L60" s="9" t="str">
        <v>Perpajakan</v>
      </c>
      <c r="M60" s="9" t="str">
        <v xml:space="preserve">KC Salatiga                             </v>
      </c>
      <c r="N60" s="9" t="str">
        <v xml:space="preserve">KC Salatiga                             </v>
      </c>
      <c r="O60" s="9" t="str">
        <v xml:space="preserve">Semarang                                </v>
      </c>
      <c r="P60" s="9" t="str">
        <v>Tidak</v>
      </c>
      <c r="Q60" s="9" t="str">
        <v>Tidak</v>
      </c>
      <c r="R60" s="9" t="str">
        <v>Done</v>
      </c>
      <c r="S60" s="9" t="str">
        <v>Pending Checker</v>
      </c>
      <c r="T60" s="9" t="str">
        <v>00394520 - Frida Akbar Rani</v>
      </c>
      <c r="U60" s="9" t="str">
        <v>"-"</v>
      </c>
      <c r="V60" s="10" t="str">
        <f>IF([1]STR!$V60 = "", "", [1]STR!$V60)</f>
        <v>Veronica Dwi Kurniasih</v>
      </c>
      <c r="W60" s="11">
        <v>46273</v>
      </c>
      <c r="X60" s="12" t="b">
        <f>[1]STR!$X60</f>
        <v>1</v>
      </c>
      <c r="Y60" t="str">
        <f>_xlfn.XLOOKUP(TRIM(B60), [4]STR!$2:$2,[4]STR!$44:$44, "")</f>
        <v/>
      </c>
    </row>
    <row r="61" spans="1:25">
      <c r="A61" s="8">
        <v>46265</v>
      </c>
      <c r="B61" s="9" t="str">
        <v xml:space="preserve">CV WARISAN GEMILANG MALANG              </v>
      </c>
      <c r="C61" s="9" t="str">
        <v>CX00134</v>
      </c>
      <c r="D61" s="9">
        <v>8101010815562</v>
      </c>
      <c r="E61" s="9">
        <v>0</v>
      </c>
      <c r="F61" s="9" t="str">
        <v>Tidak</v>
      </c>
      <c r="G61" s="9" t="str">
        <v>Tidak</v>
      </c>
      <c r="H61" s="9" t="str">
        <v>Tidak</v>
      </c>
      <c r="I61" s="9" t="str">
        <v>Perpajakan</v>
      </c>
      <c r="J61" s="9">
        <v>34</v>
      </c>
      <c r="K61" s="9">
        <v>41</v>
      </c>
      <c r="L61" s="9" t="str">
        <v>Perpajakan</v>
      </c>
      <c r="M61" s="9" t="str">
        <v xml:space="preserve">KC Salatiga                             </v>
      </c>
      <c r="N61" s="9" t="str">
        <v xml:space="preserve">KC Salatiga                             </v>
      </c>
      <c r="O61" s="9" t="str">
        <v xml:space="preserve">Semarang                                </v>
      </c>
      <c r="P61" s="9" t="str">
        <v>Tidak</v>
      </c>
      <c r="Q61" s="9" t="str">
        <v>Tidak</v>
      </c>
      <c r="R61" s="9" t="str">
        <v>Done</v>
      </c>
      <c r="S61" s="9" t="str">
        <v>Pending Checker</v>
      </c>
      <c r="T61" s="9" t="str">
        <v>00336949 - Mochammad Al Farabi</v>
      </c>
      <c r="U61" s="9" t="str">
        <v>"-"</v>
      </c>
      <c r="V61" s="10" t="str">
        <f>IF([1]STR!$V61 = "", "", [1]STR!$V61)</f>
        <v>Veronica Dwi Kurniasih</v>
      </c>
      <c r="W61" s="11">
        <v>46272</v>
      </c>
      <c r="X61" s="12" t="b">
        <f>[1]STR!$X61</f>
        <v>1</v>
      </c>
      <c r="Y61" t="str">
        <f>_xlfn.XLOOKUP(TRIM(B61), [4]STR!$2:$2,[4]STR!$44:$44, "")</f>
        <v/>
      </c>
    </row>
    <row r="62" spans="1:25">
      <c r="A62" s="8">
        <v>46265</v>
      </c>
      <c r="B62" s="9" t="str">
        <v xml:space="preserve">CV MUARA TRADISI SIDOARJO               </v>
      </c>
      <c r="C62" s="9" t="str">
        <v>CX00135</v>
      </c>
      <c r="D62" s="9">
        <v>8101010613562</v>
      </c>
      <c r="E62" s="9">
        <v>0</v>
      </c>
      <c r="F62" s="9" t="str">
        <v>Tidak</v>
      </c>
      <c r="G62" s="9" t="str">
        <v>Tidak</v>
      </c>
      <c r="H62" s="9" t="str">
        <v>Tidak</v>
      </c>
      <c r="I62" s="9" t="str">
        <v>Perpajakan</v>
      </c>
      <c r="J62" s="9">
        <v>38</v>
      </c>
      <c r="K62" s="9">
        <v>41</v>
      </c>
      <c r="L62" s="9" t="str">
        <v>Perpajakan</v>
      </c>
      <c r="M62" s="9" t="str">
        <v xml:space="preserve">KC Salatiga                             </v>
      </c>
      <c r="N62" s="9" t="str">
        <v xml:space="preserve">KC Salatiga                             </v>
      </c>
      <c r="O62" s="9" t="str">
        <v xml:space="preserve">Semarang                                </v>
      </c>
      <c r="P62" s="9" t="str">
        <v>Tidak</v>
      </c>
      <c r="Q62" s="9" t="str">
        <v>Tidak</v>
      </c>
      <c r="R62" s="9" t="str">
        <v>Done</v>
      </c>
      <c r="S62" s="9" t="str">
        <v>Pending Checker</v>
      </c>
      <c r="T62" s="9" t="str">
        <v>90150130 - Intan Aida Pratiwi</v>
      </c>
      <c r="U62" s="9" t="str">
        <v>"-"</v>
      </c>
      <c r="V62" s="10" t="str">
        <f>IF([1]STR!$V62 = "", "", [1]STR!$V62)</f>
        <v>Veronica Dwi Kurniasih</v>
      </c>
      <c r="W62" s="11">
        <v>46273</v>
      </c>
      <c r="X62" s="12" t="b">
        <f>[1]STR!$X62</f>
        <v>1</v>
      </c>
      <c r="Y62" t="str">
        <f>_xlfn.XLOOKUP(TRIM(B62), [4]STR!$2:$2,[4]STR!$44:$44, "")</f>
        <v/>
      </c>
    </row>
    <row r="63" spans="1:25">
      <c r="A63" s="8">
        <v>46265</v>
      </c>
      <c r="B63" s="9" t="str">
        <v xml:space="preserve">CV JELITA ELANG MAGELANG                </v>
      </c>
      <c r="C63" s="9" t="str">
        <v>CX00136</v>
      </c>
      <c r="D63" s="9">
        <v>8101010413564</v>
      </c>
      <c r="E63" s="9">
        <v>0</v>
      </c>
      <c r="F63" s="9" t="str">
        <v>Tidak</v>
      </c>
      <c r="G63" s="9" t="str">
        <v>Tidak</v>
      </c>
      <c r="H63" s="9" t="str">
        <v>Tidak</v>
      </c>
      <c r="I63" s="9" t="str">
        <v>Perpajakan</v>
      </c>
      <c r="J63" s="9">
        <v>36</v>
      </c>
      <c r="K63" s="9">
        <v>41</v>
      </c>
      <c r="L63" s="9" t="str">
        <v>Perpajakan</v>
      </c>
      <c r="M63" s="9" t="str">
        <v xml:space="preserve">KC Salatiga                             </v>
      </c>
      <c r="N63" s="9" t="str">
        <v xml:space="preserve">KC Salatiga                             </v>
      </c>
      <c r="O63" s="9" t="str">
        <v xml:space="preserve">Semarang                                </v>
      </c>
      <c r="P63" s="9" t="str">
        <v>Tidak</v>
      </c>
      <c r="Q63" s="9" t="str">
        <v>Tidak</v>
      </c>
      <c r="R63" s="9" t="str">
        <v>Done</v>
      </c>
      <c r="S63" s="9" t="str">
        <v>Pending Checker</v>
      </c>
      <c r="T63" s="9" t="str">
        <v>90185537 - Moh.Khoerul Fajar Ar</v>
      </c>
      <c r="U63" s="9" t="str">
        <v>"-"</v>
      </c>
      <c r="V63" s="10" t="str">
        <f>IF([1]STR!$V63 = "", "", [1]STR!$V63)</f>
        <v>Syamsul Arifianto</v>
      </c>
      <c r="W63" s="11">
        <v>46273</v>
      </c>
      <c r="X63" s="12" t="b">
        <f>[1]STR!$X63</f>
        <v>1</v>
      </c>
      <c r="Y63" t="str">
        <f>_xlfn.XLOOKUP(TRIM(B63), [4]STR!$2:$2,[4]STR!$44:$44, "")</f>
        <v/>
      </c>
    </row>
    <row r="64" spans="1:25">
      <c r="A64" s="9">
        <v>46265</v>
      </c>
      <c r="B64" s="9" t="str">
        <v xml:space="preserve">CV AGUNG SINERGI PURWOKERTO             </v>
      </c>
      <c r="C64" s="9" t="str">
        <v>CX00152</v>
      </c>
      <c r="D64" s="9">
        <v>8101010306563</v>
      </c>
      <c r="E64" s="9">
        <v>0</v>
      </c>
      <c r="F64" s="9" t="str">
        <v>Tidak</v>
      </c>
      <c r="G64" s="9" t="str">
        <v>Tidak</v>
      </c>
      <c r="H64" s="9" t="str">
        <v>Tidak</v>
      </c>
      <c r="I64" s="9" t="str">
        <v>Perpajakan</v>
      </c>
      <c r="J64" s="9">
        <v>38</v>
      </c>
      <c r="K64" s="9">
        <v>41</v>
      </c>
      <c r="L64" s="9" t="str">
        <v>Perpajakan</v>
      </c>
      <c r="M64" s="9" t="str">
        <v xml:space="preserve">KC Salatiga                             </v>
      </c>
      <c r="N64" s="9" t="str">
        <v xml:space="preserve">KC Salatiga                             </v>
      </c>
      <c r="O64" s="9" t="str">
        <v xml:space="preserve">Semarang                                </v>
      </c>
      <c r="P64" s="9" t="str">
        <v>Tidak</v>
      </c>
      <c r="Q64" s="9" t="str">
        <v>Tidak</v>
      </c>
      <c r="R64" s="9" t="str">
        <v>Done</v>
      </c>
      <c r="S64" s="9" t="str">
        <v>Pending Checker</v>
      </c>
      <c r="T64" s="9" t="str">
        <v>90186790 - Muhammad Alfin Farha</v>
      </c>
      <c r="U64" s="9" t="str">
        <v>"-"</v>
      </c>
      <c r="V64" s="10" t="str">
        <f>IF([1]STR!$V64 = "", "", [1]STR!$V64)</f>
        <v>Syamsul Arifianto</v>
      </c>
      <c r="W64" s="11">
        <v>46272</v>
      </c>
      <c r="X64" s="12" t="b">
        <f>[1]STR!$X64</f>
        <v>1</v>
      </c>
      <c r="Y64" t="str">
        <f>_xlfn.XLOOKUP(TRIM(B64), [4]STR!$2:$2,[4]STR!$44:$44, "")</f>
        <v/>
      </c>
    </row>
    <row r="65" spans="1:25">
      <c r="A65" s="9">
        <v>46265</v>
      </c>
      <c r="B65" s="9" t="str">
        <v xml:space="preserve">CV WARISAN GEMILANG SIDOARJO            </v>
      </c>
      <c r="C65" s="9" t="str">
        <v>CX00180</v>
      </c>
      <c r="D65" s="9">
        <v>8101010614568</v>
      </c>
      <c r="E65" s="9">
        <v>0</v>
      </c>
      <c r="F65" s="9" t="str">
        <v>Tidak</v>
      </c>
      <c r="G65" s="9" t="str">
        <v>Tidak</v>
      </c>
      <c r="H65" s="9" t="str">
        <v>Tidak</v>
      </c>
      <c r="I65" s="9" t="str">
        <v>Perpajakan</v>
      </c>
      <c r="J65" s="9">
        <v>34</v>
      </c>
      <c r="K65" s="9">
        <v>41</v>
      </c>
      <c r="L65" s="9" t="str">
        <v>Perpajakan</v>
      </c>
      <c r="M65" s="9" t="str">
        <v xml:space="preserve">KC Salatiga                             </v>
      </c>
      <c r="N65" s="9" t="str">
        <v xml:space="preserve">KC Salatiga                             </v>
      </c>
      <c r="O65" s="9" t="str">
        <v xml:space="preserve">Semarang                                </v>
      </c>
      <c r="P65" s="9" t="str">
        <v>Tidak</v>
      </c>
      <c r="Q65" s="9" t="str">
        <v>Tidak</v>
      </c>
      <c r="R65" s="9" t="str">
        <v>Done</v>
      </c>
      <c r="S65" s="9" t="str">
        <v>Pending Checker</v>
      </c>
      <c r="T65" s="9" t="str">
        <v>90170665 - Mutiara Ayuningtyas</v>
      </c>
      <c r="U65" s="9" t="str">
        <v>"-"</v>
      </c>
      <c r="V65" s="10" t="str">
        <f>IF([1]STR!$V65 = "", "", [1]STR!$V65)</f>
        <v>Veronica Dwi Kurniasih</v>
      </c>
      <c r="W65" s="11">
        <v>46271</v>
      </c>
      <c r="X65" s="12" t="b">
        <f>[1]STR!$X65</f>
        <v>1</v>
      </c>
      <c r="Y65" t="str">
        <f>_xlfn.XLOOKUP(TRIM(B65), [4]STR!$2:$2,[4]STR!$44:$44, "")</f>
        <v/>
      </c>
    </row>
    <row r="66" spans="1:25">
      <c r="A66" s="9">
        <v>46265</v>
      </c>
      <c r="B66" s="9" t="str">
        <v xml:space="preserve">CV MULIA ABADI MAGELANG                 </v>
      </c>
      <c r="C66" s="9" t="str">
        <v>CX00201</v>
      </c>
      <c r="D66" s="9">
        <v>8101010414560</v>
      </c>
      <c r="E66" s="9">
        <v>0</v>
      </c>
      <c r="F66" s="9" t="str">
        <v>Tidak</v>
      </c>
      <c r="G66" s="9" t="str">
        <v>Tidak</v>
      </c>
      <c r="H66" s="9" t="str">
        <v>Tidak</v>
      </c>
      <c r="I66" s="9" t="str">
        <v>Perpajakan</v>
      </c>
      <c r="J66" s="9">
        <v>38</v>
      </c>
      <c r="K66" s="9">
        <v>41</v>
      </c>
      <c r="L66" s="9" t="str">
        <v>Perpajakan</v>
      </c>
      <c r="M66" s="9" t="str">
        <v xml:space="preserve">KC Salatiga                             </v>
      </c>
      <c r="N66" s="9" t="str">
        <v xml:space="preserve">KC Salatiga                             </v>
      </c>
      <c r="O66" s="9" t="str">
        <v xml:space="preserve">Semarang                                </v>
      </c>
      <c r="P66" s="9" t="str">
        <v>Tidak</v>
      </c>
      <c r="Q66" s="9" t="str">
        <v>Tidak</v>
      </c>
      <c r="R66" s="9" t="str">
        <v>Done</v>
      </c>
      <c r="S66" s="9" t="str">
        <v>Pending Checker</v>
      </c>
      <c r="T66" s="9" t="str">
        <v>90185538 - Muhammad Fahikal Auz</v>
      </c>
      <c r="U66" s="9" t="str">
        <v>"-"</v>
      </c>
      <c r="V66" s="10" t="str">
        <f>IF([1]STR!$V66 = "", "", [1]STR!$V66)</f>
        <v>Veronica Dwi Kurniasih</v>
      </c>
      <c r="W66" s="11">
        <v>46273</v>
      </c>
      <c r="X66" s="12" t="b">
        <f>[1]STR!$X66</f>
        <v>1</v>
      </c>
      <c r="Y66" t="str">
        <f>_xlfn.XLOOKUP(TRIM(B66), [4]STR!$2:$2,[4]STR!$44:$44, "")</f>
        <v/>
      </c>
    </row>
    <row r="67" spans="1:25">
      <c r="A67" s="9">
        <v>46265</v>
      </c>
      <c r="B67" s="9" t="str">
        <v xml:space="preserve">CV BANGUN RUPA PURWOKERTO               </v>
      </c>
      <c r="C67" s="9" t="str">
        <v>CX00251</v>
      </c>
      <c r="D67" s="9">
        <v>8101010310562</v>
      </c>
      <c r="E67" s="9">
        <v>0</v>
      </c>
      <c r="F67" s="9" t="str">
        <v>Tidak</v>
      </c>
      <c r="G67" s="9" t="str">
        <v>Tidak</v>
      </c>
      <c r="H67" s="9" t="str">
        <v>Tidak</v>
      </c>
      <c r="I67" s="9" t="str">
        <v>Perpajakan</v>
      </c>
      <c r="J67" s="9">
        <v>34</v>
      </c>
      <c r="K67" s="9">
        <v>41</v>
      </c>
      <c r="L67" s="9" t="str">
        <v>Perpajakan</v>
      </c>
      <c r="M67" s="9" t="str">
        <v xml:space="preserve">KC Salatiga                             </v>
      </c>
      <c r="N67" s="9" t="str">
        <v xml:space="preserve">KC Salatiga                             </v>
      </c>
      <c r="O67" s="9" t="str">
        <v xml:space="preserve">Semarang                                </v>
      </c>
      <c r="P67" s="9" t="str">
        <v>Tidak</v>
      </c>
      <c r="Q67" s="9" t="str">
        <v>Tidak</v>
      </c>
      <c r="R67" s="9" t="str">
        <v>Done</v>
      </c>
      <c r="S67" s="9" t="str">
        <v>Pending Checker</v>
      </c>
      <c r="T67" s="9" t="str">
        <v>90171841 - Rifqi Aziz</v>
      </c>
      <c r="U67" s="9" t="str">
        <v>"-"</v>
      </c>
      <c r="V67" s="10" t="str">
        <f>IF([1]STR!$V67 = "", "", [1]STR!$V67)</f>
        <v>Syamsul Arifianto</v>
      </c>
      <c r="W67" s="11">
        <v>46273</v>
      </c>
      <c r="X67" s="12" t="b">
        <f>[1]STR!$X67</f>
        <v>1</v>
      </c>
      <c r="Y67" t="str">
        <f>_xlfn.XLOOKUP(TRIM(B67), [4]STR!$2:$2,[4]STR!$44:$44, "")</f>
        <v/>
      </c>
    </row>
    <row r="68" spans="1:25">
      <c r="A68" s="9">
        <v>46265</v>
      </c>
      <c r="B68" s="9" t="str">
        <v xml:space="preserve">CV SANTIKA DIVA MAGELANG                </v>
      </c>
      <c r="C68" s="9" t="str">
        <v>CX00254</v>
      </c>
      <c r="D68" s="9">
        <v>8101010415566</v>
      </c>
      <c r="E68" s="9">
        <v>0</v>
      </c>
      <c r="F68" s="9" t="str">
        <v>Tidak</v>
      </c>
      <c r="G68" s="9" t="str">
        <v>Tidak</v>
      </c>
      <c r="H68" s="9" t="str">
        <v>Tidak</v>
      </c>
      <c r="I68" s="9" t="str">
        <v>Perpajakan</v>
      </c>
      <c r="J68" s="9">
        <v>38</v>
      </c>
      <c r="K68" s="9">
        <v>41</v>
      </c>
      <c r="L68" s="9" t="str">
        <v>Perpajakan</v>
      </c>
      <c r="M68" s="9" t="str">
        <v xml:space="preserve">KC Salatiga                             </v>
      </c>
      <c r="N68" s="9" t="str">
        <v xml:space="preserve">KC Salatiga                             </v>
      </c>
      <c r="O68" s="9" t="str">
        <v xml:space="preserve">Semarang                                </v>
      </c>
      <c r="P68" s="9" t="str">
        <v>Tidak</v>
      </c>
      <c r="Q68" s="9" t="str">
        <v>Tidak</v>
      </c>
      <c r="R68" s="9" t="str">
        <v>Done</v>
      </c>
      <c r="S68" s="9" t="str">
        <v>Pending Checker</v>
      </c>
      <c r="T68" s="9" t="str">
        <v>90186790 - Muhammad Alfin Farha</v>
      </c>
      <c r="U68" s="9" t="str">
        <v>"-"</v>
      </c>
      <c r="V68" s="10" t="str">
        <f>IF([1]STR!$V68 = "", "", [1]STR!$V68)</f>
        <v>Veronica Dwi Kurniasih</v>
      </c>
      <c r="W68" s="11">
        <v>46273</v>
      </c>
      <c r="X68" s="12" t="b">
        <f>[1]STR!$X68</f>
        <v>1</v>
      </c>
      <c r="Y68" t="str">
        <f>_xlfn.XLOOKUP(TRIM(B68), [4]STR!$2:$2,[4]STR!$44:$44, "")</f>
        <v/>
      </c>
    </row>
    <row r="69" spans="1:25">
      <c r="A69" s="9">
        <v>46265</v>
      </c>
      <c r="B69" s="9" t="str">
        <v xml:space="preserve">CV MUARA TRADISI PURWOKERTO             </v>
      </c>
      <c r="C69" s="9" t="str">
        <v>CX00272</v>
      </c>
      <c r="D69" s="9">
        <v>8101010308565</v>
      </c>
      <c r="E69" s="9">
        <v>0</v>
      </c>
      <c r="F69" s="9" t="str">
        <v>Tidak</v>
      </c>
      <c r="G69" s="9" t="str">
        <v>Tidak</v>
      </c>
      <c r="H69" s="9" t="str">
        <v>Tidak</v>
      </c>
      <c r="I69" s="9" t="str">
        <v>Perpajakan</v>
      </c>
      <c r="J69" s="9">
        <v>38</v>
      </c>
      <c r="K69" s="9">
        <v>41</v>
      </c>
      <c r="L69" s="9" t="str">
        <v>Perpajakan</v>
      </c>
      <c r="M69" s="9" t="str">
        <v xml:space="preserve">KC Salatiga                             </v>
      </c>
      <c r="N69" s="9" t="str">
        <v xml:space="preserve">KC Salatiga                             </v>
      </c>
      <c r="O69" s="9" t="str">
        <v xml:space="preserve">Semarang                                </v>
      </c>
      <c r="P69" s="9" t="str">
        <v>Tidak</v>
      </c>
      <c r="Q69" s="9" t="str">
        <v>Tidak</v>
      </c>
      <c r="R69" s="9" t="str">
        <v>Done</v>
      </c>
      <c r="S69" s="9" t="str">
        <v>Pending Checker</v>
      </c>
      <c r="T69" s="9" t="str">
        <v>90185537 - Moh.Khoerul Fajar Ar</v>
      </c>
      <c r="U69" s="9" t="str">
        <v>"-"</v>
      </c>
      <c r="V69" s="10" t="str">
        <f>IF([1]STR!$V69 = "", "", [1]STR!$V69)</f>
        <v>Veronica Dwi Kurniasih</v>
      </c>
      <c r="W69" s="11">
        <v>46273</v>
      </c>
      <c r="X69" s="12" t="b">
        <f>[1]STR!$X69</f>
        <v>1</v>
      </c>
      <c r="Y69" t="str">
        <f>_xlfn.XLOOKUP(TRIM(B69), [4]STR!$2:$2,[4]STR!$44:$44, "")</f>
        <v/>
      </c>
    </row>
    <row r="70" spans="1:25">
      <c r="A70" s="9">
        <v>46265</v>
      </c>
      <c r="B70" s="9" t="str">
        <v xml:space="preserve">CV MULIA ABADI KUDUS                    </v>
      </c>
      <c r="C70" s="9" t="str">
        <v>CX00273</v>
      </c>
      <c r="D70" s="9">
        <v>8101010713566</v>
      </c>
      <c r="E70" s="9">
        <v>0</v>
      </c>
      <c r="F70" s="9" t="str">
        <v>Tidak</v>
      </c>
      <c r="G70" s="9" t="str">
        <v>Tidak</v>
      </c>
      <c r="H70" s="9" t="str">
        <v>Tidak</v>
      </c>
      <c r="I70" s="9" t="str">
        <v>Perpajakan</v>
      </c>
      <c r="J70" s="9">
        <v>36</v>
      </c>
      <c r="K70" s="9">
        <v>41</v>
      </c>
      <c r="L70" s="9" t="str">
        <v>Perpajakan</v>
      </c>
      <c r="M70" s="9" t="str">
        <v xml:space="preserve">KC Salatiga                             </v>
      </c>
      <c r="N70" s="9" t="str">
        <v xml:space="preserve">KC Salatiga                             </v>
      </c>
      <c r="O70" s="9" t="str">
        <v xml:space="preserve">Semarang                                </v>
      </c>
      <c r="P70" s="9" t="str">
        <v>Tidak</v>
      </c>
      <c r="Q70" s="9" t="str">
        <v>Tidak</v>
      </c>
      <c r="R70" s="9" t="str">
        <v>Done</v>
      </c>
      <c r="S70" s="9" t="str">
        <v>Pending Checker</v>
      </c>
      <c r="T70" s="9" t="str">
        <v>90186796 - Devito Arya Wiradila</v>
      </c>
      <c r="U70" s="9" t="str">
        <v>"-"</v>
      </c>
      <c r="V70" s="10" t="str">
        <f>IF([1]STR!$V70 = "", "", [1]STR!$V70)</f>
        <v>Veronica Dwi Kurniasih</v>
      </c>
      <c r="W70" s="11">
        <v>46273</v>
      </c>
      <c r="X70" s="12" t="b">
        <f>[1]STR!$X70</f>
        <v>1</v>
      </c>
      <c r="Y70" t="str">
        <f>_xlfn.XLOOKUP(TRIM(B70), [4]STR!$2:$2,[4]STR!$44:$44, "")</f>
        <v/>
      </c>
    </row>
    <row r="71" spans="1:25">
      <c r="A71" s="9">
        <v>46265</v>
      </c>
      <c r="B71" s="9" t="str">
        <v xml:space="preserve">CV JELITA ELANG KUDUS                   </v>
      </c>
      <c r="C71" s="9" t="str">
        <v>CX00275</v>
      </c>
      <c r="D71" s="9">
        <v>8101010712560</v>
      </c>
      <c r="E71" s="9">
        <v>0</v>
      </c>
      <c r="F71" s="9" t="str">
        <v>Tidak</v>
      </c>
      <c r="G71" s="9" t="str">
        <v>Tidak</v>
      </c>
      <c r="H71" s="9" t="str">
        <v>Tidak</v>
      </c>
      <c r="I71" s="9" t="str">
        <v>Perpajakan</v>
      </c>
      <c r="J71" s="9">
        <v>36</v>
      </c>
      <c r="K71" s="9">
        <v>41</v>
      </c>
      <c r="L71" s="9" t="str">
        <v>Perpajakan</v>
      </c>
      <c r="M71" s="9" t="str">
        <v xml:space="preserve">KC Salatiga                             </v>
      </c>
      <c r="N71" s="9" t="str">
        <v xml:space="preserve">KC Salatiga                             </v>
      </c>
      <c r="O71" s="9" t="str">
        <v xml:space="preserve">Semarang                                </v>
      </c>
      <c r="P71" s="9" t="str">
        <v>Tidak</v>
      </c>
      <c r="Q71" s="9" t="str">
        <v>Tidak</v>
      </c>
      <c r="R71" s="9" t="str">
        <v>Done</v>
      </c>
      <c r="S71" s="9" t="str">
        <v>Pending Checker</v>
      </c>
      <c r="T71" s="9" t="str">
        <v>00336949 - Mochammad Al Farabi</v>
      </c>
      <c r="U71" s="9" t="str">
        <v>"-"</v>
      </c>
      <c r="V71" s="10" t="str">
        <f>IF([1]STR!$V71 = "", "", [1]STR!$V71)</f>
        <v>Syamsul Arifianto</v>
      </c>
      <c r="W71" s="11">
        <v>46273</v>
      </c>
      <c r="X71" s="12" t="b">
        <f>[1]STR!$X71</f>
        <v>1</v>
      </c>
      <c r="Y71" t="str">
        <f>_xlfn.XLOOKUP(TRIM(B71), [4]STR!$2:$2,[4]STR!$44:$44, "")</f>
        <v/>
      </c>
    </row>
    <row r="72" spans="1:25">
      <c r="A72" s="9">
        <v>46265</v>
      </c>
      <c r="B72" s="9" t="str">
        <v xml:space="preserve">CV WARISAN GEMILANG PURWOKERTO          </v>
      </c>
      <c r="C72" s="9" t="str">
        <v>CX00278</v>
      </c>
      <c r="D72" s="9">
        <v>8101010309561</v>
      </c>
      <c r="E72" s="9">
        <v>0</v>
      </c>
      <c r="F72" s="9" t="str">
        <v>Tidak</v>
      </c>
      <c r="G72" s="9" t="str">
        <v>Tidak</v>
      </c>
      <c r="H72" s="9" t="str">
        <v>Tidak</v>
      </c>
      <c r="I72" s="9" t="str">
        <v>Perpajakan</v>
      </c>
      <c r="J72" s="9">
        <v>34</v>
      </c>
      <c r="K72" s="9">
        <v>41</v>
      </c>
      <c r="L72" s="9" t="str">
        <v>Perpajakan</v>
      </c>
      <c r="M72" s="9" t="str">
        <v xml:space="preserve">KC Salatiga                             </v>
      </c>
      <c r="N72" s="9" t="str">
        <v xml:space="preserve">KC Salatiga                             </v>
      </c>
      <c r="O72" s="9" t="str">
        <v xml:space="preserve">Semarang                                </v>
      </c>
      <c r="P72" s="9" t="str">
        <v>Tidak</v>
      </c>
      <c r="Q72" s="9" t="str">
        <v>Tidak</v>
      </c>
      <c r="R72" s="9" t="str">
        <v>Done</v>
      </c>
      <c r="S72" s="9" t="str">
        <v>Pending Checker</v>
      </c>
      <c r="T72" s="9" t="str">
        <v>90185538 - Muhammad Fahikal Auz</v>
      </c>
      <c r="U72" s="9" t="str">
        <v>"-"</v>
      </c>
      <c r="V72" s="10" t="str">
        <f>IF([1]STR!$V72 = "", "", [1]STR!$V72)</f>
        <v>Veronica Dwi Kurniasih</v>
      </c>
      <c r="W72" s="11">
        <v>46271</v>
      </c>
      <c r="X72" s="12" t="b">
        <f>[1]STR!$X72</f>
        <v>1</v>
      </c>
      <c r="Y72" t="str">
        <f>_xlfn.XLOOKUP(TRIM(B72), [4]STR!$2:$2,[4]STR!$44:$44, "")</f>
        <v/>
      </c>
    </row>
    <row r="73" spans="1:25">
      <c r="A73" s="9">
        <v>46265</v>
      </c>
      <c r="B73" s="9" t="str">
        <v xml:space="preserve">CV AGUNG SINERGI KEDIRI                 </v>
      </c>
      <c r="C73" s="9" t="str">
        <v>CX00279</v>
      </c>
      <c r="D73" s="9">
        <v>8101010906567</v>
      </c>
      <c r="E73" s="9">
        <v>0</v>
      </c>
      <c r="F73" s="9" t="str">
        <v>Tidak</v>
      </c>
      <c r="G73" s="9" t="str">
        <v>Tidak</v>
      </c>
      <c r="H73" s="9" t="str">
        <v>Tidak</v>
      </c>
      <c r="I73" s="9" t="str">
        <v>Perpajakan</v>
      </c>
      <c r="J73" s="9">
        <v>38</v>
      </c>
      <c r="K73" s="9">
        <v>41</v>
      </c>
      <c r="L73" s="9" t="str">
        <v>Perpajakan</v>
      </c>
      <c r="M73" s="9" t="str">
        <v xml:space="preserve">KC Salatiga                             </v>
      </c>
      <c r="N73" s="9" t="str">
        <v xml:space="preserve">KC Salatiga                             </v>
      </c>
      <c r="O73" s="9" t="str">
        <v xml:space="preserve">Semarang                                </v>
      </c>
      <c r="P73" s="9" t="str">
        <v>Tidak</v>
      </c>
      <c r="Q73" s="9" t="str">
        <v>Tidak</v>
      </c>
      <c r="R73" s="9" t="str">
        <v>Done</v>
      </c>
      <c r="S73" s="9" t="str">
        <v>Pending Checker</v>
      </c>
      <c r="T73" s="9" t="str">
        <v>00394520 - Frida Akbar Rani</v>
      </c>
      <c r="U73" s="9" t="str">
        <v>"-"</v>
      </c>
      <c r="V73" s="10" t="str">
        <f>IF([1]STR!$V73 = "", "", [1]STR!$V73)</f>
        <v>Syamsul Arifianto</v>
      </c>
      <c r="W73" s="11" t="s">
        <v>26</v>
      </c>
      <c r="X73" s="12" t="b">
        <f>[1]STR!$X73</f>
        <v>1</v>
      </c>
      <c r="Y73" t="str">
        <f>_xlfn.XLOOKUP(TRIM(B73), [4]STR!$2:$2,[4]STR!$44:$44, "")</f>
        <v/>
      </c>
    </row>
    <row r="74" spans="1:25">
      <c r="A74" s="9">
        <v>46265</v>
      </c>
      <c r="B74" s="9" t="str">
        <v xml:space="preserve">CV SANTIKA DIVA KUDUS                   </v>
      </c>
      <c r="C74" s="9" t="str">
        <v>CX00296</v>
      </c>
      <c r="D74" s="9">
        <v>8101010714562</v>
      </c>
      <c r="E74" s="9">
        <v>0</v>
      </c>
      <c r="F74" s="9" t="str">
        <v>Tidak</v>
      </c>
      <c r="G74" s="9" t="str">
        <v>Tidak</v>
      </c>
      <c r="H74" s="9" t="str">
        <v>Tidak</v>
      </c>
      <c r="I74" s="9" t="str">
        <v>Perpajakan</v>
      </c>
      <c r="J74" s="9">
        <v>38</v>
      </c>
      <c r="K74" s="9">
        <v>41</v>
      </c>
      <c r="L74" s="9" t="str">
        <v>Perpajakan</v>
      </c>
      <c r="M74" s="9" t="str">
        <v xml:space="preserve">KC Salatiga                             </v>
      </c>
      <c r="N74" s="9" t="str">
        <v xml:space="preserve">KC Salatiga                             </v>
      </c>
      <c r="O74" s="9" t="str">
        <v xml:space="preserve">Semarang                                </v>
      </c>
      <c r="P74" s="9" t="str">
        <v>Tidak</v>
      </c>
      <c r="Q74" s="9" t="str">
        <v>Tidak</v>
      </c>
      <c r="R74" s="9" t="str">
        <v>Done</v>
      </c>
      <c r="S74" s="9" t="str">
        <v>Pending Checker</v>
      </c>
      <c r="T74" s="9" t="str">
        <v>00394521 - Muhammad Hibbanduta</v>
      </c>
      <c r="U74" s="9" t="str">
        <v>"-"</v>
      </c>
      <c r="V74" s="10" t="str">
        <f>IF([1]STR!$V74 = "", "", [1]STR!$V74)</f>
        <v>Veronica Dwi Kurniasih</v>
      </c>
      <c r="W74" s="11">
        <v>46273</v>
      </c>
      <c r="X74" s="12" t="b">
        <f>[1]STR!$X74</f>
        <v>1</v>
      </c>
      <c r="Y74" t="str">
        <f>_xlfn.XLOOKUP(TRIM(B74), [4]STR!$2:$2,[4]STR!$44:$44, "")</f>
        <v/>
      </c>
    </row>
    <row r="75" spans="1:25">
      <c r="A75" s="9">
        <v>46265</v>
      </c>
      <c r="B75" s="9" t="str">
        <v xml:space="preserve">CV AGUNG SINERGI MADIUN                 </v>
      </c>
      <c r="C75" s="9" t="str">
        <v>CX00297</v>
      </c>
      <c r="D75" s="9">
        <v>8101011006564</v>
      </c>
      <c r="E75" s="9">
        <v>0</v>
      </c>
      <c r="F75" s="9" t="str">
        <v>Tidak</v>
      </c>
      <c r="G75" s="9" t="str">
        <v>Tidak</v>
      </c>
      <c r="H75" s="9" t="str">
        <v>Tidak</v>
      </c>
      <c r="I75" s="9" t="str">
        <v>Perpajakan</v>
      </c>
      <c r="J75" s="9">
        <v>38</v>
      </c>
      <c r="K75" s="9">
        <v>41</v>
      </c>
      <c r="L75" s="9" t="str">
        <v>Perpajakan</v>
      </c>
      <c r="M75" s="9" t="str">
        <v xml:space="preserve">KC Salatiga                             </v>
      </c>
      <c r="N75" s="9" t="str">
        <v xml:space="preserve">KC Salatiga                             </v>
      </c>
      <c r="O75" s="9" t="str">
        <v xml:space="preserve">Semarang                                </v>
      </c>
      <c r="P75" s="9" t="str">
        <v>Tidak</v>
      </c>
      <c r="Q75" s="9" t="str">
        <v>Tidak</v>
      </c>
      <c r="R75" s="9" t="str">
        <v>Done</v>
      </c>
      <c r="S75" s="9" t="str">
        <v>Pending Checker</v>
      </c>
      <c r="T75" s="9" t="str">
        <v>90186790 - Muhammad Alfin Farha</v>
      </c>
      <c r="U75" s="9" t="str">
        <v>"-"</v>
      </c>
      <c r="V75" s="10" t="str">
        <f>IF([1]STR!$V75 = "", "", [1]STR!$V75)</f>
        <v>Syamsul Arifianto</v>
      </c>
      <c r="W75" s="11">
        <v>46272</v>
      </c>
      <c r="X75" s="12" t="b">
        <f>[1]STR!$X75</f>
        <v>1</v>
      </c>
      <c r="Y75" t="str">
        <f>_xlfn.XLOOKUP(TRIM(B75), [4]STR!$2:$2,[4]STR!$44:$44, "")</f>
        <v/>
      </c>
    </row>
    <row r="76" spans="1:25">
      <c r="A76" s="9">
        <v>46265</v>
      </c>
      <c r="B76" s="9" t="str">
        <v xml:space="preserve">CV BANGUN RUPA MADIUN                   </v>
      </c>
      <c r="C76" s="9" t="str">
        <v>CX00298</v>
      </c>
      <c r="D76" s="9">
        <v>8101011007560</v>
      </c>
      <c r="E76" s="9">
        <v>0</v>
      </c>
      <c r="F76" s="9" t="str">
        <v>Tidak</v>
      </c>
      <c r="G76" s="9" t="str">
        <v>Tidak</v>
      </c>
      <c r="H76" s="9" t="str">
        <v>Tidak</v>
      </c>
      <c r="I76" s="9" t="str">
        <v>Perpajakan</v>
      </c>
      <c r="J76" s="9">
        <v>38</v>
      </c>
      <c r="K76" s="9">
        <v>41</v>
      </c>
      <c r="L76" s="9" t="str">
        <v>Perpajakan</v>
      </c>
      <c r="M76" s="9" t="str">
        <v xml:space="preserve">KC Salatiga                             </v>
      </c>
      <c r="N76" s="9" t="str">
        <v xml:space="preserve">KC Salatiga                             </v>
      </c>
      <c r="O76" s="9" t="str">
        <v xml:space="preserve">Semarang                                </v>
      </c>
      <c r="P76" s="9" t="str">
        <v>Tidak</v>
      </c>
      <c r="Q76" s="9" t="str">
        <v>Tidak</v>
      </c>
      <c r="R76" s="9" t="str">
        <v>Done</v>
      </c>
      <c r="S76" s="9" t="str">
        <v>Pending Checker</v>
      </c>
      <c r="T76" s="9" t="str">
        <v>90186796 - Devito Arya Wiradila</v>
      </c>
      <c r="U76" s="9" t="str">
        <v>"-"</v>
      </c>
      <c r="V76" s="10" t="str">
        <f>IF([1]STR!$V76 = "", "", [1]STR!$V76)</f>
        <v>Syamsul Arifianto</v>
      </c>
      <c r="W76" s="11">
        <v>46273</v>
      </c>
      <c r="X76" s="12" t="b">
        <f>[1]STR!$X76</f>
        <v>1</v>
      </c>
      <c r="Y76" t="str">
        <f>_xlfn.XLOOKUP(TRIM(B76), [4]STR!$2:$2,[4]STR!$44:$44, "")</f>
        <v/>
      </c>
    </row>
    <row r="77" spans="1:25">
      <c r="A77" s="9">
        <v>46265</v>
      </c>
      <c r="B77" s="9" t="str">
        <v xml:space="preserve">CV BANGUN RUPA KEDIRI                   </v>
      </c>
      <c r="C77" s="9" t="str">
        <v>CX00299</v>
      </c>
      <c r="D77" s="9">
        <v>8101010907563</v>
      </c>
      <c r="E77" s="9">
        <v>0</v>
      </c>
      <c r="F77" s="9" t="str">
        <v>Tidak</v>
      </c>
      <c r="G77" s="9" t="str">
        <v>Tidak</v>
      </c>
      <c r="H77" s="9" t="str">
        <v>Tidak</v>
      </c>
      <c r="I77" s="9" t="str">
        <v>Perpajakan</v>
      </c>
      <c r="J77" s="9">
        <v>38</v>
      </c>
      <c r="K77" s="9">
        <v>41</v>
      </c>
      <c r="L77" s="9" t="str">
        <v>Perpajakan</v>
      </c>
      <c r="M77" s="9" t="str">
        <v xml:space="preserve">KC Salatiga                             </v>
      </c>
      <c r="N77" s="9" t="str">
        <v xml:space="preserve">KC Salatiga                             </v>
      </c>
      <c r="O77" s="9" t="str">
        <v xml:space="preserve">Semarang                                </v>
      </c>
      <c r="P77" s="9" t="str">
        <v>Tidak</v>
      </c>
      <c r="Q77" s="9" t="str">
        <v>Tidak</v>
      </c>
      <c r="R77" s="9" t="str">
        <v>Done</v>
      </c>
      <c r="S77" s="9" t="str">
        <v>Pending Checker</v>
      </c>
      <c r="T77" s="9" t="str">
        <v>00336949 - Mochammad Al Farabi</v>
      </c>
      <c r="U77" s="9" t="str">
        <v>"-"</v>
      </c>
      <c r="V77" s="10" t="str">
        <f>IF([1]STR!$V77 = "", "", [1]STR!$V77)</f>
        <v>Syamsul Arifianto</v>
      </c>
      <c r="W77" s="11">
        <v>46273</v>
      </c>
      <c r="X77" s="12" t="b">
        <f>[1]STR!$X77</f>
        <v>1</v>
      </c>
      <c r="Y77" t="str">
        <f>_xlfn.XLOOKUP(TRIM(B77), [4]STR!$2:$2,[4]STR!$44:$44, "")</f>
        <v/>
      </c>
    </row>
    <row r="78" spans="1:25">
      <c r="A78" s="9">
        <v>46265</v>
      </c>
      <c r="B78" s="9" t="str">
        <v xml:space="preserve">CV MUARA TRADISI MADIUN                 </v>
      </c>
      <c r="C78" s="9" t="str">
        <v>CX00323</v>
      </c>
      <c r="D78" s="9">
        <v>8101011008566</v>
      </c>
      <c r="E78" s="9">
        <v>0</v>
      </c>
      <c r="F78" s="9" t="str">
        <v>Tidak</v>
      </c>
      <c r="G78" s="9" t="str">
        <v>Tidak</v>
      </c>
      <c r="H78" s="9" t="str">
        <v>Tidak</v>
      </c>
      <c r="I78" s="9" t="str">
        <v>Perpajakan</v>
      </c>
      <c r="J78" s="9">
        <v>38</v>
      </c>
      <c r="K78" s="9">
        <v>41</v>
      </c>
      <c r="L78" s="9" t="str">
        <v>Perpajakan</v>
      </c>
      <c r="M78" s="9" t="str">
        <v xml:space="preserve">KC Salatiga                             </v>
      </c>
      <c r="N78" s="9" t="str">
        <v xml:space="preserve">KC Salatiga                             </v>
      </c>
      <c r="O78" s="9" t="str">
        <v xml:space="preserve">Semarang                                </v>
      </c>
      <c r="P78" s="9" t="str">
        <v>Tidak</v>
      </c>
      <c r="Q78" s="9" t="str">
        <v>Tidak</v>
      </c>
      <c r="R78" s="9" t="str">
        <v>Done</v>
      </c>
      <c r="S78" s="9" t="str">
        <v>Pending Checker</v>
      </c>
      <c r="T78" s="9" t="str">
        <v>00394520 - Frida Akbar Rani</v>
      </c>
      <c r="U78" s="9" t="str">
        <v>"-"</v>
      </c>
      <c r="V78" s="10" t="str">
        <f>IF([1]STR!$V78 = "", "", [1]STR!$V78)</f>
        <v>Syamsul Arifianto</v>
      </c>
      <c r="W78" s="11">
        <v>46274</v>
      </c>
      <c r="X78" s="12" t="b">
        <f>[1]STR!$X78</f>
        <v>1</v>
      </c>
      <c r="Y78" t="str">
        <f>_xlfn.XLOOKUP(TRIM(B78), [4]STR!$2:$2,[4]STR!$44:$44, "")</f>
        <v/>
      </c>
    </row>
    <row r="79" spans="1:25">
      <c r="A79" s="9">
        <v>46265</v>
      </c>
      <c r="B79" s="9" t="str">
        <v xml:space="preserve">CV WARISAN GEMILANG MADIUN              </v>
      </c>
      <c r="C79" s="9" t="str">
        <v>CX00324</v>
      </c>
      <c r="D79" s="9">
        <v>8101011009562</v>
      </c>
      <c r="E79" s="9">
        <v>0</v>
      </c>
      <c r="F79" s="9" t="str">
        <v>Tidak</v>
      </c>
      <c r="G79" s="9" t="str">
        <v>Tidak</v>
      </c>
      <c r="H79" s="9" t="str">
        <v>Tidak</v>
      </c>
      <c r="I79" s="9" t="str">
        <v>Perpajakan</v>
      </c>
      <c r="J79" s="9">
        <v>34</v>
      </c>
      <c r="K79" s="9">
        <v>41</v>
      </c>
      <c r="L79" s="9" t="str">
        <v>Perpajakan</v>
      </c>
      <c r="M79" s="9" t="str">
        <v xml:space="preserve">KC Salatiga                             </v>
      </c>
      <c r="N79" s="9" t="str">
        <v xml:space="preserve">KC Salatiga                             </v>
      </c>
      <c r="O79" s="9" t="str">
        <v xml:space="preserve">Semarang                                </v>
      </c>
      <c r="P79" s="9" t="str">
        <v>Tidak</v>
      </c>
      <c r="Q79" s="9" t="str">
        <v>Tidak</v>
      </c>
      <c r="R79" s="9" t="str">
        <v>Done</v>
      </c>
      <c r="S79" s="9" t="str">
        <v>Pending Checker</v>
      </c>
      <c r="T79" s="9" t="str">
        <v>00394521 - Muhammad Hibbanduta</v>
      </c>
      <c r="U79" s="9" t="str">
        <v>"-"</v>
      </c>
      <c r="V79" s="10" t="str">
        <f>IF([1]STR!$V79 = "", "", [1]STR!$V79)</f>
        <v>Veronica Dwi Kurniasih</v>
      </c>
      <c r="W79" s="11">
        <v>46272</v>
      </c>
      <c r="X79" s="12" t="b">
        <f>[1]STR!$X79</f>
        <v>1</v>
      </c>
      <c r="Y79" t="str">
        <f>_xlfn.XLOOKUP(TRIM(B79), [4]STR!$2:$2,[4]STR!$44:$44, "")</f>
        <v/>
      </c>
    </row>
    <row r="80" spans="1:25">
      <c r="A80" s="9">
        <v>46265</v>
      </c>
      <c r="B80" s="9" t="str">
        <v xml:space="preserve">CV AGUNG SEJAHTERA BOGOR                </v>
      </c>
      <c r="C80" s="9" t="str">
        <v>CX00325</v>
      </c>
      <c r="D80" s="9">
        <v>8101011401560</v>
      </c>
      <c r="E80" s="9">
        <v>0</v>
      </c>
      <c r="F80" s="9" t="str">
        <v>Tidak</v>
      </c>
      <c r="G80" s="9" t="str">
        <v>Tidak</v>
      </c>
      <c r="H80" s="9" t="str">
        <v>Tidak</v>
      </c>
      <c r="I80" s="9" t="str">
        <v>Perpajakan</v>
      </c>
      <c r="J80" s="9">
        <v>36</v>
      </c>
      <c r="K80" s="9">
        <v>41</v>
      </c>
      <c r="L80" s="9" t="str">
        <v>Perpajakan</v>
      </c>
      <c r="M80" s="9" t="str">
        <v xml:space="preserve">KC Salatiga                             </v>
      </c>
      <c r="N80" s="9" t="str">
        <v xml:space="preserve">KC Salatiga                             </v>
      </c>
      <c r="O80" s="9" t="str">
        <v xml:space="preserve">Semarang                                </v>
      </c>
      <c r="P80" s="9" t="str">
        <v>Tidak</v>
      </c>
      <c r="Q80" s="9" t="str">
        <v>Tidak</v>
      </c>
      <c r="R80" s="9" t="str">
        <v>Done</v>
      </c>
      <c r="S80" s="9" t="str">
        <v>Pending Checker</v>
      </c>
      <c r="T80" s="9" t="str">
        <v>90150130 - Intan Aida Pratiwi</v>
      </c>
      <c r="U80" s="9" t="str">
        <v>"-"</v>
      </c>
      <c r="V80" s="10" t="str">
        <f>IF([1]STR!$V80 = "", "", [1]STR!$V80)</f>
        <v>Syamsul Arifianto</v>
      </c>
      <c r="W80" s="11">
        <v>46272</v>
      </c>
      <c r="X80" s="12" t="b">
        <f>[1]STR!$X80</f>
        <v>1</v>
      </c>
      <c r="Y80" t="str">
        <f>_xlfn.XLOOKUP(TRIM(B80), [4]STR!$2:$2,[4]STR!$44:$44, "")</f>
        <v/>
      </c>
    </row>
    <row r="81" spans="1:25">
      <c r="A81" s="9">
        <v>46265</v>
      </c>
      <c r="B81" s="9" t="str">
        <v xml:space="preserve">CV ANGKASA PELANGI BOGOR                </v>
      </c>
      <c r="C81" s="9" t="str">
        <v>CX00326</v>
      </c>
      <c r="D81" s="9">
        <v>8101011402566</v>
      </c>
      <c r="E81" s="9">
        <v>0</v>
      </c>
      <c r="F81" s="9" t="str">
        <v>Tidak</v>
      </c>
      <c r="G81" s="9" t="str">
        <v>Tidak</v>
      </c>
      <c r="H81" s="9" t="str">
        <v>Tidak</v>
      </c>
      <c r="I81" s="9" t="str">
        <v>Perpajakan</v>
      </c>
      <c r="J81" s="9">
        <v>36</v>
      </c>
      <c r="K81" s="9">
        <v>41</v>
      </c>
      <c r="L81" s="9" t="str">
        <v>Perpajakan</v>
      </c>
      <c r="M81" s="9" t="str">
        <v xml:space="preserve">KC Salatiga                             </v>
      </c>
      <c r="N81" s="9" t="str">
        <v xml:space="preserve">KC Salatiga                             </v>
      </c>
      <c r="O81" s="9" t="str">
        <v xml:space="preserve">Semarang                                </v>
      </c>
      <c r="P81" s="9" t="str">
        <v>Tidak</v>
      </c>
      <c r="Q81" s="9" t="str">
        <v>Tidak</v>
      </c>
      <c r="R81" s="9" t="str">
        <v>Done</v>
      </c>
      <c r="S81" s="9" t="str">
        <v>Pending Checker</v>
      </c>
      <c r="T81" s="9" t="str">
        <v>90170665 - Mutiara Ayuningtyas</v>
      </c>
      <c r="U81" s="9" t="str">
        <v>"-"</v>
      </c>
      <c r="V81" s="10" t="str">
        <f>IF([1]STR!$V81 = "", "", [1]STR!$V81)</f>
        <v>Syamsul Arifianto</v>
      </c>
      <c r="W81" s="11">
        <v>46272</v>
      </c>
      <c r="X81" s="12" t="b">
        <f>[1]STR!$X81</f>
        <v>1</v>
      </c>
      <c r="Y81" t="str">
        <f>_xlfn.XLOOKUP(TRIM(B81), [4]STR!$2:$2,[4]STR!$44:$44, "")</f>
        <v/>
      </c>
    </row>
    <row r="82" spans="1:25">
      <c r="A82" s="9">
        <v>46265</v>
      </c>
      <c r="B82" s="9" t="str">
        <v xml:space="preserve">CV MUARA TRADISI KEDIRI                 </v>
      </c>
      <c r="C82" s="9" t="str">
        <v>CX00327</v>
      </c>
      <c r="D82" s="9">
        <v>8101010908569</v>
      </c>
      <c r="E82" s="9">
        <v>0</v>
      </c>
      <c r="F82" s="9" t="str">
        <v>Tidak</v>
      </c>
      <c r="G82" s="9" t="str">
        <v>Tidak</v>
      </c>
      <c r="H82" s="9" t="str">
        <v>Tidak</v>
      </c>
      <c r="I82" s="9" t="str">
        <v>Perpajakan</v>
      </c>
      <c r="J82" s="9">
        <v>38</v>
      </c>
      <c r="K82" s="9">
        <v>41</v>
      </c>
      <c r="L82" s="9" t="str">
        <v>Perpajakan</v>
      </c>
      <c r="M82" s="9" t="str">
        <v xml:space="preserve">KC Salatiga                             </v>
      </c>
      <c r="N82" s="9" t="str">
        <v xml:space="preserve">KC Salatiga                             </v>
      </c>
      <c r="O82" s="9" t="str">
        <v xml:space="preserve">Semarang                                </v>
      </c>
      <c r="P82" s="9" t="str">
        <v>Tidak</v>
      </c>
      <c r="Q82" s="9" t="str">
        <v>Tidak</v>
      </c>
      <c r="R82" s="9" t="str">
        <v>Done</v>
      </c>
      <c r="S82" s="9" t="str">
        <v>Pending Checker</v>
      </c>
      <c r="T82" s="9" t="str">
        <v>90171841 - Rifqi Aziz</v>
      </c>
      <c r="U82" s="9" t="str">
        <v>"-"</v>
      </c>
      <c r="V82" s="10" t="str">
        <f>IF([1]STR!$V82 = "", "", [1]STR!$V82)</f>
        <v>Veronica Dwi Kurniasih</v>
      </c>
      <c r="W82" s="11">
        <v>46274</v>
      </c>
      <c r="X82" s="12" t="b">
        <f>[1]STR!$X82</f>
        <v>1</v>
      </c>
      <c r="Y82" t="str">
        <f>_xlfn.XLOOKUP(TRIM(B82), [4]STR!$2:$2,[4]STR!$44:$44, "")</f>
        <v/>
      </c>
    </row>
    <row r="83" spans="1:25">
      <c r="A83" s="9">
        <v>46265</v>
      </c>
      <c r="B83" s="9" t="str">
        <v xml:space="preserve">CV WARISAN GEMILANG KEDIRI              </v>
      </c>
      <c r="C83" s="9" t="str">
        <v>CX00329</v>
      </c>
      <c r="D83" s="9">
        <v>8101010909565</v>
      </c>
      <c r="E83" s="9">
        <v>0</v>
      </c>
      <c r="F83" s="9" t="str">
        <v>Tidak</v>
      </c>
      <c r="G83" s="9" t="str">
        <v>Tidak</v>
      </c>
      <c r="H83" s="9" t="str">
        <v>Tidak</v>
      </c>
      <c r="I83" s="9" t="str">
        <v>Perpajakan</v>
      </c>
      <c r="J83" s="9">
        <v>34</v>
      </c>
      <c r="K83" s="9">
        <v>41</v>
      </c>
      <c r="L83" s="9" t="str">
        <v>Perpajakan</v>
      </c>
      <c r="M83" s="9" t="str">
        <v xml:space="preserve">KC Salatiga                             </v>
      </c>
      <c r="N83" s="9" t="str">
        <v xml:space="preserve">KC Salatiga                             </v>
      </c>
      <c r="O83" s="9" t="str">
        <v xml:space="preserve">Semarang                                </v>
      </c>
      <c r="P83" s="9" t="str">
        <v>Tidak</v>
      </c>
      <c r="Q83" s="9" t="str">
        <v>Tidak</v>
      </c>
      <c r="R83" s="9" t="str">
        <v>Done</v>
      </c>
      <c r="S83" s="9" t="str">
        <v>Pending Checker</v>
      </c>
      <c r="T83" s="9" t="str">
        <v>90171841 - Rifqi Aziz</v>
      </c>
      <c r="U83" s="9" t="str">
        <v>"-"</v>
      </c>
      <c r="V83" s="10" t="str">
        <f>IF([1]STR!$V83 = "", "", [1]STR!$V83)</f>
        <v>Veronica Dwi Kurniasih</v>
      </c>
      <c r="W83" s="11">
        <v>46269</v>
      </c>
      <c r="X83" s="12" t="b">
        <f>[1]STR!$X83</f>
        <v>1</v>
      </c>
      <c r="Y83" t="str">
        <f>_xlfn.XLOOKUP(TRIM(B83), [4]STR!$2:$2,[4]STR!$44:$44, "")</f>
        <v/>
      </c>
    </row>
    <row r="84" spans="1:25">
      <c r="A84" s="9">
        <v>46265</v>
      </c>
      <c r="B84" s="9" t="str">
        <v xml:space="preserve">CV BARA PELITA BOGOR                    </v>
      </c>
      <c r="C84" s="9" t="str">
        <v>CX00330</v>
      </c>
      <c r="D84" s="9">
        <v>8101011403562</v>
      </c>
      <c r="E84" s="9">
        <v>0</v>
      </c>
      <c r="F84" s="9" t="str">
        <v>Tidak</v>
      </c>
      <c r="G84" s="9" t="str">
        <v>Tidak</v>
      </c>
      <c r="H84" s="9" t="str">
        <v>Tidak</v>
      </c>
      <c r="I84" s="9" t="str">
        <v>Perpajakan</v>
      </c>
      <c r="J84" s="9">
        <v>33</v>
      </c>
      <c r="K84" s="9">
        <v>41</v>
      </c>
      <c r="L84" s="9" t="str">
        <v>Perpajakan</v>
      </c>
      <c r="M84" s="9" t="str">
        <v xml:space="preserve">KC Salatiga                             </v>
      </c>
      <c r="N84" s="9" t="str">
        <v xml:space="preserve">KC Salatiga                             </v>
      </c>
      <c r="O84" s="9" t="str">
        <v xml:space="preserve">Semarang                                </v>
      </c>
      <c r="P84" s="9" t="str">
        <v>Tidak</v>
      </c>
      <c r="Q84" s="9" t="str">
        <v>Tidak</v>
      </c>
      <c r="R84" s="9" t="str">
        <v>Done</v>
      </c>
      <c r="S84" s="9" t="str">
        <v>Pending Checker</v>
      </c>
      <c r="T84" s="9" t="str">
        <v>90150130 - Intan Aida Pratiwi</v>
      </c>
      <c r="U84" s="9" t="str">
        <v>"-"</v>
      </c>
      <c r="V84" s="10" t="str">
        <f>IF([1]STR!$V84 = "", "", [1]STR!$V84)</f>
        <v>Syamsul Arifianto</v>
      </c>
      <c r="W84" s="11">
        <v>46273</v>
      </c>
      <c r="X84" s="12" t="b">
        <f>[1]STR!$X84</f>
        <v>1</v>
      </c>
      <c r="Y84" t="str">
        <f>_xlfn.XLOOKUP(TRIM(B84), [4]STR!$2:$2,[4]STR!$44:$44, "")</f>
        <v/>
      </c>
    </row>
    <row r="85" spans="1:25">
      <c r="A85" s="9">
        <v>46265</v>
      </c>
      <c r="B85" s="9" t="str">
        <v xml:space="preserve">CV BENGAWAN RAHMAT BOGOR                </v>
      </c>
      <c r="C85" s="9" t="str">
        <v>CX00368</v>
      </c>
      <c r="D85" s="9">
        <v>8101011404568</v>
      </c>
      <c r="E85" s="9">
        <v>0</v>
      </c>
      <c r="F85" s="9" t="str">
        <v>Tidak</v>
      </c>
      <c r="G85" s="9" t="str">
        <v>Tidak</v>
      </c>
      <c r="H85" s="9" t="str">
        <v>Tidak</v>
      </c>
      <c r="I85" s="9" t="str">
        <v>Perpajakan</v>
      </c>
      <c r="J85" s="9">
        <v>33</v>
      </c>
      <c r="K85" s="9">
        <v>41</v>
      </c>
      <c r="L85" s="9" t="str">
        <v>Perpajakan</v>
      </c>
      <c r="M85" s="9" t="str">
        <v xml:space="preserve">KC Salatiga                             </v>
      </c>
      <c r="N85" s="9" t="str">
        <v xml:space="preserve">KC Salatiga                             </v>
      </c>
      <c r="O85" s="9" t="str">
        <v xml:space="preserve">Semarang                                </v>
      </c>
      <c r="P85" s="9" t="str">
        <v>Tidak</v>
      </c>
      <c r="Q85" s="9" t="str">
        <v>Tidak</v>
      </c>
      <c r="R85" s="9" t="str">
        <v>Done</v>
      </c>
      <c r="S85" s="9" t="str">
        <v>Pending Checker</v>
      </c>
      <c r="T85" s="9" t="str">
        <v>90185537 - Moh.Khoerul Fajar Ar</v>
      </c>
      <c r="U85" s="9" t="str">
        <v>"-"</v>
      </c>
      <c r="V85" s="10" t="str">
        <f>IF([1]STR!$V85 = "", "", [1]STR!$V85)</f>
        <v>Syamsul Arifianto</v>
      </c>
      <c r="W85" s="11">
        <v>46273</v>
      </c>
      <c r="X85" s="12" t="b">
        <f>[1]STR!$X85</f>
        <v>1</v>
      </c>
      <c r="Y85" t="str">
        <f>_xlfn.XLOOKUP(TRIM(B85), [4]STR!$2:$2,[4]STR!$44:$44, "")</f>
        <v/>
      </c>
    </row>
    <row r="86" spans="1:25">
      <c r="A86" s="9">
        <v>46265</v>
      </c>
      <c r="B86" s="9" t="str">
        <v xml:space="preserve">CV MUARA TALENTA BOGOR                  </v>
      </c>
      <c r="C86" s="9" t="str">
        <v>CX00369</v>
      </c>
      <c r="D86" s="9">
        <v>8101011406560</v>
      </c>
      <c r="E86" s="9">
        <v>0</v>
      </c>
      <c r="F86" s="9" t="str">
        <v>Tidak</v>
      </c>
      <c r="G86" s="9" t="str">
        <v>Tidak</v>
      </c>
      <c r="H86" s="9" t="str">
        <v>Tidak</v>
      </c>
      <c r="I86" s="9" t="str">
        <v>Perpajakan</v>
      </c>
      <c r="J86" s="9">
        <v>36</v>
      </c>
      <c r="K86" s="9">
        <v>41</v>
      </c>
      <c r="L86" s="9" t="str">
        <v>Perpajakan</v>
      </c>
      <c r="M86" s="9" t="str">
        <v xml:space="preserve">KC Salatiga                             </v>
      </c>
      <c r="N86" s="9" t="str">
        <v xml:space="preserve">KC Salatiga                             </v>
      </c>
      <c r="O86" s="9" t="str">
        <v xml:space="preserve">Semarang                                </v>
      </c>
      <c r="P86" s="9" t="str">
        <v>Tidak</v>
      </c>
      <c r="Q86" s="9" t="str">
        <v>Tidak</v>
      </c>
      <c r="R86" s="9" t="str">
        <v>Done</v>
      </c>
      <c r="S86" s="9" t="str">
        <v>Pending Checker</v>
      </c>
      <c r="T86" s="9" t="str">
        <v>90171841 - Rifqi Aziz</v>
      </c>
      <c r="U86" s="9" t="str">
        <v>"-"</v>
      </c>
      <c r="V86" s="10" t="str">
        <f>IF([1]STR!$V86 = "", "", [1]STR!$V86)</f>
        <v>Syamsul Arifianto</v>
      </c>
      <c r="W86" s="11">
        <v>46273</v>
      </c>
      <c r="X86" s="12" t="b">
        <f>[1]STR!$X86</f>
        <v>1</v>
      </c>
      <c r="Y86" t="str">
        <f>_xlfn.XLOOKUP(TRIM(B86), [4]STR!$2:$2,[4]STR!$44:$44, "")</f>
        <v/>
      </c>
    </row>
    <row r="87" spans="1:25">
      <c r="A87" s="9">
        <v>46265</v>
      </c>
      <c r="B87" s="9" t="str">
        <v xml:space="preserve">CV MULIA ABADI BOGOR                    </v>
      </c>
      <c r="C87" s="9" t="str">
        <v>CX00370</v>
      </c>
      <c r="D87" s="9">
        <v>8101011407566</v>
      </c>
      <c r="E87" s="9">
        <v>0</v>
      </c>
      <c r="F87" s="9" t="str">
        <v>Tidak</v>
      </c>
      <c r="G87" s="9" t="str">
        <v>Tidak</v>
      </c>
      <c r="H87" s="9" t="str">
        <v>Tidak</v>
      </c>
      <c r="I87" s="9" t="str">
        <v>Perpajakan</v>
      </c>
      <c r="J87" s="9">
        <v>33</v>
      </c>
      <c r="K87" s="9">
        <v>41</v>
      </c>
      <c r="L87" s="9" t="str">
        <v>Perpajakan</v>
      </c>
      <c r="M87" s="9" t="str">
        <v xml:space="preserve">KC Salatiga                             </v>
      </c>
      <c r="N87" s="9" t="str">
        <v xml:space="preserve">KC Salatiga                             </v>
      </c>
      <c r="O87" s="9" t="str">
        <v xml:space="preserve">Semarang                                </v>
      </c>
      <c r="P87" s="9" t="str">
        <v>Tidak</v>
      </c>
      <c r="Q87" s="9" t="str">
        <v>Tidak</v>
      </c>
      <c r="R87" s="9" t="str">
        <v>Done</v>
      </c>
      <c r="S87" s="9" t="str">
        <v>Pending Checker</v>
      </c>
      <c r="T87" s="9" t="str">
        <v>90185537 - Moh.Khoerul Fajar Ar</v>
      </c>
      <c r="U87" s="9" t="str">
        <v>"-"</v>
      </c>
      <c r="V87" s="10" t="str">
        <f>IF([1]STR!$V87 = "", "", [1]STR!$V87)</f>
        <v>Veronica Dwi Kurniasih</v>
      </c>
      <c r="W87" s="11">
        <v>46273</v>
      </c>
      <c r="X87" s="12" t="b">
        <f>[1]STR!$X87</f>
        <v>1</v>
      </c>
      <c r="Y87" t="str">
        <f>_xlfn.XLOOKUP(TRIM(B87), [4]STR!$2:$2,[4]STR!$44:$44, "")</f>
        <v/>
      </c>
    </row>
    <row r="88" spans="1:25">
      <c r="A88" s="9">
        <v>46265</v>
      </c>
      <c r="B88" s="9" t="str">
        <v xml:space="preserve">CV JELITA ELANG BOGOR                   </v>
      </c>
      <c r="C88" s="9" t="str">
        <v>CX00371</v>
      </c>
      <c r="D88" s="9">
        <v>8101011405564</v>
      </c>
      <c r="E88" s="9">
        <v>0</v>
      </c>
      <c r="F88" s="9" t="str">
        <v>Tidak</v>
      </c>
      <c r="G88" s="9" t="str">
        <v>Tidak</v>
      </c>
      <c r="H88" s="9" t="str">
        <v>Tidak</v>
      </c>
      <c r="I88" s="9" t="str">
        <v>Perpajakan</v>
      </c>
      <c r="J88" s="9">
        <v>33</v>
      </c>
      <c r="K88" s="9">
        <v>41</v>
      </c>
      <c r="L88" s="9" t="str">
        <v>Perpajakan</v>
      </c>
      <c r="M88" s="9" t="str">
        <v xml:space="preserve">KC Salatiga                             </v>
      </c>
      <c r="N88" s="9" t="str">
        <v xml:space="preserve">KC Salatiga                             </v>
      </c>
      <c r="O88" s="9" t="str">
        <v xml:space="preserve">Semarang                                </v>
      </c>
      <c r="P88" s="9" t="str">
        <v>Tidak</v>
      </c>
      <c r="Q88" s="9" t="str">
        <v>Tidak</v>
      </c>
      <c r="R88" s="9" t="str">
        <v>Done</v>
      </c>
      <c r="S88" s="9" t="str">
        <v>Pending Checker</v>
      </c>
      <c r="T88" s="9" t="str">
        <v>90185538 - Muhammad Fahikal Auz</v>
      </c>
      <c r="U88" s="9" t="str">
        <v>"-"</v>
      </c>
      <c r="V88" s="10" t="str">
        <f>IF([1]STR!$V88 = "", "", [1]STR!$V88)</f>
        <v>Syamsul Arifianto</v>
      </c>
      <c r="W88" s="11">
        <v>46273</v>
      </c>
      <c r="X88" s="12" t="b">
        <f>[1]STR!$X88</f>
        <v>1</v>
      </c>
      <c r="Y88" t="str">
        <f>_xlfn.XLOOKUP(TRIM(B88), [4]STR!$2:$2,[4]STR!$44:$44, "")</f>
        <v/>
      </c>
    </row>
    <row r="89" spans="1:25">
      <c r="A89" s="9">
        <v>46265</v>
      </c>
      <c r="B89" s="9" t="str">
        <v xml:space="preserve">CV MULTI PESONA BOGOR                   </v>
      </c>
      <c r="C89" s="9" t="str">
        <v>CX00372</v>
      </c>
      <c r="D89" s="9">
        <v>8101011408562</v>
      </c>
      <c r="E89" s="9">
        <v>0</v>
      </c>
      <c r="F89" s="9" t="str">
        <v>Tidak</v>
      </c>
      <c r="G89" s="9" t="str">
        <v>Tidak</v>
      </c>
      <c r="H89" s="9" t="str">
        <v>Tidak</v>
      </c>
      <c r="I89" s="9" t="str">
        <v>Perpajakan</v>
      </c>
      <c r="J89" s="9">
        <v>36</v>
      </c>
      <c r="K89" s="9">
        <v>41</v>
      </c>
      <c r="L89" s="9" t="str">
        <v>Perpajakan</v>
      </c>
      <c r="M89" s="9" t="str">
        <v xml:space="preserve">KC Salatiga                             </v>
      </c>
      <c r="N89" s="9" t="str">
        <v xml:space="preserve">KC Salatiga                             </v>
      </c>
      <c r="O89" s="9" t="str">
        <v xml:space="preserve">Semarang                                </v>
      </c>
      <c r="P89" s="9" t="str">
        <v>Tidak</v>
      </c>
      <c r="Q89" s="9" t="str">
        <v>Tidak</v>
      </c>
      <c r="R89" s="9" t="str">
        <v>Done</v>
      </c>
      <c r="S89" s="9" t="str">
        <v>Pending Checker</v>
      </c>
      <c r="T89" s="9" t="str">
        <v>90170665 - Mutiara Ayuningtyas</v>
      </c>
      <c r="U89" s="9" t="str">
        <v>"-"</v>
      </c>
      <c r="V89" s="10" t="str">
        <f>IF([1]STR!$V89 = "", "", [1]STR!$V89)</f>
        <v>Veronica Dwi Kurniasih</v>
      </c>
      <c r="W89" s="11">
        <v>46273</v>
      </c>
      <c r="X89" s="12" t="b">
        <f>[1]STR!$X89</f>
        <v>1</v>
      </c>
      <c r="Y89" t="str">
        <f>_xlfn.XLOOKUP(TRIM(B89), [4]STR!$2:$2,[4]STR!$44:$44, "")</f>
        <v/>
      </c>
    </row>
    <row r="90" spans="1:25">
      <c r="A90" s="9">
        <v>46265</v>
      </c>
      <c r="B90" s="9" t="str">
        <v xml:space="preserve">CV SANTIKA DIVA BOGOR                   </v>
      </c>
      <c r="C90" s="9" t="str">
        <v>CX00392</v>
      </c>
      <c r="D90" s="9">
        <v>8101011409568</v>
      </c>
      <c r="E90" s="9">
        <v>0</v>
      </c>
      <c r="F90" s="9" t="str">
        <v>Tidak</v>
      </c>
      <c r="G90" s="9" t="str">
        <v>Tidak</v>
      </c>
      <c r="H90" s="9" t="str">
        <v>Tidak</v>
      </c>
      <c r="I90" s="9" t="str">
        <v>Perpajakan</v>
      </c>
      <c r="J90" s="9">
        <v>33</v>
      </c>
      <c r="K90" s="9">
        <v>41</v>
      </c>
      <c r="L90" s="9" t="str">
        <v>Perpajakan</v>
      </c>
      <c r="M90" s="9" t="str">
        <v xml:space="preserve">KC Salatiga                             </v>
      </c>
      <c r="N90" s="9" t="str">
        <v xml:space="preserve">KC Salatiga                             </v>
      </c>
      <c r="O90" s="9" t="str">
        <v xml:space="preserve">Semarang                                </v>
      </c>
      <c r="P90" s="9" t="str">
        <v>Tidak</v>
      </c>
      <c r="Q90" s="9" t="str">
        <v>Tidak</v>
      </c>
      <c r="R90" s="9" t="str">
        <v>Done</v>
      </c>
      <c r="S90" s="9" t="str">
        <v>Pending Checker</v>
      </c>
      <c r="T90" s="9" t="str">
        <v>90186790 - Muhammad Alfin Farha</v>
      </c>
      <c r="U90" s="9" t="str">
        <v>"-"</v>
      </c>
      <c r="V90" s="10" t="str">
        <f>IF([1]STR!$V90 = "", "", [1]STR!$V90)</f>
        <v>Veronica Dwi Kurniasih</v>
      </c>
      <c r="W90" s="11">
        <v>46273</v>
      </c>
      <c r="X90" s="12" t="b">
        <f>[1]STR!$X90</f>
        <v>1</v>
      </c>
      <c r="Y90" t="str">
        <f>_xlfn.XLOOKUP(TRIM(B90), [4]STR!$2:$2,[4]STR!$44:$44, "")</f>
        <v/>
      </c>
    </row>
    <row r="91" spans="1:25">
      <c r="A91" s="9">
        <v>46265</v>
      </c>
      <c r="B91" s="9" t="str">
        <v xml:space="preserve">CV GARUDA MAKSIMA PEKALONGAN            </v>
      </c>
      <c r="C91" s="9" t="str">
        <v>CX00393</v>
      </c>
      <c r="D91" s="9">
        <v>8101011501564</v>
      </c>
      <c r="E91" s="9">
        <v>0</v>
      </c>
      <c r="F91" s="9" t="str">
        <v>Tidak</v>
      </c>
      <c r="G91" s="9" t="str">
        <v>Tidak</v>
      </c>
      <c r="H91" s="9" t="str">
        <v>Tidak</v>
      </c>
      <c r="I91" s="9" t="str">
        <v>Perpajakan</v>
      </c>
      <c r="J91" s="9">
        <v>35</v>
      </c>
      <c r="K91" s="9">
        <v>41</v>
      </c>
      <c r="L91" s="9" t="str">
        <v>Perpajakan</v>
      </c>
      <c r="M91" s="9" t="str">
        <v xml:space="preserve">KC Salatiga                             </v>
      </c>
      <c r="N91" s="9" t="str">
        <v xml:space="preserve">KC Salatiga                             </v>
      </c>
      <c r="O91" s="9" t="str">
        <v xml:space="preserve">Semarang                                </v>
      </c>
      <c r="P91" s="9" t="str">
        <v>Tidak</v>
      </c>
      <c r="Q91" s="9" t="str">
        <v>Tidak</v>
      </c>
      <c r="R91" s="9" t="str">
        <v>Done</v>
      </c>
      <c r="S91" s="9" t="str">
        <v>Pending Checker</v>
      </c>
      <c r="T91" s="9" t="str">
        <v>90185537 - Moh.Khoerul Fajar Ar</v>
      </c>
      <c r="U91" s="9" t="str">
        <v>"-"</v>
      </c>
      <c r="V91" s="10" t="str">
        <f>IF([1]STR!$V91 = "", "", [1]STR!$V91)</f>
        <v>Syamsul Arifianto</v>
      </c>
      <c r="W91" s="11">
        <v>46273</v>
      </c>
      <c r="X91" s="12" t="b">
        <f>[1]STR!$X91</f>
        <v>1</v>
      </c>
      <c r="Y91" t="str">
        <f>_xlfn.XLOOKUP(TRIM(B91), [4]STR!$2:$2,[4]STR!$44:$44, "")</f>
        <v/>
      </c>
    </row>
    <row r="92" spans="1:25">
      <c r="A92" s="9">
        <v>46265</v>
      </c>
      <c r="B92" s="9" t="str">
        <v xml:space="preserve">CV GELORA PANDAWA PEKALONGAN            </v>
      </c>
      <c r="C92" s="9" t="str">
        <v>CX00394</v>
      </c>
      <c r="D92" s="9">
        <v>8101011502560</v>
      </c>
      <c r="E92" s="9">
        <v>0</v>
      </c>
      <c r="F92" s="9" t="str">
        <v>Tidak</v>
      </c>
      <c r="G92" s="9" t="str">
        <v>Tidak</v>
      </c>
      <c r="H92" s="9" t="str">
        <v>Tidak</v>
      </c>
      <c r="I92" s="9" t="str">
        <v>Perpajakan</v>
      </c>
      <c r="J92" s="9">
        <v>35</v>
      </c>
      <c r="K92" s="9">
        <v>41</v>
      </c>
      <c r="L92" s="9" t="str">
        <v>Perpajakan</v>
      </c>
      <c r="M92" s="9" t="str">
        <v xml:space="preserve">KC Salatiga                             </v>
      </c>
      <c r="N92" s="9" t="str">
        <v xml:space="preserve">KC Salatiga                             </v>
      </c>
      <c r="O92" s="9" t="str">
        <v xml:space="preserve">Semarang                                </v>
      </c>
      <c r="P92" s="9" t="str">
        <v>Tidak</v>
      </c>
      <c r="Q92" s="9" t="str">
        <v>Tidak</v>
      </c>
      <c r="R92" s="9" t="str">
        <v>Done</v>
      </c>
      <c r="S92" s="9" t="str">
        <v>Pending Checker</v>
      </c>
      <c r="T92" s="9" t="str">
        <v>00336949 - Mochammad Al Farabi</v>
      </c>
      <c r="U92" s="9" t="str">
        <v>"-"</v>
      </c>
      <c r="V92" s="10" t="str">
        <f>IF([1]STR!$V92 = "", "", [1]STR!$V92)</f>
        <v>Syamsul Arifianto</v>
      </c>
      <c r="W92" s="11">
        <v>46273</v>
      </c>
      <c r="X92" s="12" t="b">
        <f>[1]STR!$X92</f>
        <v>1</v>
      </c>
      <c r="Y92" t="str">
        <f>_xlfn.XLOOKUP(TRIM(B92), [4]STR!$2:$2,[4]STR!$44:$44, "")</f>
        <v/>
      </c>
    </row>
    <row r="93" spans="1:25">
      <c r="A93" s="9">
        <v>46265</v>
      </c>
      <c r="B93" s="9" t="str">
        <v xml:space="preserve">CV WARISAN GAYA BOGOR                   </v>
      </c>
      <c r="C93" s="9" t="str">
        <v>CX00395</v>
      </c>
      <c r="D93" s="9">
        <v>8101011410569</v>
      </c>
      <c r="E93" s="9">
        <v>0</v>
      </c>
      <c r="F93" s="9" t="str">
        <v>Tidak</v>
      </c>
      <c r="G93" s="9" t="str">
        <v>Tidak</v>
      </c>
      <c r="H93" s="9" t="str">
        <v>Tidak</v>
      </c>
      <c r="I93" s="9" t="str">
        <v>Perpajakan</v>
      </c>
      <c r="J93" s="9">
        <v>33</v>
      </c>
      <c r="K93" s="9">
        <v>41</v>
      </c>
      <c r="L93" s="9" t="str">
        <v>Perpajakan</v>
      </c>
      <c r="M93" s="9" t="str">
        <v xml:space="preserve">KC Salatiga                             </v>
      </c>
      <c r="N93" s="9" t="str">
        <v xml:space="preserve">KC Salatiga                             </v>
      </c>
      <c r="O93" s="9" t="str">
        <v xml:space="preserve">Semarang                                </v>
      </c>
      <c r="P93" s="9" t="str">
        <v>Tidak</v>
      </c>
      <c r="Q93" s="9" t="str">
        <v>Tidak</v>
      </c>
      <c r="R93" s="9" t="str">
        <v>Done</v>
      </c>
      <c r="S93" s="9" t="str">
        <v>Pending Checker</v>
      </c>
      <c r="T93" s="9" t="str">
        <v>00394520 - Frida Akbar Rani</v>
      </c>
      <c r="U93" s="9" t="str">
        <v>"-"</v>
      </c>
      <c r="V93" s="10" t="str">
        <f>IF([1]STR!$V93 = "", "", [1]STR!$V93)</f>
        <v>Veronica Dwi Kurniasih</v>
      </c>
      <c r="W93" s="11">
        <v>46271</v>
      </c>
      <c r="X93" s="12" t="b">
        <f>[1]STR!$X93</f>
        <v>1</v>
      </c>
      <c r="Y93" t="str">
        <f>_xlfn.XLOOKUP(TRIM(B93), [4]STR!$2:$2,[4]STR!$44:$44, "")</f>
        <v/>
      </c>
    </row>
    <row r="94" spans="1:25">
      <c r="A94" s="9">
        <v>46265</v>
      </c>
      <c r="B94" s="9" t="str">
        <v xml:space="preserve">CV KENCANA BHAKTI SALATIGA              </v>
      </c>
      <c r="C94" s="9" t="str">
        <v>CX01668</v>
      </c>
      <c r="D94" s="9">
        <v>8101010115564</v>
      </c>
      <c r="E94" s="9">
        <v>0</v>
      </c>
      <c r="F94" s="9" t="str">
        <v>Tidak</v>
      </c>
      <c r="G94" s="9" t="str">
        <v>Tidak</v>
      </c>
      <c r="H94" s="9" t="str">
        <v>Tidak</v>
      </c>
      <c r="I94" s="9" t="str">
        <v>Perpajakan</v>
      </c>
      <c r="J94" s="9">
        <v>33</v>
      </c>
      <c r="K94" s="9">
        <v>41</v>
      </c>
      <c r="L94" s="9" t="str">
        <v>Perpajakan</v>
      </c>
      <c r="M94" s="9" t="str">
        <v xml:space="preserve">KC Salatiga                             </v>
      </c>
      <c r="N94" s="9" t="str">
        <v xml:space="preserve">KC Salatiga                             </v>
      </c>
      <c r="O94" s="9" t="str">
        <v xml:space="preserve">Semarang                                </v>
      </c>
      <c r="P94" s="9" t="str">
        <v>Tidak</v>
      </c>
      <c r="Q94" s="9" t="str">
        <v>Tidak</v>
      </c>
      <c r="R94" s="9" t="str">
        <v>Done</v>
      </c>
      <c r="S94" s="9" t="str">
        <v>Pending Checker</v>
      </c>
      <c r="T94" s="9" t="str">
        <v>90170665 - Mutiara Ayuningtyas</v>
      </c>
      <c r="U94" s="9" t="str">
        <v>"-"</v>
      </c>
      <c r="V94" s="10" t="str">
        <f>IF([1]STR!$V94 = "", "", [1]STR!$V94)</f>
        <v>Veronica Dwi Kurniasih</v>
      </c>
      <c r="W94" s="11">
        <v>46266</v>
      </c>
      <c r="X94" s="12" t="b">
        <f>[1]STR!$X94</f>
        <v>1</v>
      </c>
      <c r="Y94" t="str">
        <f>_xlfn.XLOOKUP(TRIM(B94), [4]STR!$2:$2,[4]STR!$44:$44, "")</f>
        <v/>
      </c>
    </row>
    <row r="95" spans="1:25">
      <c r="A95" s="9">
        <v>46265</v>
      </c>
      <c r="B95" s="9" t="str">
        <v xml:space="preserve">CV KENCANA CAKRA SALATIGA               </v>
      </c>
      <c r="C95" s="9" t="str">
        <v>CX01670</v>
      </c>
      <c r="D95" s="9">
        <v>8101010116560</v>
      </c>
      <c r="E95" s="9">
        <v>0</v>
      </c>
      <c r="F95" s="9" t="str">
        <v>Tidak</v>
      </c>
      <c r="G95" s="9" t="str">
        <v>Tidak</v>
      </c>
      <c r="H95" s="9" t="str">
        <v>Tidak</v>
      </c>
      <c r="I95" s="9" t="str">
        <v>Perpajakan</v>
      </c>
      <c r="J95" s="9">
        <v>33</v>
      </c>
      <c r="K95" s="9">
        <v>41</v>
      </c>
      <c r="L95" s="9" t="str">
        <v>Perpajakan</v>
      </c>
      <c r="M95" s="9" t="str">
        <v xml:space="preserve">KC Salatiga                             </v>
      </c>
      <c r="N95" s="9" t="str">
        <v xml:space="preserve">KC Salatiga                             </v>
      </c>
      <c r="O95" s="9" t="str">
        <v xml:space="preserve">Semarang                                </v>
      </c>
      <c r="P95" s="9" t="str">
        <v>Tidak</v>
      </c>
      <c r="Q95" s="9" t="str">
        <v>Tidak</v>
      </c>
      <c r="R95" s="9" t="str">
        <v>Done</v>
      </c>
      <c r="S95" s="9" t="str">
        <v>Pending Checker</v>
      </c>
      <c r="T95" s="9" t="str">
        <v>90150130 - Intan Aida Pratiwi</v>
      </c>
      <c r="U95" s="9" t="str">
        <v>"-"</v>
      </c>
      <c r="V95" s="10" t="str">
        <f>IF([1]STR!$V95 = "", "", [1]STR!$V95)</f>
        <v>Veronica Dwi Kurniasih</v>
      </c>
      <c r="W95" s="11">
        <v>46266</v>
      </c>
      <c r="X95" s="12" t="b">
        <f>[1]STR!$X95</f>
        <v>1</v>
      </c>
      <c r="Y95" t="str">
        <f>_xlfn.XLOOKUP(TRIM(B95), [4]STR!$2:$2,[4]STR!$44:$44, "")</f>
        <v/>
      </c>
    </row>
    <row r="96" spans="1:25">
      <c r="A96" s="9">
        <v>46265</v>
      </c>
      <c r="B96" s="9" t="str">
        <v xml:space="preserve">CV KENCANA AGUNG SALATIGA               </v>
      </c>
      <c r="C96" s="9" t="str">
        <v>CX03773</v>
      </c>
      <c r="D96" s="9">
        <v>8101010117566</v>
      </c>
      <c r="E96" s="9">
        <v>0</v>
      </c>
      <c r="F96" s="9" t="str">
        <v>Tidak</v>
      </c>
      <c r="G96" s="9" t="str">
        <v>Tidak</v>
      </c>
      <c r="H96" s="9" t="str">
        <v>Tidak</v>
      </c>
      <c r="I96" s="9" t="str">
        <v>Perpajakan</v>
      </c>
      <c r="J96" s="9">
        <v>33</v>
      </c>
      <c r="K96" s="9">
        <v>41</v>
      </c>
      <c r="L96" s="9" t="str">
        <v>Perpajakan</v>
      </c>
      <c r="M96" s="9" t="str">
        <v xml:space="preserve">KC Salatiga                             </v>
      </c>
      <c r="N96" s="9" t="str">
        <v xml:space="preserve">KC Salatiga                             </v>
      </c>
      <c r="O96" s="9" t="str">
        <v xml:space="preserve">Semarang                                </v>
      </c>
      <c r="P96" s="9" t="str">
        <v>Tidak</v>
      </c>
      <c r="Q96" s="9" t="str">
        <v>Tidak</v>
      </c>
      <c r="R96" s="9" t="str">
        <v>Done</v>
      </c>
      <c r="S96" s="9" t="str">
        <v>Pending Checker</v>
      </c>
      <c r="T96" s="9" t="str">
        <v>00394521 - Muhammad Hibbanduta</v>
      </c>
      <c r="U96" s="9" t="str">
        <v>"-"</v>
      </c>
      <c r="V96" s="10" t="str">
        <f>IF([1]STR!$V96 = "", "", [1]STR!$V96)</f>
        <v>Syamsul Arifianto</v>
      </c>
      <c r="W96" s="11">
        <v>46273</v>
      </c>
      <c r="X96" s="12" t="b">
        <f>[1]STR!$X96</f>
        <v>1</v>
      </c>
      <c r="Y96" t="str">
        <f>_xlfn.XLOOKUP(TRIM(B96), [4]STR!$2:$2,[4]STR!$44:$44, "")</f>
        <v/>
      </c>
    </row>
    <row r="97" spans="1:25">
      <c r="A97" s="9">
        <v>46265</v>
      </c>
      <c r="B97" s="9" t="str">
        <v xml:space="preserve">CV ANGKASA PRATAMA TEGAL                </v>
      </c>
      <c r="C97" s="9" t="str">
        <v>CX03779</v>
      </c>
      <c r="D97" s="9">
        <v>8101011610567</v>
      </c>
      <c r="E97" s="9">
        <v>0</v>
      </c>
      <c r="F97" s="9" t="str">
        <v>Tidak</v>
      </c>
      <c r="G97" s="9" t="str">
        <v>Tidak</v>
      </c>
      <c r="H97" s="9" t="str">
        <v>Tidak</v>
      </c>
      <c r="I97" s="9" t="str">
        <v>Perpajakan</v>
      </c>
      <c r="J97" s="9">
        <v>33</v>
      </c>
      <c r="K97" s="9">
        <v>41</v>
      </c>
      <c r="L97" s="9" t="str">
        <v>Perpajakan</v>
      </c>
      <c r="M97" s="9" t="str">
        <v xml:space="preserve">KC Salatiga                             </v>
      </c>
      <c r="N97" s="9" t="str">
        <v xml:space="preserve">KC Salatiga                             </v>
      </c>
      <c r="O97" s="9" t="str">
        <v xml:space="preserve">Semarang                                </v>
      </c>
      <c r="P97" s="9" t="str">
        <v>Tidak</v>
      </c>
      <c r="Q97" s="9" t="str">
        <v>Tidak</v>
      </c>
      <c r="R97" s="9" t="str">
        <v>Done</v>
      </c>
      <c r="S97" s="9" t="str">
        <v>Pending Checker</v>
      </c>
      <c r="T97" s="9" t="str">
        <v>00394521 - Muhammad Hibbanduta</v>
      </c>
      <c r="U97" s="9" t="str">
        <v>"-"</v>
      </c>
      <c r="V97" s="10" t="str">
        <f>IF([1]STR!$V97 = "", "", [1]STR!$V97)</f>
        <v>Syamsul Arifianto</v>
      </c>
      <c r="W97" s="11">
        <v>46272</v>
      </c>
      <c r="X97" s="12" t="b">
        <f>[1]STR!$X97</f>
        <v>1</v>
      </c>
      <c r="Y97" t="str">
        <f>_xlfn.XLOOKUP(TRIM(B97), [4]STR!$2:$2,[4]STR!$44:$44, "")</f>
        <v/>
      </c>
    </row>
    <row r="98" spans="1:25">
      <c r="A98" s="9">
        <v>46265</v>
      </c>
      <c r="B98" s="9" t="str">
        <v xml:space="preserve">CV AGUNG SINERGI TEGAL                  </v>
      </c>
      <c r="C98" s="9" t="str">
        <v>CX03787</v>
      </c>
      <c r="D98" s="9">
        <v>8101011609566</v>
      </c>
      <c r="E98" s="9">
        <v>0</v>
      </c>
      <c r="F98" s="9" t="str">
        <v>Tidak</v>
      </c>
      <c r="G98" s="9" t="str">
        <v>Tidak</v>
      </c>
      <c r="H98" s="9" t="str">
        <v>Tidak</v>
      </c>
      <c r="I98" s="9" t="str">
        <v>Perpajakan</v>
      </c>
      <c r="J98" s="9">
        <v>33</v>
      </c>
      <c r="K98" s="9">
        <v>41</v>
      </c>
      <c r="L98" s="9" t="str">
        <v>Perpajakan</v>
      </c>
      <c r="M98" s="9" t="str">
        <v xml:space="preserve">KC Salatiga                             </v>
      </c>
      <c r="N98" s="9" t="str">
        <v xml:space="preserve">KC Salatiga                             </v>
      </c>
      <c r="O98" s="9" t="str">
        <v xml:space="preserve">Semarang                                </v>
      </c>
      <c r="P98" s="9" t="str">
        <v>Tidak</v>
      </c>
      <c r="Q98" s="9" t="str">
        <v>Tidak</v>
      </c>
      <c r="R98" s="9" t="str">
        <v>Done</v>
      </c>
      <c r="S98" s="9" t="str">
        <v>Pending Checker</v>
      </c>
      <c r="T98" s="9" t="str">
        <v>90150130 - Intan Aida Pratiwi</v>
      </c>
      <c r="U98" s="9" t="str">
        <v>"-"</v>
      </c>
      <c r="V98" s="10" t="str">
        <f>IF([1]STR!$V98 = "", "", [1]STR!$V98)</f>
        <v>Syamsul Arifianto</v>
      </c>
      <c r="W98" s="11">
        <v>46272</v>
      </c>
      <c r="X98" s="12" t="b">
        <f>[1]STR!$X98</f>
        <v>1</v>
      </c>
      <c r="Y98" t="str">
        <f>_xlfn.XLOOKUP(TRIM(B98), [4]STR!$2:$2,[4]STR!$44:$44, "")</f>
        <v/>
      </c>
    </row>
    <row r="99" spans="1:25">
      <c r="A99" s="9">
        <v>46265</v>
      </c>
      <c r="B99" s="9" t="str">
        <v xml:space="preserve">CV BINA OPTIMAL NUSANTARA               </v>
      </c>
      <c r="C99" s="9" t="str">
        <v>CX03795</v>
      </c>
      <c r="D99" s="9">
        <v>8101030005561</v>
      </c>
      <c r="E99" s="9">
        <v>0</v>
      </c>
      <c r="F99" s="9" t="str">
        <v>Tidak</v>
      </c>
      <c r="G99" s="9" t="str">
        <v>Tidak</v>
      </c>
      <c r="H99" s="9" t="str">
        <v>Tidak</v>
      </c>
      <c r="I99" s="9" t="str">
        <v>Perpajakan</v>
      </c>
      <c r="J99" s="9">
        <v>35</v>
      </c>
      <c r="K99" s="9">
        <v>41</v>
      </c>
      <c r="L99" s="9" t="str">
        <v>Perpajakan</v>
      </c>
      <c r="M99" s="9" t="str">
        <v xml:space="preserve">KC Salatiga                             </v>
      </c>
      <c r="N99" s="9" t="str">
        <v xml:space="preserve">KC Salatiga                             </v>
      </c>
      <c r="O99" s="9" t="str">
        <v xml:space="preserve">Semarang                                </v>
      </c>
      <c r="P99" s="9" t="str">
        <v>Tidak</v>
      </c>
      <c r="Q99" s="9" t="str">
        <v>Tidak</v>
      </c>
      <c r="R99" s="9" t="str">
        <v>Done</v>
      </c>
      <c r="S99" s="9" t="str">
        <v>Pending Checker</v>
      </c>
      <c r="T99" s="9" t="str">
        <v>00394520 - Frida Akbar Rani</v>
      </c>
      <c r="U99" s="9" t="str">
        <v>"-"</v>
      </c>
      <c r="V99" s="10" t="str">
        <f>IF([1]STR!$V99 = "", "", [1]STR!$V99)</f>
        <v>Syamsul Arifianto</v>
      </c>
      <c r="W99" s="11">
        <v>46273</v>
      </c>
      <c r="X99" s="12" t="b">
        <f>[1]STR!$X99</f>
        <v>1</v>
      </c>
      <c r="Y99" t="str">
        <f>_xlfn.XLOOKUP(TRIM(B99), [4]STR!$2:$2,[4]STR!$44:$44, "")</f>
        <v/>
      </c>
    </row>
    <row r="100" spans="1:25">
      <c r="A100" s="9">
        <v>46265</v>
      </c>
      <c r="B100" s="9" t="str">
        <v xml:space="preserve">CV MULTI PUSAKA TEGAL                   </v>
      </c>
      <c r="C100" s="9" t="str">
        <v>CX03810</v>
      </c>
      <c r="D100" s="9">
        <v>8101011608560</v>
      </c>
      <c r="E100" s="9">
        <v>0</v>
      </c>
      <c r="F100" s="9" t="str">
        <v>Tidak</v>
      </c>
      <c r="G100" s="9" t="str">
        <v>Tidak</v>
      </c>
      <c r="H100" s="9" t="str">
        <v>Tidak</v>
      </c>
      <c r="I100" s="9" t="str">
        <v>Perpajakan</v>
      </c>
      <c r="J100" s="9">
        <v>33</v>
      </c>
      <c r="K100" s="9">
        <v>41</v>
      </c>
      <c r="L100" s="9" t="str">
        <v>Perpajakan</v>
      </c>
      <c r="M100" s="9" t="str">
        <v xml:space="preserve">KC Salatiga                             </v>
      </c>
      <c r="N100" s="9" t="str">
        <v xml:space="preserve">KC Salatiga                             </v>
      </c>
      <c r="O100" s="9" t="str">
        <v xml:space="preserve">Semarang                                </v>
      </c>
      <c r="P100" s="9" t="str">
        <v>Tidak</v>
      </c>
      <c r="Q100" s="9" t="str">
        <v>Tidak</v>
      </c>
      <c r="R100" s="9" t="str">
        <v>Done</v>
      </c>
      <c r="S100" s="9" t="str">
        <v>Pending Checker</v>
      </c>
      <c r="T100" s="9" t="str">
        <v>90170665 - Mutiara Ayuningtyas</v>
      </c>
      <c r="U100" s="9" t="str">
        <v>"-"</v>
      </c>
      <c r="V100" s="10" t="str">
        <f>IF([1]STR!$V100 = "", "", [1]STR!$V100)</f>
        <v>Veronica Dwi Kurniasih</v>
      </c>
      <c r="W100" s="11">
        <v>46273</v>
      </c>
      <c r="X100" s="12" t="b">
        <f>[1]STR!$X100</f>
        <v>1</v>
      </c>
      <c r="Y100" t="str">
        <f>_xlfn.XLOOKUP(TRIM(B100), [4]STR!$2:$2,[4]STR!$44:$44, "")</f>
        <v/>
      </c>
    </row>
    <row r="101" spans="1:25">
      <c r="A101" s="9">
        <v>46265</v>
      </c>
      <c r="B101" s="9" t="str">
        <v xml:space="preserve">CV JELITA ELANG TEGAL                   </v>
      </c>
      <c r="C101" s="9" t="str">
        <v>CX03811</v>
      </c>
      <c r="D101" s="9">
        <v>8101011607564</v>
      </c>
      <c r="E101" s="9">
        <v>0</v>
      </c>
      <c r="F101" s="9" t="str">
        <v>Tidak</v>
      </c>
      <c r="G101" s="9" t="str">
        <v>Tidak</v>
      </c>
      <c r="H101" s="9" t="str">
        <v>Tidak</v>
      </c>
      <c r="I101" s="9" t="str">
        <v>Perpajakan</v>
      </c>
      <c r="J101" s="9">
        <v>33</v>
      </c>
      <c r="K101" s="9">
        <v>41</v>
      </c>
      <c r="L101" s="9" t="str">
        <v>Perpajakan</v>
      </c>
      <c r="M101" s="9" t="str">
        <v xml:space="preserve">KC Salatiga                             </v>
      </c>
      <c r="N101" s="9" t="str">
        <v xml:space="preserve">KC Salatiga                             </v>
      </c>
      <c r="O101" s="9" t="str">
        <v xml:space="preserve">Semarang                                </v>
      </c>
      <c r="P101" s="9" t="str">
        <v>Tidak</v>
      </c>
      <c r="Q101" s="9" t="str">
        <v>Tidak</v>
      </c>
      <c r="R101" s="9" t="str">
        <v>Done</v>
      </c>
      <c r="S101" s="9" t="str">
        <v>Pending Checker</v>
      </c>
      <c r="T101" s="9" t="str">
        <v>90171841 - Rifqi Aziz</v>
      </c>
      <c r="U101" s="9" t="str">
        <v>"-"</v>
      </c>
      <c r="V101" s="10" t="str">
        <f>IF([1]STR!$V101 = "", "", [1]STR!$V101)</f>
        <v>Syamsul Arifianto</v>
      </c>
      <c r="W101" s="11">
        <v>46273</v>
      </c>
      <c r="X101" s="12" t="b">
        <f>[1]STR!$X101</f>
        <v>1</v>
      </c>
      <c r="Y101" t="str">
        <f>_xlfn.XLOOKUP(TRIM(B101), [4]STR!$2:$2,[4]STR!$44:$44, "")</f>
        <v/>
      </c>
    </row>
    <row r="102" spans="1:25">
      <c r="A102" s="9">
        <v>46265</v>
      </c>
      <c r="B102" s="9" t="str">
        <v xml:space="preserve">CV WARISAN GEMILANG TEGAL               </v>
      </c>
      <c r="C102" s="9" t="str">
        <v>CX03812</v>
      </c>
      <c r="D102" s="9">
        <v>8101011606568</v>
      </c>
      <c r="E102" s="9">
        <v>0</v>
      </c>
      <c r="F102" s="9" t="str">
        <v>Tidak</v>
      </c>
      <c r="G102" s="9" t="str">
        <v>Tidak</v>
      </c>
      <c r="H102" s="9" t="str">
        <v>Tidak</v>
      </c>
      <c r="I102" s="9" t="str">
        <v>Perpajakan</v>
      </c>
      <c r="J102" s="9">
        <v>35</v>
      </c>
      <c r="K102" s="9">
        <v>41</v>
      </c>
      <c r="L102" s="9" t="str">
        <v>Perpajakan</v>
      </c>
      <c r="M102" s="9" t="str">
        <v xml:space="preserve">KC Salatiga                             </v>
      </c>
      <c r="N102" s="9" t="str">
        <v xml:space="preserve">KC Salatiga                             </v>
      </c>
      <c r="O102" s="9" t="str">
        <v xml:space="preserve">Semarang                                </v>
      </c>
      <c r="P102" s="9" t="str">
        <v>Tidak</v>
      </c>
      <c r="Q102" s="9" t="str">
        <v>Tidak</v>
      </c>
      <c r="R102" s="9" t="str">
        <v>Done</v>
      </c>
      <c r="S102" s="9" t="str">
        <v>Pending Checker</v>
      </c>
      <c r="T102" s="9" t="str">
        <v>90185537 - Moh.Khoerul Fajar Ar</v>
      </c>
      <c r="U102" s="9" t="str">
        <v>"-"</v>
      </c>
      <c r="V102" s="10" t="str">
        <f>IF([1]STR!$V102 = "", "", [1]STR!$V102)</f>
        <v>Veronica Dwi Kurniasih</v>
      </c>
      <c r="W102" s="11">
        <v>46271</v>
      </c>
      <c r="X102" s="12" t="b">
        <f>[1]STR!$X102</f>
        <v>1</v>
      </c>
      <c r="Y102" t="str">
        <f>_xlfn.XLOOKUP(TRIM(B102), [4]STR!$2:$2,[4]STR!$44:$44, "")</f>
        <v/>
      </c>
    </row>
    <row r="103" spans="1:25">
      <c r="A103" s="9">
        <v>46265</v>
      </c>
      <c r="B103" s="9" t="str">
        <v xml:space="preserve">CV BINA NUSANTARA KARYA                 </v>
      </c>
      <c r="C103" s="9" t="str">
        <v>CX03826</v>
      </c>
      <c r="D103" s="9">
        <v>8101030006567</v>
      </c>
      <c r="E103" s="9">
        <v>0</v>
      </c>
      <c r="F103" s="9" t="str">
        <v>Tidak</v>
      </c>
      <c r="G103" s="9" t="str">
        <v>Tidak</v>
      </c>
      <c r="H103" s="9" t="str">
        <v>Tidak</v>
      </c>
      <c r="I103" s="9" t="str">
        <v>Perpajakan</v>
      </c>
      <c r="J103" s="9">
        <v>33</v>
      </c>
      <c r="K103" s="9">
        <v>41</v>
      </c>
      <c r="L103" s="9" t="str">
        <v>Perpajakan</v>
      </c>
      <c r="M103" s="9" t="str">
        <v xml:space="preserve">KC Salatiga                             </v>
      </c>
      <c r="N103" s="9" t="str">
        <v xml:space="preserve">KC Salatiga                             </v>
      </c>
      <c r="O103" s="9" t="str">
        <v xml:space="preserve">Semarang                                </v>
      </c>
      <c r="P103" s="9" t="str">
        <v>Tidak</v>
      </c>
      <c r="Q103" s="9" t="str">
        <v>Tidak</v>
      </c>
      <c r="R103" s="9" t="str">
        <v>Done</v>
      </c>
      <c r="S103" s="9" t="str">
        <v>Pending Checker</v>
      </c>
      <c r="T103" s="9" t="str">
        <v>90171841 - Rifqi Aziz</v>
      </c>
      <c r="U103" s="9" t="str">
        <v>"-"</v>
      </c>
      <c r="V103" s="10" t="str">
        <f>IF([1]STR!$V103 = "", "", [1]STR!$V103)</f>
        <v>Syamsul Arifianto</v>
      </c>
      <c r="W103" s="11">
        <v>46273</v>
      </c>
      <c r="X103" s="12" t="b">
        <f>[1]STR!$X103</f>
        <v>1</v>
      </c>
      <c r="Y103" t="str">
        <f>_xlfn.XLOOKUP(TRIM(B103), [4]STR!$2:$2,[4]STR!$44:$44, "")</f>
        <v/>
      </c>
    </row>
    <row r="104" spans="1:25">
      <c r="A104" s="9">
        <v>46265</v>
      </c>
      <c r="B104" s="9" t="str">
        <v xml:space="preserve">CV BARA PARIPURNA TEGAL                 </v>
      </c>
      <c r="C104" s="9" t="str">
        <v>CX03834</v>
      </c>
      <c r="D104" s="9">
        <v>8101011605562</v>
      </c>
      <c r="E104" s="9">
        <v>0</v>
      </c>
      <c r="F104" s="9" t="str">
        <v>Tidak</v>
      </c>
      <c r="G104" s="9" t="str">
        <v>Tidak</v>
      </c>
      <c r="H104" s="9" t="str">
        <v>Tidak</v>
      </c>
      <c r="I104" s="9" t="str">
        <v>Perpajakan</v>
      </c>
      <c r="J104" s="9">
        <v>33</v>
      </c>
      <c r="K104" s="9">
        <v>41</v>
      </c>
      <c r="L104" s="9" t="str">
        <v>Perpajakan</v>
      </c>
      <c r="M104" s="9" t="str">
        <v xml:space="preserve">KC Salatiga                             </v>
      </c>
      <c r="N104" s="9" t="str">
        <v xml:space="preserve">KC Salatiga                             </v>
      </c>
      <c r="O104" s="9" t="str">
        <v xml:space="preserve">Semarang                                </v>
      </c>
      <c r="P104" s="9" t="str">
        <v>Tidak</v>
      </c>
      <c r="Q104" s="9" t="str">
        <v>Tidak</v>
      </c>
      <c r="R104" s="9" t="str">
        <v>Done</v>
      </c>
      <c r="S104" s="9" t="str">
        <v>Pending Checker</v>
      </c>
      <c r="T104" s="9" t="str">
        <v>90185538 - Muhammad Fahikal Auz</v>
      </c>
      <c r="U104" s="9" t="str">
        <v>"-"</v>
      </c>
      <c r="V104" s="10" t="str">
        <f>IF([1]STR!$V104 = "", "", [1]STR!$V104)</f>
        <v>Syamsul Arifianto</v>
      </c>
      <c r="W104" s="11">
        <v>46273</v>
      </c>
      <c r="X104" s="12" t="b">
        <f>[1]STR!$X104</f>
        <v>1</v>
      </c>
      <c r="Y104" t="str">
        <f>_xlfn.XLOOKUP(TRIM(B104), [4]STR!$2:$2,[4]STR!$44:$44, "")</f>
        <v/>
      </c>
    </row>
    <row r="105" spans="1:25">
      <c r="A105" s="9">
        <v>46265</v>
      </c>
      <c r="B105" s="9" t="str">
        <v xml:space="preserve">CV BANGUN RUPA TEGAL                    </v>
      </c>
      <c r="C105" s="9" t="str">
        <v>CX04343</v>
      </c>
      <c r="D105" s="9">
        <v>8101011604566</v>
      </c>
      <c r="E105" s="9">
        <v>0</v>
      </c>
      <c r="F105" s="9" t="str">
        <v>Tidak</v>
      </c>
      <c r="G105" s="9" t="str">
        <v>Tidak</v>
      </c>
      <c r="H105" s="9" t="str">
        <v>Tidak</v>
      </c>
      <c r="I105" s="9" t="str">
        <v>Perpajakan</v>
      </c>
      <c r="J105" s="9">
        <v>33</v>
      </c>
      <c r="K105" s="9">
        <v>41</v>
      </c>
      <c r="L105" s="9" t="str">
        <v>Perpajakan</v>
      </c>
      <c r="M105" s="9" t="str">
        <v xml:space="preserve">KC Salatiga                             </v>
      </c>
      <c r="N105" s="9" t="str">
        <v xml:space="preserve">KC Salatiga                             </v>
      </c>
      <c r="O105" s="9" t="str">
        <v xml:space="preserve">Semarang                                </v>
      </c>
      <c r="P105" s="9" t="str">
        <v>Tidak</v>
      </c>
      <c r="Q105" s="9" t="str">
        <v>Tidak</v>
      </c>
      <c r="R105" s="9" t="str">
        <v>Done</v>
      </c>
      <c r="S105" s="9" t="str">
        <v>Pending Checker</v>
      </c>
      <c r="T105" s="9" t="str">
        <v>90186790 - Muhammad Alfin Farha</v>
      </c>
      <c r="U105" s="9" t="str">
        <v>"-"</v>
      </c>
      <c r="V105" s="10" t="str">
        <f>IF([1]STR!$V105 = "", "", [1]STR!$V105)</f>
        <v>Syamsul Arifianto</v>
      </c>
      <c r="W105" s="11">
        <v>46273</v>
      </c>
      <c r="X105" s="12" t="b">
        <f>[1]STR!$X105</f>
        <v>1</v>
      </c>
      <c r="Y105" t="str">
        <f>_xlfn.XLOOKUP(TRIM(B105), [4]STR!$2:$2,[4]STR!$44:$44, "")</f>
        <v/>
      </c>
    </row>
    <row r="106" spans="1:25">
      <c r="A106" s="9">
        <v>46265</v>
      </c>
      <c r="B106" s="9" t="str">
        <v xml:space="preserve">CV KENCANA BHAKTI PEKALONGAN            </v>
      </c>
      <c r="C106" s="9" t="str">
        <v>CX04453</v>
      </c>
      <c r="D106" s="9">
        <v>8101011503566</v>
      </c>
      <c r="E106" s="9">
        <v>0</v>
      </c>
      <c r="F106" s="9" t="str">
        <v>Tidak</v>
      </c>
      <c r="G106" s="9" t="str">
        <v>Tidak</v>
      </c>
      <c r="H106" s="9" t="str">
        <v>Tidak</v>
      </c>
      <c r="I106" s="9" t="str">
        <v>Perpajakan</v>
      </c>
      <c r="J106" s="9">
        <v>33</v>
      </c>
      <c r="K106" s="9">
        <v>41</v>
      </c>
      <c r="L106" s="9" t="str">
        <v>Perpajakan</v>
      </c>
      <c r="M106" s="9" t="str">
        <v xml:space="preserve">KC Salatiga                             </v>
      </c>
      <c r="N106" s="9" t="str">
        <v xml:space="preserve">KC Salatiga                             </v>
      </c>
      <c r="O106" s="9" t="str">
        <v xml:space="preserve">Semarang                                </v>
      </c>
      <c r="P106" s="9" t="str">
        <v>Tidak</v>
      </c>
      <c r="Q106" s="9" t="str">
        <v>Tidak</v>
      </c>
      <c r="R106" s="9" t="str">
        <v>Done</v>
      </c>
      <c r="S106" s="9" t="str">
        <v>Pending Checker</v>
      </c>
      <c r="T106" s="9" t="str">
        <v>00336949 - Mochammad Al Farabi</v>
      </c>
      <c r="U106" s="9" t="str">
        <v>"-"</v>
      </c>
      <c r="V106" s="10" t="str">
        <f>IF([1]STR!$V106 = "", "", [1]STR!$V106)</f>
        <v>Veronica Dwi Kurniasih</v>
      </c>
      <c r="W106" s="11">
        <v>46266</v>
      </c>
      <c r="X106" s="12" t="b">
        <f>[1]STR!$X106</f>
        <v>1</v>
      </c>
      <c r="Y106" t="str">
        <f>_xlfn.XLOOKUP(TRIM(B106), [4]STR!$2:$2,[4]STR!$44:$44, "")</f>
        <v/>
      </c>
    </row>
    <row r="107" spans="1:25">
      <c r="A107" s="9">
        <v>46265</v>
      </c>
      <c r="B107" s="9" t="str">
        <v xml:space="preserve">CV SANTIKA DIVA TEGAL                   </v>
      </c>
      <c r="C107" s="9" t="str">
        <v>CX04613</v>
      </c>
      <c r="D107" s="9">
        <v>8101011603560</v>
      </c>
      <c r="E107" s="9">
        <v>0</v>
      </c>
      <c r="F107" s="9" t="str">
        <v>Tidak</v>
      </c>
      <c r="G107" s="9" t="str">
        <v>Tidak</v>
      </c>
      <c r="H107" s="9" t="str">
        <v>Tidak</v>
      </c>
      <c r="I107" s="9" t="str">
        <v>Perpajakan</v>
      </c>
      <c r="J107" s="9">
        <v>33</v>
      </c>
      <c r="K107" s="9">
        <v>41</v>
      </c>
      <c r="L107" s="9" t="str">
        <v>Perpajakan</v>
      </c>
      <c r="M107" s="9" t="str">
        <v xml:space="preserve">KC Salatiga                             </v>
      </c>
      <c r="N107" s="9" t="str">
        <v xml:space="preserve">KC Salatiga                             </v>
      </c>
      <c r="O107" s="9" t="str">
        <v xml:space="preserve">Semarang                                </v>
      </c>
      <c r="P107" s="9" t="str">
        <v>Tidak</v>
      </c>
      <c r="Q107" s="9" t="str">
        <v>Tidak</v>
      </c>
      <c r="R107" s="9" t="str">
        <v>Done</v>
      </c>
      <c r="S107" s="9" t="str">
        <v>Pending Checker</v>
      </c>
      <c r="T107" s="9" t="str">
        <v>90186796 - Devito Arya Wiradila</v>
      </c>
      <c r="U107" s="9" t="str">
        <v>"-"</v>
      </c>
      <c r="V107" s="10" t="str">
        <f>IF([1]STR!$V107 = "", "", [1]STR!$V107)</f>
        <v>Veronica Dwi Kurniasih</v>
      </c>
      <c r="W107" s="11">
        <v>46273</v>
      </c>
      <c r="X107" s="12" t="b">
        <f>[1]STR!$X107</f>
        <v>1</v>
      </c>
      <c r="Y107" t="str">
        <f>_xlfn.XLOOKUP(TRIM(B107), [4]STR!$2:$2,[4]STR!$44:$44, "")</f>
        <v/>
      </c>
    </row>
    <row r="108" spans="1:25">
      <c r="A108" s="9">
        <v>46265</v>
      </c>
      <c r="B108" s="9" t="str">
        <v xml:space="preserve">CV MULIA ABADI TEGAL                    </v>
      </c>
      <c r="C108" s="9" t="str">
        <v>CX04614</v>
      </c>
      <c r="D108" s="9">
        <v>8101011602564</v>
      </c>
      <c r="E108" s="9">
        <v>0</v>
      </c>
      <c r="F108" s="9" t="str">
        <v>Tidak</v>
      </c>
      <c r="G108" s="9" t="str">
        <v>Tidak</v>
      </c>
      <c r="H108" s="9" t="str">
        <v>Tidak</v>
      </c>
      <c r="I108" s="9" t="str">
        <v>Perpajakan</v>
      </c>
      <c r="J108" s="9">
        <v>33</v>
      </c>
      <c r="K108" s="9">
        <v>41</v>
      </c>
      <c r="L108" s="9" t="str">
        <v>Perpajakan</v>
      </c>
      <c r="M108" s="9" t="str">
        <v xml:space="preserve">KC Salatiga                             </v>
      </c>
      <c r="N108" s="9" t="str">
        <v xml:space="preserve">KC Salatiga                             </v>
      </c>
      <c r="O108" s="9" t="str">
        <v xml:space="preserve">Semarang                                </v>
      </c>
      <c r="P108" s="9" t="str">
        <v>Tidak</v>
      </c>
      <c r="Q108" s="9" t="str">
        <v>Tidak</v>
      </c>
      <c r="R108" s="9" t="str">
        <v>Done</v>
      </c>
      <c r="S108" s="9" t="str">
        <v>Pending Checker</v>
      </c>
      <c r="T108" s="9" t="str">
        <v>00336949 - Mochammad Al Farabi</v>
      </c>
      <c r="U108" s="9" t="str">
        <v>"-"</v>
      </c>
      <c r="V108" s="10" t="str">
        <f>IF([1]STR!$V108 = "", "", [1]STR!$V108)</f>
        <v>Veronica Dwi Kurniasih</v>
      </c>
      <c r="W108" s="11">
        <v>46273</v>
      </c>
      <c r="X108" s="12" t="b">
        <f>[1]STR!$X108</f>
        <v>1</v>
      </c>
      <c r="Y108" t="str">
        <f>_xlfn.XLOOKUP(TRIM(B108), [4]STR!$2:$2,[4]STR!$44:$44, "")</f>
        <v/>
      </c>
    </row>
    <row r="109" spans="1:25">
      <c r="A109" s="9">
        <v>46265</v>
      </c>
      <c r="B109" s="9" t="str">
        <v xml:space="preserve">CV KENCANA AGUNG PEKALONGAN             </v>
      </c>
      <c r="C109" s="9" t="str">
        <v>CX04621</v>
      </c>
      <c r="D109" s="9">
        <v>8101011504562</v>
      </c>
      <c r="E109" s="9">
        <v>0</v>
      </c>
      <c r="F109" s="9" t="str">
        <v>Tidak</v>
      </c>
      <c r="G109" s="9" t="str">
        <v>Tidak</v>
      </c>
      <c r="H109" s="9" t="str">
        <v>Tidak</v>
      </c>
      <c r="I109" s="9" t="str">
        <v>Perpajakan</v>
      </c>
      <c r="J109" s="9">
        <v>33</v>
      </c>
      <c r="K109" s="9">
        <v>41</v>
      </c>
      <c r="L109" s="9" t="str">
        <v>Perpajakan</v>
      </c>
      <c r="M109" s="9" t="str">
        <v xml:space="preserve">KC Salatiga                             </v>
      </c>
      <c r="N109" s="9" t="str">
        <v xml:space="preserve">KC Salatiga                             </v>
      </c>
      <c r="O109" s="9" t="str">
        <v xml:space="preserve">Semarang                                </v>
      </c>
      <c r="P109" s="9" t="str">
        <v>Tidak</v>
      </c>
      <c r="Q109" s="9" t="str">
        <v>Tidak</v>
      </c>
      <c r="R109" s="9" t="str">
        <v>Done</v>
      </c>
      <c r="S109" s="9" t="str">
        <v>Pending Checker</v>
      </c>
      <c r="T109" s="9" t="str">
        <v>90186796 - Devito Arya Wiradila</v>
      </c>
      <c r="U109" s="9" t="str">
        <v>"-"</v>
      </c>
      <c r="V109" s="10" t="str">
        <f>IF([1]STR!$V109 = "", "", [1]STR!$V109)</f>
        <v>Syamsul Arifianto</v>
      </c>
      <c r="W109" s="11">
        <v>46273</v>
      </c>
      <c r="X109" s="12" t="b">
        <f>[1]STR!$X109</f>
        <v>1</v>
      </c>
      <c r="Y109" t="str">
        <f>_xlfn.XLOOKUP(TRIM(B109), [4]STR!$2:$2,[4]STR!$44:$44, "")</f>
        <v/>
      </c>
    </row>
    <row r="110" spans="1:25">
      <c r="A110" s="9">
        <v>46265</v>
      </c>
      <c r="B110" s="9" t="str">
        <v xml:space="preserve">CV MUARA TRADISI TEGAL                  </v>
      </c>
      <c r="C110" s="9" t="str">
        <v>CX04629</v>
      </c>
      <c r="D110" s="9">
        <v>8101011601568</v>
      </c>
      <c r="E110" s="9">
        <v>0</v>
      </c>
      <c r="F110" s="9" t="str">
        <v>Tidak</v>
      </c>
      <c r="G110" s="9" t="str">
        <v>Tidak</v>
      </c>
      <c r="H110" s="9" t="str">
        <v>Tidak</v>
      </c>
      <c r="I110" s="9" t="str">
        <v>Perpajakan</v>
      </c>
      <c r="J110" s="9">
        <v>33</v>
      </c>
      <c r="K110" s="9">
        <v>41</v>
      </c>
      <c r="L110" s="9" t="str">
        <v>Perpajakan</v>
      </c>
      <c r="M110" s="9" t="str">
        <v xml:space="preserve">KC Salatiga                             </v>
      </c>
      <c r="N110" s="9" t="str">
        <v xml:space="preserve">KC Salatiga                             </v>
      </c>
      <c r="O110" s="9" t="str">
        <v xml:space="preserve">Semarang                                </v>
      </c>
      <c r="P110" s="9" t="str">
        <v>Tidak</v>
      </c>
      <c r="Q110" s="9" t="str">
        <v>Tidak</v>
      </c>
      <c r="R110" s="9" t="str">
        <v>Done</v>
      </c>
      <c r="S110" s="9" t="str">
        <v>Pending Checker</v>
      </c>
      <c r="T110" s="9" t="str">
        <v>00394520 - Frida Akbar Rani</v>
      </c>
      <c r="U110" s="9" t="str">
        <v>"-"</v>
      </c>
      <c r="V110" s="10" t="str">
        <f>IF([1]STR!$V110 = "", "", [1]STR!$V110)</f>
        <v>Veronica Dwi Kurniasih</v>
      </c>
      <c r="W110" s="11">
        <v>46273</v>
      </c>
      <c r="X110" s="12" t="b">
        <f>[1]STR!$X110</f>
        <v>1</v>
      </c>
      <c r="Y110" t="str">
        <f>_xlfn.XLOOKUP(TRIM(B110), [4]STR!$2:$2,[4]STR!$44:$44, "")</f>
        <v/>
      </c>
    </row>
    <row r="111" spans="1:25">
      <c r="A111" s="9">
        <v>46265</v>
      </c>
      <c r="B111" s="9" t="str">
        <v xml:space="preserve">CV BENUA PELITA MALANG                  </v>
      </c>
      <c r="C111" s="9" t="str">
        <v>CS90358</v>
      </c>
      <c r="D111" s="9">
        <v>8101010805567</v>
      </c>
      <c r="E111" s="9" t="str">
        <v>SEDANG</v>
      </c>
      <c r="F111" s="9" t="str">
        <v>Tidak</v>
      </c>
      <c r="G111" s="9" t="str">
        <v>Tidak</v>
      </c>
      <c r="H111" s="9" t="str">
        <v>Tidak</v>
      </c>
      <c r="I111" s="9" t="str">
        <v>Perpajakan</v>
      </c>
      <c r="J111" s="9">
        <v>53</v>
      </c>
      <c r="K111" s="9">
        <v>41</v>
      </c>
      <c r="L111" s="9" t="str">
        <v>Perpajakan</v>
      </c>
      <c r="M111" s="9" t="str">
        <v xml:space="preserve">KC Salatiga                             </v>
      </c>
      <c r="N111" s="9" t="str">
        <v xml:space="preserve">KC Salatiga                             </v>
      </c>
      <c r="O111" s="9" t="str">
        <v xml:space="preserve">Semarang                                </v>
      </c>
      <c r="P111" s="9" t="str">
        <v>Tidak</v>
      </c>
      <c r="Q111" s="9" t="str">
        <v>Tidak</v>
      </c>
      <c r="R111" s="9" t="str">
        <v>Done</v>
      </c>
      <c r="S111" s="9" t="str">
        <v>Pending Checker</v>
      </c>
      <c r="T111" s="9" t="str">
        <v>90150130 - Intan Aida Pratiwi</v>
      </c>
      <c r="U111" s="9" t="str">
        <v>"-"</v>
      </c>
      <c r="V111" s="10" t="str">
        <f>IF([1]STR!$V111 = "", "", [1]STR!$V111)</f>
        <v>Syamsul Arifianto</v>
      </c>
      <c r="W111" s="11">
        <v>46273</v>
      </c>
      <c r="X111" s="12" t="b">
        <f>[1]STR!$X111</f>
        <v>1</v>
      </c>
      <c r="Y111" t="str">
        <f>_xlfn.XLOOKUP(TRIM(B111), [4]STR!$2:$2,[4]STR!$44:$44, "")</f>
        <v/>
      </c>
    </row>
    <row r="112" spans="1:25">
      <c r="A112" s="9">
        <v>46265</v>
      </c>
      <c r="B112" s="9" t="str">
        <v xml:space="preserve">CV ANDALAN SARANA MALANG                </v>
      </c>
      <c r="C112" s="9" t="str">
        <v>CS90359</v>
      </c>
      <c r="D112" s="9">
        <v>8101010804561</v>
      </c>
      <c r="E112" s="9" t="str">
        <v>SEDANG</v>
      </c>
      <c r="F112" s="9" t="str">
        <v>Tidak</v>
      </c>
      <c r="G112" s="9" t="str">
        <v>Tidak</v>
      </c>
      <c r="H112" s="9" t="str">
        <v>Tidak</v>
      </c>
      <c r="I112" s="9" t="str">
        <v>Perpajakan</v>
      </c>
      <c r="J112" s="9">
        <v>48</v>
      </c>
      <c r="K112" s="9">
        <v>41</v>
      </c>
      <c r="L112" s="9" t="str">
        <v>Perpajakan</v>
      </c>
      <c r="M112" s="9" t="str">
        <v xml:space="preserve">KC Salatiga                             </v>
      </c>
      <c r="N112" s="9" t="str">
        <v xml:space="preserve">KC Salatiga                             </v>
      </c>
      <c r="O112" s="9" t="str">
        <v xml:space="preserve">Semarang                                </v>
      </c>
      <c r="P112" s="9" t="str">
        <v>Tidak</v>
      </c>
      <c r="Q112" s="9" t="str">
        <v>Tidak</v>
      </c>
      <c r="R112" s="9" t="str">
        <v>Done</v>
      </c>
      <c r="S112" s="9" t="str">
        <v>Pending Checker</v>
      </c>
      <c r="T112" s="9" t="str">
        <v>90170665 - Mutiara Ayuningtyas</v>
      </c>
      <c r="U112" s="9" t="str">
        <v>"-"</v>
      </c>
      <c r="V112" s="10" t="str">
        <f>IF([1]STR!$V112 = "", "", [1]STR!$V112)</f>
        <v>Syamsul Arifianto</v>
      </c>
      <c r="W112" s="11">
        <v>46272</v>
      </c>
      <c r="X112" s="12" t="b">
        <f>[1]STR!$X112</f>
        <v>1</v>
      </c>
      <c r="Y112" t="str">
        <f>_xlfn.XLOOKUP(TRIM(B112), [4]STR!$2:$2,[4]STR!$44:$44, "")</f>
        <v/>
      </c>
    </row>
    <row r="113" spans="1:25">
      <c r="A113" s="9">
        <v>46265</v>
      </c>
      <c r="B113" s="9" t="str">
        <v xml:space="preserve">CV MAHKOTA TELAGA MALANG                </v>
      </c>
      <c r="C113" s="9" t="str">
        <v>CS90360</v>
      </c>
      <c r="D113" s="9">
        <v>8101010803565</v>
      </c>
      <c r="E113" s="9" t="str">
        <v>SEDANG</v>
      </c>
      <c r="F113" s="9" t="str">
        <v>Tidak</v>
      </c>
      <c r="G113" s="9" t="str">
        <v>Tidak</v>
      </c>
      <c r="H113" s="9" t="str">
        <v>Tidak</v>
      </c>
      <c r="I113" s="9" t="str">
        <v>Perpajakan</v>
      </c>
      <c r="J113" s="9">
        <v>48</v>
      </c>
      <c r="K113" s="9">
        <v>41</v>
      </c>
      <c r="L113" s="9" t="str">
        <v>Perpajakan</v>
      </c>
      <c r="M113" s="9" t="str">
        <v xml:space="preserve">KC Salatiga                             </v>
      </c>
      <c r="N113" s="9" t="str">
        <v xml:space="preserve">KC Salatiga                             </v>
      </c>
      <c r="O113" s="9" t="str">
        <v xml:space="preserve">Semarang                                </v>
      </c>
      <c r="P113" s="9" t="str">
        <v>Tidak</v>
      </c>
      <c r="Q113" s="9" t="str">
        <v>Tidak</v>
      </c>
      <c r="R113" s="9" t="str">
        <v>Done</v>
      </c>
      <c r="S113" s="9" t="str">
        <v>Pending Checker</v>
      </c>
      <c r="T113" s="9" t="str">
        <v>90171841 - Rifqi Aziz</v>
      </c>
      <c r="U113" s="9" t="str">
        <v>"-"</v>
      </c>
      <c r="V113" s="10" t="str">
        <f>IF([1]STR!$V113 = "", "", [1]STR!$V113)</f>
        <v>Veronica Dwi Kurniasih</v>
      </c>
      <c r="W113" s="11">
        <v>46273</v>
      </c>
      <c r="X113" s="12" t="b">
        <f>[1]STR!$X113</f>
        <v>1</v>
      </c>
      <c r="Y113" t="str">
        <f>_xlfn.XLOOKUP(TRIM(B113), [4]STR!$2:$2,[4]STR!$44:$44, "")</f>
        <v/>
      </c>
    </row>
    <row r="114" spans="1:25">
      <c r="A114" s="9">
        <v>46265</v>
      </c>
      <c r="B114" s="9" t="str">
        <v xml:space="preserve">CV WIDYA GUNAJAYA MALANG                </v>
      </c>
      <c r="C114" s="9" t="str">
        <v>CS90362</v>
      </c>
      <c r="D114" s="9">
        <v>8101010801563</v>
      </c>
      <c r="E114" s="9" t="str">
        <v>SEDANG</v>
      </c>
      <c r="F114" s="9" t="str">
        <v>Tidak</v>
      </c>
      <c r="G114" s="9" t="str">
        <v>Tidak</v>
      </c>
      <c r="H114" s="9" t="str">
        <v>Tidak</v>
      </c>
      <c r="I114" s="9" t="str">
        <v>Perpajakan</v>
      </c>
      <c r="J114" s="9">
        <v>48</v>
      </c>
      <c r="K114" s="9">
        <v>41</v>
      </c>
      <c r="L114" s="9" t="str">
        <v>Perpajakan</v>
      </c>
      <c r="M114" s="9" t="str">
        <v xml:space="preserve">KC Salatiga                             </v>
      </c>
      <c r="N114" s="9" t="str">
        <v xml:space="preserve">KC Salatiga                             </v>
      </c>
      <c r="O114" s="9" t="str">
        <v xml:space="preserve">Semarang                                </v>
      </c>
      <c r="P114" s="9" t="str">
        <v>Tidak</v>
      </c>
      <c r="Q114" s="9" t="str">
        <v>Tidak</v>
      </c>
      <c r="R114" s="9" t="str">
        <v>Done</v>
      </c>
      <c r="S114" s="9" t="str">
        <v>Pending Checker</v>
      </c>
      <c r="T114" s="9" t="str">
        <v>90185537 - Moh.Khoerul Fajar Ar</v>
      </c>
      <c r="U114" s="9" t="str">
        <v>"-"</v>
      </c>
      <c r="V114" s="10" t="str">
        <f>IF([1]STR!$V114 = "", "", [1]STR!$V114)</f>
        <v>Veronica Dwi Kurniasih</v>
      </c>
      <c r="W114" s="11">
        <v>46271</v>
      </c>
      <c r="X114" s="12" t="b">
        <f>[1]STR!$X114</f>
        <v>1</v>
      </c>
      <c r="Y114" t="str">
        <f>_xlfn.XLOOKUP(TRIM(B114), [4]STR!$2:$2,[4]STR!$44:$44, "")</f>
        <v/>
      </c>
    </row>
    <row r="115" spans="1:25">
      <c r="A115" s="9">
        <v>46265</v>
      </c>
      <c r="B115" s="9" t="str">
        <v xml:space="preserve">CV MULIA TIRTA MADIUN                   </v>
      </c>
      <c r="C115" s="9" t="str">
        <v>CS90364</v>
      </c>
      <c r="D115" s="9">
        <v>8101011003566</v>
      </c>
      <c r="E115" s="9" t="str">
        <v>SEDANG</v>
      </c>
      <c r="F115" s="9" t="str">
        <v>Tidak</v>
      </c>
      <c r="G115" s="9" t="str">
        <v>Tidak</v>
      </c>
      <c r="H115" s="9" t="str">
        <v>Tidak</v>
      </c>
      <c r="I115" s="9" t="str">
        <v>Perpajakan</v>
      </c>
      <c r="J115" s="9">
        <v>48</v>
      </c>
      <c r="K115" s="9">
        <v>41</v>
      </c>
      <c r="L115" s="9" t="str">
        <v>Perpajakan</v>
      </c>
      <c r="M115" s="9" t="str">
        <v xml:space="preserve">KC Salatiga                             </v>
      </c>
      <c r="N115" s="9" t="str">
        <v xml:space="preserve">KC Salatiga                             </v>
      </c>
      <c r="O115" s="9" t="str">
        <v xml:space="preserve">Semarang                                </v>
      </c>
      <c r="P115" s="9" t="str">
        <v>Tidak</v>
      </c>
      <c r="Q115" s="9" t="str">
        <v>Tidak</v>
      </c>
      <c r="R115" s="9" t="str">
        <v>Done</v>
      </c>
      <c r="S115" s="9" t="str">
        <v>Pending Checker</v>
      </c>
      <c r="T115" s="9" t="str">
        <v>90185538 - Muhammad Fahikal Auz</v>
      </c>
      <c r="U115" s="9" t="str">
        <v>"-"</v>
      </c>
      <c r="V115" s="10" t="str">
        <f>IF([1]STR!$V115 = "", "", [1]STR!$V115)</f>
        <v>Veronica Dwi Kurniasih</v>
      </c>
      <c r="W115" s="11">
        <v>46273</v>
      </c>
      <c r="X115" s="12" t="b">
        <f>[1]STR!$X115</f>
        <v>1</v>
      </c>
      <c r="Y115" t="str">
        <f>_xlfn.XLOOKUP(TRIM(B115), [4]STR!$2:$2,[4]STR!$44:$44, "")</f>
        <v/>
      </c>
    </row>
    <row r="116" spans="1:25">
      <c r="A116" s="9">
        <v>46265</v>
      </c>
      <c r="B116" s="9" t="str">
        <v xml:space="preserve">CV ABADI SEJAHTERA MADIUN               </v>
      </c>
      <c r="C116" s="9" t="str">
        <v>CS90366</v>
      </c>
      <c r="D116" s="9">
        <v>8101011004562</v>
      </c>
      <c r="E116" s="9" t="str">
        <v>SEDANG</v>
      </c>
      <c r="F116" s="9" t="str">
        <v>Tidak</v>
      </c>
      <c r="G116" s="9" t="str">
        <v>Tidak</v>
      </c>
      <c r="H116" s="9" t="str">
        <v>Tidak</v>
      </c>
      <c r="I116" s="9" t="str">
        <v>Perpajakan</v>
      </c>
      <c r="J116" s="9">
        <v>48</v>
      </c>
      <c r="K116" s="9">
        <v>41</v>
      </c>
      <c r="L116" s="9" t="str">
        <v>Perpajakan</v>
      </c>
      <c r="M116" s="9" t="str">
        <v xml:space="preserve">KC Salatiga                             </v>
      </c>
      <c r="N116" s="9" t="str">
        <v xml:space="preserve">KC Salatiga                             </v>
      </c>
      <c r="O116" s="9" t="str">
        <v xml:space="preserve">Semarang                                </v>
      </c>
      <c r="P116" s="9" t="str">
        <v>Tidak</v>
      </c>
      <c r="Q116" s="9" t="str">
        <v>Tidak</v>
      </c>
      <c r="R116" s="9" t="str">
        <v>Done</v>
      </c>
      <c r="S116" s="9" t="str">
        <v>Pending Checker</v>
      </c>
      <c r="T116" s="9" t="str">
        <v>90185537 - Moh.Khoerul Fajar Ar</v>
      </c>
      <c r="U116" s="9" t="str">
        <v>"-"</v>
      </c>
      <c r="V116" s="10" t="str">
        <f>IF([1]STR!$V116 = "", "", [1]STR!$V116)</f>
        <v>Syamsul Arifianto</v>
      </c>
      <c r="W116" s="11">
        <v>46272</v>
      </c>
      <c r="X116" s="12" t="b">
        <f>[1]STR!$X116</f>
        <v>1</v>
      </c>
      <c r="Y116" t="str">
        <f>_xlfn.XLOOKUP(TRIM(B116), [4]STR!$2:$2,[4]STR!$44:$44, "")</f>
        <v/>
      </c>
    </row>
    <row r="117" spans="1:25">
      <c r="A117" s="9">
        <v>46265</v>
      </c>
      <c r="B117" s="9" t="str">
        <v xml:space="preserve">CV BAKTI RAHARJA MADIUN                 </v>
      </c>
      <c r="C117" s="9" t="str">
        <v>CS90367</v>
      </c>
      <c r="D117" s="9">
        <v>8101011002560</v>
      </c>
      <c r="E117" s="9" t="str">
        <v>SEDANG</v>
      </c>
      <c r="F117" s="9" t="str">
        <v>Tidak</v>
      </c>
      <c r="G117" s="9" t="str">
        <v>Tidak</v>
      </c>
      <c r="H117" s="9" t="str">
        <v>Tidak</v>
      </c>
      <c r="I117" s="9" t="str">
        <v>Perpajakan</v>
      </c>
      <c r="J117" s="9">
        <v>48</v>
      </c>
      <c r="K117" s="9">
        <v>41</v>
      </c>
      <c r="L117" s="9" t="str">
        <v>Perpajakan</v>
      </c>
      <c r="M117" s="9" t="str">
        <v xml:space="preserve">KC Salatiga                             </v>
      </c>
      <c r="N117" s="9" t="str">
        <v xml:space="preserve">KC Salatiga                             </v>
      </c>
      <c r="O117" s="9" t="str">
        <v xml:space="preserve">Semarang                                </v>
      </c>
      <c r="P117" s="9" t="str">
        <v>Tidak</v>
      </c>
      <c r="Q117" s="9" t="str">
        <v>Tidak</v>
      </c>
      <c r="R117" s="9" t="str">
        <v>Done</v>
      </c>
      <c r="S117" s="9" t="str">
        <v>Pending Checker</v>
      </c>
      <c r="T117" s="9" t="str">
        <v>90171841 - Rifqi Aziz</v>
      </c>
      <c r="U117" s="9" t="str">
        <v>"-"</v>
      </c>
      <c r="V117" s="10" t="str">
        <f>IF([1]STR!$V117 = "", "", [1]STR!$V117)</f>
        <v>Syamsul Arifianto</v>
      </c>
      <c r="W117" s="11">
        <v>46273</v>
      </c>
      <c r="X117" s="12" t="b">
        <f>[1]STR!$X117</f>
        <v>1</v>
      </c>
      <c r="Y117" t="str">
        <f>_xlfn.XLOOKUP(TRIM(B117), [4]STR!$2:$2,[4]STR!$44:$44, "")</f>
        <v/>
      </c>
    </row>
    <row r="118" spans="1:25">
      <c r="A118" s="9">
        <v>46265</v>
      </c>
      <c r="B118" s="9" t="str">
        <v xml:space="preserve">CV WIBAWA GANDA MADIUN                  </v>
      </c>
      <c r="C118" s="9" t="str">
        <v>CS90368</v>
      </c>
      <c r="D118" s="9">
        <v>8101011001564</v>
      </c>
      <c r="E118" s="9" t="str">
        <v>SEDANG</v>
      </c>
      <c r="F118" s="9" t="str">
        <v>Tidak</v>
      </c>
      <c r="G118" s="9" t="str">
        <v>Tidak</v>
      </c>
      <c r="H118" s="9" t="str">
        <v>Tidak</v>
      </c>
      <c r="I118" s="9" t="str">
        <v>Perpajakan</v>
      </c>
      <c r="J118" s="9">
        <v>48</v>
      </c>
      <c r="K118" s="9">
        <v>41</v>
      </c>
      <c r="L118" s="9" t="str">
        <v>Perpajakan</v>
      </c>
      <c r="M118" s="9" t="str">
        <v xml:space="preserve">KC Salatiga                             </v>
      </c>
      <c r="N118" s="9" t="str">
        <v xml:space="preserve">KC Salatiga                             </v>
      </c>
      <c r="O118" s="9" t="str">
        <v xml:space="preserve">Semarang                                </v>
      </c>
      <c r="P118" s="9" t="str">
        <v>Tidak</v>
      </c>
      <c r="Q118" s="9" t="str">
        <v>Tidak</v>
      </c>
      <c r="R118" s="9" t="str">
        <v>Done</v>
      </c>
      <c r="S118" s="9" t="str">
        <v>Pending Checker</v>
      </c>
      <c r="T118" s="9" t="str">
        <v>90170665 - Mutiara Ayuningtyas</v>
      </c>
      <c r="U118" s="9" t="str">
        <v>"-"</v>
      </c>
      <c r="V118" s="10" t="str">
        <f>IF([1]STR!$V118 = "", "", [1]STR!$V118)</f>
        <v>Veronica Dwi Kurniasih</v>
      </c>
      <c r="W118" s="11">
        <v>46272</v>
      </c>
      <c r="X118" s="12" t="b">
        <f>[1]STR!$X118</f>
        <v>1</v>
      </c>
      <c r="Y118" t="str">
        <f>_xlfn.XLOOKUP(TRIM(B118), [4]STR!$2:$2,[4]STR!$44:$44, "")</f>
        <v/>
      </c>
    </row>
    <row r="119" spans="1:25">
      <c r="A119" s="9">
        <v>46265</v>
      </c>
      <c r="B119" s="9" t="str">
        <v xml:space="preserve">CV MUARA TERAMPIL MAGELANG              </v>
      </c>
      <c r="C119" s="9" t="str">
        <v>CS90369</v>
      </c>
      <c r="D119" s="9">
        <v>8101010403569</v>
      </c>
      <c r="E119" s="9" t="str">
        <v>SEDANG</v>
      </c>
      <c r="F119" s="9" t="str">
        <v>Tidak</v>
      </c>
      <c r="G119" s="9" t="str">
        <v>Tidak</v>
      </c>
      <c r="H119" s="9" t="str">
        <v>Tidak</v>
      </c>
      <c r="I119" s="9" t="str">
        <v>Perpajakan</v>
      </c>
      <c r="J119" s="9">
        <v>48</v>
      </c>
      <c r="K119" s="9">
        <v>41</v>
      </c>
      <c r="L119" s="9" t="str">
        <v>Perpajakan</v>
      </c>
      <c r="M119" s="9" t="str">
        <v xml:space="preserve">KC Salatiga                             </v>
      </c>
      <c r="N119" s="9" t="str">
        <v xml:space="preserve">KC Salatiga                             </v>
      </c>
      <c r="O119" s="9" t="str">
        <v xml:space="preserve">Semarang                                </v>
      </c>
      <c r="P119" s="9" t="str">
        <v>Tidak</v>
      </c>
      <c r="Q119" s="9" t="str">
        <v>Tidak</v>
      </c>
      <c r="R119" s="9" t="str">
        <v>Done</v>
      </c>
      <c r="S119" s="9" t="str">
        <v>Pending Checker</v>
      </c>
      <c r="T119" s="9" t="str">
        <v>90150130 - Intan Aida Pratiwi</v>
      </c>
      <c r="U119" s="9" t="str">
        <v>"-"</v>
      </c>
      <c r="V119" s="10" t="str">
        <f>IF([1]STR!$V119 = "", "", [1]STR!$V119)</f>
        <v>Syamsul Arifianto</v>
      </c>
      <c r="W119" s="11">
        <v>46274</v>
      </c>
      <c r="X119" s="12" t="b">
        <f>[1]STR!$X119</f>
        <v>1</v>
      </c>
      <c r="Y119" t="str">
        <f>_xlfn.XLOOKUP(TRIM(B119), [4]STR!$2:$2,[4]STR!$44:$44, "")</f>
        <v/>
      </c>
    </row>
    <row r="120" spans="1:25">
      <c r="A120" s="9">
        <v>46265</v>
      </c>
      <c r="B120" s="9" t="str">
        <v xml:space="preserve">CV WIBAWA GUNA MAGELANG                 </v>
      </c>
      <c r="C120" s="9" t="str">
        <v>CS90371</v>
      </c>
      <c r="D120" s="9">
        <v>8101010401567</v>
      </c>
      <c r="E120" s="9" t="str">
        <v>SEDANG</v>
      </c>
      <c r="F120" s="9" t="str">
        <v>Tidak</v>
      </c>
      <c r="G120" s="9" t="str">
        <v>Tidak</v>
      </c>
      <c r="H120" s="9" t="str">
        <v>Tidak</v>
      </c>
      <c r="I120" s="9" t="str">
        <v>Perpajakan</v>
      </c>
      <c r="J120" s="9">
        <v>48</v>
      </c>
      <c r="K120" s="9">
        <v>41</v>
      </c>
      <c r="L120" s="9" t="str">
        <v>Perpajakan</v>
      </c>
      <c r="M120" s="9" t="str">
        <v xml:space="preserve">KC Salatiga                             </v>
      </c>
      <c r="N120" s="9" t="str">
        <v xml:space="preserve">KC Salatiga                             </v>
      </c>
      <c r="O120" s="9" t="str">
        <v xml:space="preserve">Semarang                                </v>
      </c>
      <c r="P120" s="9" t="str">
        <v>Tidak</v>
      </c>
      <c r="Q120" s="9" t="str">
        <v>Tidak</v>
      </c>
      <c r="R120" s="9" t="str">
        <v>Done</v>
      </c>
      <c r="S120" s="9" t="str">
        <v>Pending Checker</v>
      </c>
      <c r="T120" s="9" t="str">
        <v>00394521 - Muhammad Hibbanduta</v>
      </c>
      <c r="U120" s="9" t="str">
        <v>"-"</v>
      </c>
      <c r="V120" s="10" t="str">
        <f>IF([1]STR!$V120 = "", "", [1]STR!$V120)</f>
        <v>Veronica Dwi Kurniasih</v>
      </c>
      <c r="W120" s="11">
        <v>46271</v>
      </c>
      <c r="X120" s="12" t="b">
        <f>[1]STR!$X120</f>
        <v>1</v>
      </c>
      <c r="Y120" t="str">
        <f>_xlfn.XLOOKUP(TRIM(B120), [4]STR!$2:$2,[4]STR!$44:$44, "")</f>
        <v/>
      </c>
    </row>
    <row r="121" spans="1:25">
      <c r="A121" s="9">
        <v>46265</v>
      </c>
      <c r="B121" s="9" t="str">
        <v xml:space="preserve">CV ARTO SAMUDRA MAGELANG                </v>
      </c>
      <c r="C121" s="9" t="str">
        <v>CS90373</v>
      </c>
      <c r="D121" s="9">
        <v>8101010404565</v>
      </c>
      <c r="E121" s="9" t="str">
        <v>SEDANG</v>
      </c>
      <c r="F121" s="9" t="str">
        <v>Tidak</v>
      </c>
      <c r="G121" s="9" t="str">
        <v>Tidak</v>
      </c>
      <c r="H121" s="9" t="str">
        <v>Tidak</v>
      </c>
      <c r="I121" s="9" t="str">
        <v>Perpajakan</v>
      </c>
      <c r="J121" s="9">
        <v>48</v>
      </c>
      <c r="K121" s="9">
        <v>41</v>
      </c>
      <c r="L121" s="9" t="str">
        <v>Perpajakan</v>
      </c>
      <c r="M121" s="9" t="str">
        <v xml:space="preserve">KC Salatiga                             </v>
      </c>
      <c r="N121" s="9" t="str">
        <v xml:space="preserve">KC Salatiga                             </v>
      </c>
      <c r="O121" s="9" t="str">
        <v xml:space="preserve">Semarang                                </v>
      </c>
      <c r="P121" s="9" t="str">
        <v>Tidak</v>
      </c>
      <c r="Q121" s="9" t="str">
        <v>Tidak</v>
      </c>
      <c r="R121" s="9" t="str">
        <v>Done</v>
      </c>
      <c r="S121" s="9" t="str">
        <v>Pending Checker</v>
      </c>
      <c r="T121" s="9" t="str">
        <v>00394520 - Frida Akbar Rani</v>
      </c>
      <c r="U121" s="9" t="str">
        <v>"-"</v>
      </c>
      <c r="V121" s="10" t="str">
        <f>IF([1]STR!$V121 = "", "", [1]STR!$V121)</f>
        <v>Syamsul Arifianto</v>
      </c>
      <c r="W121" s="11">
        <v>46272</v>
      </c>
      <c r="X121" s="12" t="b">
        <f>[1]STR!$X121</f>
        <v>1</v>
      </c>
      <c r="Y121" t="str">
        <f>_xlfn.XLOOKUP(TRIM(B121), [4]STR!$2:$2,[4]STR!$44:$44, "")</f>
        <v/>
      </c>
    </row>
    <row r="122" spans="1:25">
      <c r="A122" s="9">
        <v>46265</v>
      </c>
      <c r="B122" s="9" t="str">
        <v xml:space="preserve">CV MUARA TALENTA SALATIGA               </v>
      </c>
      <c r="C122" s="9" t="str">
        <v>CS91088</v>
      </c>
      <c r="D122" s="9">
        <v>8101010103567</v>
      </c>
      <c r="E122" s="9" t="str">
        <v>SEDANG</v>
      </c>
      <c r="F122" s="9" t="str">
        <v>Tidak</v>
      </c>
      <c r="G122" s="9" t="str">
        <v>Tidak</v>
      </c>
      <c r="H122" s="9" t="str">
        <v>Tidak</v>
      </c>
      <c r="I122" s="9" t="str">
        <v>Perpajakan</v>
      </c>
      <c r="J122" s="9">
        <v>48</v>
      </c>
      <c r="K122" s="9">
        <v>41</v>
      </c>
      <c r="L122" s="9" t="str">
        <v>Perpajakan</v>
      </c>
      <c r="M122" s="9" t="str">
        <v xml:space="preserve">KC Salatiga                             </v>
      </c>
      <c r="N122" s="9" t="str">
        <v xml:space="preserve">KC Salatiga                             </v>
      </c>
      <c r="O122" s="9" t="str">
        <v xml:space="preserve">Semarang                                </v>
      </c>
      <c r="P122" s="9" t="str">
        <v>Tidak</v>
      </c>
      <c r="Q122" s="9" t="str">
        <v>Tidak</v>
      </c>
      <c r="R122" s="9" t="str">
        <v>Done</v>
      </c>
      <c r="S122" s="9" t="str">
        <v>Pending Checker</v>
      </c>
      <c r="T122" s="9" t="str">
        <v>00336949 - Mochammad Al Farabi</v>
      </c>
      <c r="U122" s="9" t="str">
        <v>"-"</v>
      </c>
      <c r="V122" s="10" t="str">
        <f>IF([1]STR!$V122 = "", "", [1]STR!$V122)</f>
        <v>Syamsul Arifianto</v>
      </c>
      <c r="W122" s="11">
        <v>46273</v>
      </c>
      <c r="X122" s="12" t="b">
        <f>[1]STR!$X122</f>
        <v>1</v>
      </c>
      <c r="Y122" t="str">
        <f>_xlfn.XLOOKUP(TRIM(B122), [4]STR!$2:$2,[4]STR!$44:$44, "")</f>
        <v/>
      </c>
    </row>
    <row r="123" spans="1:25">
      <c r="A123" s="9">
        <v>46265</v>
      </c>
      <c r="B123" s="9" t="str">
        <v xml:space="preserve">CV WARISAN GAYA SALATIGA                </v>
      </c>
      <c r="C123" s="9" t="str">
        <v>CS91092</v>
      </c>
      <c r="D123" s="9">
        <v>8101010101565</v>
      </c>
      <c r="E123" s="9" t="str">
        <v>SEDANG</v>
      </c>
      <c r="F123" s="9" t="str">
        <v>Tidak</v>
      </c>
      <c r="G123" s="9" t="str">
        <v>Tidak</v>
      </c>
      <c r="H123" s="9" t="str">
        <v>Tidak</v>
      </c>
      <c r="I123" s="9" t="str">
        <v>Perpajakan</v>
      </c>
      <c r="J123" s="9">
        <v>48</v>
      </c>
      <c r="K123" s="9">
        <v>41</v>
      </c>
      <c r="L123" s="9" t="str">
        <v>Perpajakan</v>
      </c>
      <c r="M123" s="9" t="str">
        <v xml:space="preserve">KC Salatiga                             </v>
      </c>
      <c r="N123" s="9" t="str">
        <v xml:space="preserve">KC Salatiga                             </v>
      </c>
      <c r="O123" s="9" t="str">
        <v xml:space="preserve">Semarang                                </v>
      </c>
      <c r="P123" s="9" t="str">
        <v>Tidak</v>
      </c>
      <c r="Q123" s="9" t="str">
        <v>Tidak</v>
      </c>
      <c r="R123" s="9" t="str">
        <v>Done</v>
      </c>
      <c r="S123" s="9" t="str">
        <v>Pending Checker</v>
      </c>
      <c r="T123" s="9" t="str">
        <v>00394520 - Frida Akbar Rani</v>
      </c>
      <c r="U123" s="9" t="str">
        <v>"-"</v>
      </c>
      <c r="V123" s="10" t="str">
        <f>IF([1]STR!$V123 = "", "", [1]STR!$V123)</f>
        <v>Veronica Dwi Kurniasih</v>
      </c>
      <c r="W123" s="11">
        <v>46269</v>
      </c>
      <c r="X123" s="12" t="b">
        <f>[1]STR!$X123</f>
        <v>1</v>
      </c>
      <c r="Y123" t="str">
        <f>_xlfn.XLOOKUP(TRIM(B123), [4]STR!$2:$2,[4]STR!$44:$44, "")</f>
        <v/>
      </c>
    </row>
    <row r="124" spans="1:25">
      <c r="A124" s="9">
        <v>46265</v>
      </c>
      <c r="B124" s="9" t="str">
        <v xml:space="preserve">CV WIRA GEMILANG KEDIRI                 </v>
      </c>
      <c r="C124" s="9" t="str">
        <v>CS91094</v>
      </c>
      <c r="D124" s="9">
        <v>8101010901567</v>
      </c>
      <c r="E124" s="9" t="str">
        <v>SEDANG</v>
      </c>
      <c r="F124" s="9" t="str">
        <v>Tidak</v>
      </c>
      <c r="G124" s="9" t="str">
        <v>Tidak</v>
      </c>
      <c r="H124" s="9" t="str">
        <v>Tidak</v>
      </c>
      <c r="I124" s="9" t="str">
        <v>Perpajakan</v>
      </c>
      <c r="J124" s="9">
        <v>48</v>
      </c>
      <c r="K124" s="9">
        <v>41</v>
      </c>
      <c r="L124" s="9" t="str">
        <v>Perpajakan</v>
      </c>
      <c r="M124" s="9" t="str">
        <v xml:space="preserve">KC Salatiga                             </v>
      </c>
      <c r="N124" s="9" t="str">
        <v xml:space="preserve">KC Salatiga                             </v>
      </c>
      <c r="O124" s="9" t="str">
        <v xml:space="preserve">Semarang                                </v>
      </c>
      <c r="P124" s="9" t="str">
        <v>Tidak</v>
      </c>
      <c r="Q124" s="9" t="str">
        <v>Tidak</v>
      </c>
      <c r="R124" s="9" t="str">
        <v>Done</v>
      </c>
      <c r="S124" s="9" t="str">
        <v>Pending Checker</v>
      </c>
      <c r="T124" s="9" t="str">
        <v>90186790 - Muhammad Alfin Farha</v>
      </c>
      <c r="U124" s="9" t="str">
        <v>"-"</v>
      </c>
      <c r="V124" s="10" t="str">
        <f>IF([1]STR!$V124 = "", "", [1]STR!$V124)</f>
        <v>Veronica Dwi Kurniasih</v>
      </c>
      <c r="W124" s="11">
        <v>46272</v>
      </c>
      <c r="X124" s="12" t="b">
        <f>[1]STR!$X124</f>
        <v>1</v>
      </c>
      <c r="Y124" t="str">
        <f>_xlfn.XLOOKUP(TRIM(B124), [4]STR!$2:$2,[4]STR!$44:$44, "")</f>
        <v/>
      </c>
    </row>
    <row r="125" spans="1:25">
      <c r="A125" s="9">
        <v>46265</v>
      </c>
      <c r="B125" s="9" t="str">
        <v xml:space="preserve">CV AGUNG SEJAHTERA SALATIGA             </v>
      </c>
      <c r="C125" s="9" t="str">
        <v>CS91110</v>
      </c>
      <c r="D125" s="9">
        <v>8101010104563</v>
      </c>
      <c r="E125" s="9" t="str">
        <v>SEDANG</v>
      </c>
      <c r="F125" s="9" t="str">
        <v>Tidak</v>
      </c>
      <c r="G125" s="9" t="str">
        <v>Tidak</v>
      </c>
      <c r="H125" s="9" t="str">
        <v>Tidak</v>
      </c>
      <c r="I125" s="9" t="str">
        <v>Perpajakan</v>
      </c>
      <c r="J125" s="9">
        <v>48</v>
      </c>
      <c r="K125" s="9">
        <v>41</v>
      </c>
      <c r="L125" s="9" t="str">
        <v>Perpajakan</v>
      </c>
      <c r="M125" s="9" t="str">
        <v xml:space="preserve">KC Salatiga                             </v>
      </c>
      <c r="N125" s="9" t="str">
        <v xml:space="preserve">KC Salatiga                             </v>
      </c>
      <c r="O125" s="9" t="str">
        <v xml:space="preserve">Semarang                                </v>
      </c>
      <c r="P125" s="9" t="str">
        <v>Tidak</v>
      </c>
      <c r="Q125" s="9" t="str">
        <v>Tidak</v>
      </c>
      <c r="R125" s="9" t="str">
        <v>Done</v>
      </c>
      <c r="S125" s="9" t="str">
        <v>Pending Checker</v>
      </c>
      <c r="T125" s="9" t="str">
        <v>90185538 - Muhammad Fahikal Auz</v>
      </c>
      <c r="U125" s="9" t="str">
        <v>"-"</v>
      </c>
      <c r="V125" s="10" t="str">
        <f>IF([1]STR!$V125 = "", "", [1]STR!$V125)</f>
        <v>Syamsul Arifianto</v>
      </c>
      <c r="W125" s="11">
        <v>46272</v>
      </c>
      <c r="X125" s="12" t="b">
        <f>[1]STR!$X125</f>
        <v>1</v>
      </c>
      <c r="Y125" t="str">
        <f>_xlfn.XLOOKUP(TRIM(B125), [4]STR!$2:$2,[4]STR!$44:$44, "")</f>
        <v/>
      </c>
    </row>
    <row r="126" spans="1:25">
      <c r="A126" s="9">
        <v>46265</v>
      </c>
      <c r="B126" s="9" t="str">
        <v xml:space="preserve">CV BARA PELITA SALATIGA                 </v>
      </c>
      <c r="C126" s="9" t="str">
        <v>CS91126</v>
      </c>
      <c r="D126" s="9">
        <v>8101010105569</v>
      </c>
      <c r="E126" s="9" t="str">
        <v>SEDANG</v>
      </c>
      <c r="F126" s="9" t="str">
        <v>Tidak</v>
      </c>
      <c r="G126" s="9" t="str">
        <v>Tidak</v>
      </c>
      <c r="H126" s="9" t="str">
        <v>Tidak</v>
      </c>
      <c r="I126" s="9" t="str">
        <v>Perpajakan</v>
      </c>
      <c r="J126" s="9">
        <v>49</v>
      </c>
      <c r="K126" s="9">
        <v>41</v>
      </c>
      <c r="L126" s="9" t="str">
        <v>Perpajakan</v>
      </c>
      <c r="M126" s="9" t="str">
        <v xml:space="preserve">KC Salatiga                             </v>
      </c>
      <c r="N126" s="9" t="str">
        <v xml:space="preserve">KC Salatiga                             </v>
      </c>
      <c r="O126" s="9" t="str">
        <v xml:space="preserve">Semarang                                </v>
      </c>
      <c r="P126" s="9" t="str">
        <v>Tidak</v>
      </c>
      <c r="Q126" s="9" t="str">
        <v>Tidak</v>
      </c>
      <c r="R126" s="9" t="str">
        <v>Done</v>
      </c>
      <c r="S126" s="9" t="str">
        <v>Pending Checker</v>
      </c>
      <c r="T126" s="9" t="str">
        <v>90185537 - Moh.Khoerul Fajar Ar</v>
      </c>
      <c r="U126" s="9" t="str">
        <v>"-"</v>
      </c>
      <c r="V126" s="10" t="str">
        <f>IF([1]STR!$V126 = "", "", [1]STR!$V126)</f>
        <v>Syamsul Arifianto</v>
      </c>
      <c r="W126" s="11">
        <v>46273</v>
      </c>
      <c r="X126" s="12" t="b">
        <f>[1]STR!$X126</f>
        <v>1</v>
      </c>
      <c r="Y126" t="str">
        <f>_xlfn.XLOOKUP(TRIM(B126), [4]STR!$2:$2,[4]STR!$44:$44, "")</f>
        <v/>
      </c>
    </row>
    <row r="127" spans="1:25">
      <c r="A127" s="9">
        <v>46265</v>
      </c>
      <c r="B127" s="9" t="str">
        <v xml:space="preserve">CV MULTI PESONA SALATIGA                </v>
      </c>
      <c r="C127" s="9" t="str">
        <v>CS91148</v>
      </c>
      <c r="D127" s="9">
        <v>8101010106565</v>
      </c>
      <c r="E127" s="9" t="str">
        <v>SEDANG</v>
      </c>
      <c r="F127" s="9" t="str">
        <v>Tidak</v>
      </c>
      <c r="G127" s="9" t="str">
        <v>Tidak</v>
      </c>
      <c r="H127" s="9" t="str">
        <v>Tidak</v>
      </c>
      <c r="I127" s="9" t="str">
        <v>Perpajakan</v>
      </c>
      <c r="J127" s="9">
        <v>53</v>
      </c>
      <c r="K127" s="9">
        <v>41</v>
      </c>
      <c r="L127" s="9" t="str">
        <v>Perpajakan</v>
      </c>
      <c r="M127" s="9" t="str">
        <v xml:space="preserve">KC Salatiga                             </v>
      </c>
      <c r="N127" s="9" t="str">
        <v xml:space="preserve">KC Salatiga                             </v>
      </c>
      <c r="O127" s="9" t="str">
        <v xml:space="preserve">Semarang                                </v>
      </c>
      <c r="P127" s="9" t="str">
        <v>Tidak</v>
      </c>
      <c r="Q127" s="9" t="str">
        <v>Tidak</v>
      </c>
      <c r="R127" s="9" t="str">
        <v>Done</v>
      </c>
      <c r="S127" s="9" t="str">
        <v>Pending Checker</v>
      </c>
      <c r="T127" s="9" t="str">
        <v>90171841 - Rifqi Aziz</v>
      </c>
      <c r="U127" s="9" t="str">
        <v>"-"</v>
      </c>
      <c r="V127" s="10" t="str">
        <f>IF([1]STR!$V127 = "", "", [1]STR!$V127)</f>
        <v>Veronica Dwi Kurniasih</v>
      </c>
      <c r="W127" s="11">
        <v>46273</v>
      </c>
      <c r="X127" s="12" t="b">
        <f>[1]STR!$X127</f>
        <v>1</v>
      </c>
      <c r="Y127" t="str">
        <f>_xlfn.XLOOKUP(TRIM(B127), [4]STR!$2:$2,[4]STR!$44:$44, "")</f>
        <v/>
      </c>
    </row>
    <row r="128" spans="1:25">
      <c r="A128" s="9">
        <v>46265</v>
      </c>
      <c r="B128" s="9" t="str">
        <v xml:space="preserve">CV ANGKASA PELANGI SALATIGA             </v>
      </c>
      <c r="C128" s="9" t="str">
        <v>CS91151</v>
      </c>
      <c r="D128" s="9">
        <v>8101010107561</v>
      </c>
      <c r="E128" s="9" t="str">
        <v>SEDANG</v>
      </c>
      <c r="F128" s="9" t="str">
        <v>Tidak</v>
      </c>
      <c r="G128" s="9" t="str">
        <v>Tidak</v>
      </c>
      <c r="H128" s="9" t="str">
        <v>Tidak</v>
      </c>
      <c r="I128" s="9" t="str">
        <v>Perpajakan</v>
      </c>
      <c r="J128" s="9">
        <v>53</v>
      </c>
      <c r="K128" s="9">
        <v>41</v>
      </c>
      <c r="L128" s="9" t="str">
        <v>Perpajakan</v>
      </c>
      <c r="M128" s="9" t="str">
        <v xml:space="preserve">KC Salatiga                             </v>
      </c>
      <c r="N128" s="9" t="str">
        <v xml:space="preserve">KC Salatiga                             </v>
      </c>
      <c r="O128" s="9" t="str">
        <v xml:space="preserve">Semarang                                </v>
      </c>
      <c r="P128" s="9" t="str">
        <v>Tidak</v>
      </c>
      <c r="Q128" s="9" t="str">
        <v>Tidak</v>
      </c>
      <c r="R128" s="9" t="str">
        <v>Done</v>
      </c>
      <c r="S128" s="9" t="str">
        <v>Pending Checker</v>
      </c>
      <c r="T128" s="9" t="str">
        <v>90170665 - Mutiara Ayuningtyas</v>
      </c>
      <c r="U128" s="9" t="str">
        <v>"-"</v>
      </c>
      <c r="V128" s="10" t="str">
        <f>IF([1]STR!$V128 = "", "", [1]STR!$V128)</f>
        <v>Syamsul Arifianto</v>
      </c>
      <c r="W128" s="11">
        <v>46272</v>
      </c>
      <c r="X128" s="12" t="b">
        <f>[1]STR!$X128</f>
        <v>1</v>
      </c>
      <c r="Y128" t="str">
        <f>_xlfn.XLOOKUP(TRIM(B128), [4]STR!$2:$2,[4]STR!$44:$44, "")</f>
        <v/>
      </c>
    </row>
    <row r="129" spans="1:25">
      <c r="A129" s="9">
        <v>46265</v>
      </c>
      <c r="B129" s="9" t="str">
        <v xml:space="preserve">CV SANTIKA DIVA SALATIGA                </v>
      </c>
      <c r="C129" s="9" t="str">
        <v>CS91160</v>
      </c>
      <c r="D129" s="9">
        <v>8101020101563</v>
      </c>
      <c r="E129" s="9" t="str">
        <v>SEDANG</v>
      </c>
      <c r="F129" s="9" t="str">
        <v>Tidak</v>
      </c>
      <c r="G129" s="9" t="str">
        <v>Tidak</v>
      </c>
      <c r="H129" s="9" t="str">
        <v>Tidak</v>
      </c>
      <c r="I129" s="9" t="str">
        <v>Perpajakan</v>
      </c>
      <c r="J129" s="9">
        <v>49</v>
      </c>
      <c r="K129" s="9">
        <v>41</v>
      </c>
      <c r="L129" s="9" t="str">
        <v>Perpajakan</v>
      </c>
      <c r="M129" s="9" t="str">
        <v xml:space="preserve">KC Salatiga                             </v>
      </c>
      <c r="N129" s="9" t="str">
        <v xml:space="preserve">KC Salatiga                             </v>
      </c>
      <c r="O129" s="9" t="str">
        <v xml:space="preserve">Semarang                                </v>
      </c>
      <c r="P129" s="9" t="str">
        <v>Tidak</v>
      </c>
      <c r="Q129" s="9" t="str">
        <v>Tidak</v>
      </c>
      <c r="R129" s="9" t="str">
        <v>Done</v>
      </c>
      <c r="S129" s="9" t="str">
        <v>Pending Checker</v>
      </c>
      <c r="T129" s="9" t="str">
        <v>90150130 - Intan Aida Pratiwi</v>
      </c>
      <c r="U129" s="9" t="str">
        <v>"-"</v>
      </c>
      <c r="V129" s="10" t="str">
        <f>IF([1]STR!$V129 = "", "", [1]STR!$V129)</f>
        <v>Veronica Dwi Kurniasih</v>
      </c>
      <c r="W129" s="11">
        <v>46273</v>
      </c>
      <c r="X129" s="12" t="b">
        <f>[1]STR!$X129</f>
        <v>1</v>
      </c>
      <c r="Y129" t="str">
        <f>_xlfn.XLOOKUP(TRIM(B129), [4]STR!$2:$2,[4]STR!$44:$44, "")</f>
        <v/>
      </c>
    </row>
    <row r="130" spans="1:25">
      <c r="A130" s="9">
        <v>46265</v>
      </c>
      <c r="B130" s="9" t="str">
        <v xml:space="preserve">CV JELITA ELANG SALATIGA                </v>
      </c>
      <c r="C130" s="9" t="str">
        <v>CS91172</v>
      </c>
      <c r="D130" s="9">
        <v>8101020102569</v>
      </c>
      <c r="E130" s="9" t="str">
        <v>SEDANG</v>
      </c>
      <c r="F130" s="9" t="str">
        <v>Tidak</v>
      </c>
      <c r="G130" s="9" t="str">
        <v>Tidak</v>
      </c>
      <c r="H130" s="9" t="str">
        <v>Tidak</v>
      </c>
      <c r="I130" s="9" t="str">
        <v>Perpajakan</v>
      </c>
      <c r="J130" s="9">
        <v>51</v>
      </c>
      <c r="K130" s="9">
        <v>41</v>
      </c>
      <c r="L130" s="9" t="str">
        <v>Perpajakan</v>
      </c>
      <c r="M130" s="9" t="str">
        <v xml:space="preserve">KC Salatiga                             </v>
      </c>
      <c r="N130" s="9" t="str">
        <v xml:space="preserve">KC Salatiga                             </v>
      </c>
      <c r="O130" s="9" t="str">
        <v xml:space="preserve">Semarang                                </v>
      </c>
      <c r="P130" s="9" t="str">
        <v>Tidak</v>
      </c>
      <c r="Q130" s="9" t="str">
        <v>Tidak</v>
      </c>
      <c r="R130" s="9" t="str">
        <v>Done</v>
      </c>
      <c r="S130" s="9" t="str">
        <v>Pending Checker</v>
      </c>
      <c r="T130" s="9" t="str">
        <v>00394521 - Muhammad Hibbanduta</v>
      </c>
      <c r="U130" s="9" t="str">
        <v>"-"</v>
      </c>
      <c r="V130" s="10" t="str">
        <f>IF([1]STR!$V130 = "", "", [1]STR!$V130)</f>
        <v>Syamsul Arifianto</v>
      </c>
      <c r="W130" s="11">
        <v>46273</v>
      </c>
      <c r="X130" s="12" t="b">
        <f>[1]STR!$X130</f>
        <v>1</v>
      </c>
      <c r="Y130" t="str">
        <f>_xlfn.XLOOKUP(TRIM(B130), [4]STR!$2:$2,[4]STR!$44:$44, "")</f>
        <v/>
      </c>
    </row>
    <row r="131" spans="1:25">
      <c r="A131" s="9">
        <v>46265</v>
      </c>
      <c r="B131" s="9" t="str">
        <v xml:space="preserve">CV WULAN GANDA MOJOKERTO                </v>
      </c>
      <c r="C131" s="9" t="str">
        <v>CS91284</v>
      </c>
      <c r="D131" s="9">
        <v>8101011101568</v>
      </c>
      <c r="E131" s="9" t="str">
        <v>SEDANG</v>
      </c>
      <c r="F131" s="9" t="str">
        <v>Tidak</v>
      </c>
      <c r="G131" s="9" t="str">
        <v>Tidak</v>
      </c>
      <c r="H131" s="9" t="str">
        <v>Tidak</v>
      </c>
      <c r="I131" s="9" t="str">
        <v>Perpajakan</v>
      </c>
      <c r="J131" s="9">
        <v>49</v>
      </c>
      <c r="K131" s="9">
        <v>41</v>
      </c>
      <c r="L131" s="9" t="str">
        <v>Perpajakan</v>
      </c>
      <c r="M131" s="9" t="str">
        <v xml:space="preserve">KC Salatiga                             </v>
      </c>
      <c r="N131" s="9" t="str">
        <v xml:space="preserve">KC Salatiga                             </v>
      </c>
      <c r="O131" s="9" t="str">
        <v xml:space="preserve">Semarang                                </v>
      </c>
      <c r="P131" s="9" t="str">
        <v>Tidak</v>
      </c>
      <c r="Q131" s="9" t="str">
        <v>Tidak</v>
      </c>
      <c r="R131" s="9" t="str">
        <v>Done</v>
      </c>
      <c r="S131" s="9" t="str">
        <v>Pending Checker</v>
      </c>
      <c r="T131" s="9" t="str">
        <v>00394520 - Frida Akbar Rani</v>
      </c>
      <c r="U131" s="9" t="str">
        <v>"-"</v>
      </c>
      <c r="V131" s="10" t="str">
        <f>IF([1]STR!$V131 = "", "", [1]STR!$V131)</f>
        <v>Veronica Dwi Kurniasih</v>
      </c>
      <c r="W131" s="11">
        <v>46272</v>
      </c>
      <c r="X131" s="12" t="b">
        <f>[1]STR!$X131</f>
        <v>1</v>
      </c>
      <c r="Y131" t="str">
        <f>_xlfn.XLOOKUP(TRIM(B131), [4]STR!$2:$2,[4]STR!$44:$44, "")</f>
        <v/>
      </c>
    </row>
    <row r="132" spans="1:25">
      <c r="A132" s="9">
        <v>46265</v>
      </c>
      <c r="B132" s="9" t="str">
        <v xml:space="preserve">CV BANGUN RUPA MOJOKERTO                </v>
      </c>
      <c r="C132" s="9" t="str">
        <v>CS91288</v>
      </c>
      <c r="D132" s="9">
        <v>8101011102564</v>
      </c>
      <c r="E132" s="9" t="str">
        <v>SEDANG</v>
      </c>
      <c r="F132" s="9" t="str">
        <v>Tidak</v>
      </c>
      <c r="G132" s="9" t="str">
        <v>Tidak</v>
      </c>
      <c r="H132" s="9" t="str">
        <v>Tidak</v>
      </c>
      <c r="I132" s="9" t="str">
        <v>Perpajakan</v>
      </c>
      <c r="J132" s="9">
        <v>53</v>
      </c>
      <c r="K132" s="9">
        <v>41</v>
      </c>
      <c r="L132" s="9" t="str">
        <v>Perpajakan</v>
      </c>
      <c r="M132" s="9" t="str">
        <v xml:space="preserve">KC Salatiga                             </v>
      </c>
      <c r="N132" s="9" t="str">
        <v xml:space="preserve">KC Salatiga                             </v>
      </c>
      <c r="O132" s="9" t="str">
        <v xml:space="preserve">Semarang                                </v>
      </c>
      <c r="P132" s="9" t="str">
        <v>Tidak</v>
      </c>
      <c r="Q132" s="9" t="str">
        <v>Tidak</v>
      </c>
      <c r="R132" s="9" t="str">
        <v>Done</v>
      </c>
      <c r="S132" s="9" t="str">
        <v>Pending Checker</v>
      </c>
      <c r="T132" s="9" t="str">
        <v>00336949 - Mochammad Al Farabi</v>
      </c>
      <c r="U132" s="9" t="str">
        <v>"-"</v>
      </c>
      <c r="V132" s="10" t="str">
        <f>IF([1]STR!$V132 = "", "", [1]STR!$V132)</f>
        <v>Syamsul Arifianto</v>
      </c>
      <c r="W132" s="11">
        <v>46273</v>
      </c>
      <c r="X132" s="12" t="b">
        <f>[1]STR!$X132</f>
        <v>1</v>
      </c>
      <c r="Y132" t="str">
        <f>_xlfn.XLOOKUP(TRIM(B132), [4]STR!$2:$2,[4]STR!$44:$44, "")</f>
        <v/>
      </c>
    </row>
    <row r="133" spans="1:25">
      <c r="A133" s="9">
        <v>46265</v>
      </c>
      <c r="B133" s="9" t="str">
        <v xml:space="preserve">CV MAKMUR TUNAS MOJOKERTO               </v>
      </c>
      <c r="C133" s="9" t="str">
        <v>CS91290</v>
      </c>
      <c r="D133" s="9">
        <v>8101011103560</v>
      </c>
      <c r="E133" s="9" t="str">
        <v>SEDANG</v>
      </c>
      <c r="F133" s="9" t="str">
        <v>Tidak</v>
      </c>
      <c r="G133" s="9" t="str">
        <v>Tidak</v>
      </c>
      <c r="H133" s="9" t="str">
        <v>Tidak</v>
      </c>
      <c r="I133" s="9" t="str">
        <v>Perpajakan</v>
      </c>
      <c r="J133" s="9">
        <v>51</v>
      </c>
      <c r="K133" s="9">
        <v>41</v>
      </c>
      <c r="L133" s="9" t="str">
        <v>Perpajakan</v>
      </c>
      <c r="M133" s="9" t="str">
        <v xml:space="preserve">KC Salatiga                             </v>
      </c>
      <c r="N133" s="9" t="str">
        <v xml:space="preserve">KC Salatiga                             </v>
      </c>
      <c r="O133" s="9" t="str">
        <v xml:space="preserve">Semarang                                </v>
      </c>
      <c r="P133" s="9" t="str">
        <v>Tidak</v>
      </c>
      <c r="Q133" s="9" t="str">
        <v>Tidak</v>
      </c>
      <c r="R133" s="9" t="str">
        <v>Done</v>
      </c>
      <c r="S133" s="9" t="str">
        <v>Pending Checker</v>
      </c>
      <c r="T133" s="9" t="str">
        <v>90186796 - Devito Arya Wiradila</v>
      </c>
      <c r="U133" s="9" t="str">
        <v>"-"</v>
      </c>
      <c r="V133" s="10" t="str">
        <f>IF([1]STR!$V133 = "", "", [1]STR!$V133)</f>
        <v>Veronica Dwi Kurniasih</v>
      </c>
      <c r="W133" s="11">
        <v>46273</v>
      </c>
      <c r="X133" s="12" t="b">
        <f>[1]STR!$X133</f>
        <v>1</v>
      </c>
      <c r="Y133" t="str">
        <f>_xlfn.XLOOKUP(TRIM(B133), [4]STR!$2:$2,[4]STR!$44:$44, "")</f>
        <v/>
      </c>
    </row>
    <row r="134" spans="1:25">
      <c r="A134" s="9">
        <v>46265</v>
      </c>
      <c r="B134" s="9" t="str">
        <v xml:space="preserve">CV ANDALAN SINAR MOJOKERTO              </v>
      </c>
      <c r="C134" s="9" t="str">
        <v>CS91293</v>
      </c>
      <c r="D134" s="9">
        <v>8101011104566</v>
      </c>
      <c r="E134" s="9" t="str">
        <v>SEDANG</v>
      </c>
      <c r="F134" s="9" t="str">
        <v>Tidak</v>
      </c>
      <c r="G134" s="9" t="str">
        <v>Tidak</v>
      </c>
      <c r="H134" s="9" t="str">
        <v>Tidak</v>
      </c>
      <c r="I134" s="9" t="str">
        <v>Perpajakan</v>
      </c>
      <c r="J134" s="9">
        <v>51</v>
      </c>
      <c r="K134" s="9">
        <v>41</v>
      </c>
      <c r="L134" s="9" t="str">
        <v>Perpajakan</v>
      </c>
      <c r="M134" s="9" t="str">
        <v xml:space="preserve">KC Salatiga                             </v>
      </c>
      <c r="N134" s="9" t="str">
        <v xml:space="preserve">KC Salatiga                             </v>
      </c>
      <c r="O134" s="9" t="str">
        <v xml:space="preserve">Semarang                                </v>
      </c>
      <c r="P134" s="9" t="str">
        <v>Tidak</v>
      </c>
      <c r="Q134" s="9" t="str">
        <v>Tidak</v>
      </c>
      <c r="R134" s="9" t="str">
        <v>Done</v>
      </c>
      <c r="S134" s="9" t="str">
        <v>Pending Checker</v>
      </c>
      <c r="T134" s="9" t="str">
        <v>90186790 - Muhammad Alfin Farha</v>
      </c>
      <c r="U134" s="9" t="str">
        <v>"-"</v>
      </c>
      <c r="V134" s="10" t="str">
        <f>IF([1]STR!$V134 = "", "", [1]STR!$V134)</f>
        <v>Syamsul Arifianto</v>
      </c>
      <c r="W134" s="11">
        <v>46272</v>
      </c>
      <c r="X134" s="12" t="b">
        <f>[1]STR!$X134</f>
        <v>1</v>
      </c>
      <c r="Y134" t="str">
        <f>_xlfn.XLOOKUP(TRIM(B134), [4]STR!$2:$2,[4]STR!$44:$44, "")</f>
        <v/>
      </c>
    </row>
    <row r="135" spans="1:25">
      <c r="A135" s="9">
        <v>46265</v>
      </c>
      <c r="B135" s="9" t="str">
        <v xml:space="preserve">CV BUKIT RAJAWALI KEDIRI                </v>
      </c>
      <c r="C135" s="9" t="str">
        <v>CS91294</v>
      </c>
      <c r="D135" s="9">
        <v>8101010902563</v>
      </c>
      <c r="E135" s="9" t="str">
        <v>SEDANG</v>
      </c>
      <c r="F135" s="9" t="str">
        <v>Tidak</v>
      </c>
      <c r="G135" s="9" t="str">
        <v>Tidak</v>
      </c>
      <c r="H135" s="9" t="str">
        <v>Tidak</v>
      </c>
      <c r="I135" s="9" t="str">
        <v>Perpajakan</v>
      </c>
      <c r="J135" s="9">
        <v>48</v>
      </c>
      <c r="K135" s="9">
        <v>41</v>
      </c>
      <c r="L135" s="9" t="str">
        <v>Perpajakan</v>
      </c>
      <c r="M135" s="9" t="str">
        <v xml:space="preserve">KC Salatiga                             </v>
      </c>
      <c r="N135" s="9" t="str">
        <v xml:space="preserve">KC Salatiga                             </v>
      </c>
      <c r="O135" s="9" t="str">
        <v xml:space="preserve">Semarang                                </v>
      </c>
      <c r="P135" s="9" t="str">
        <v>Tidak</v>
      </c>
      <c r="Q135" s="9" t="str">
        <v>Tidak</v>
      </c>
      <c r="R135" s="9" t="str">
        <v>Done</v>
      </c>
      <c r="S135" s="9" t="str">
        <v>Pending Checker</v>
      </c>
      <c r="T135" s="9" t="str">
        <v>90185538 - Muhammad Fahikal Auz</v>
      </c>
      <c r="U135" s="9" t="str">
        <v>"-"</v>
      </c>
      <c r="V135" s="10" t="str">
        <f>IF([1]STR!$V135 = "", "", [1]STR!$V135)</f>
        <v>Syamsul Arifianto</v>
      </c>
      <c r="W135" s="11">
        <v>46273</v>
      </c>
      <c r="X135" s="12" t="b">
        <f>[1]STR!$X135</f>
        <v>1</v>
      </c>
      <c r="Y135" t="str">
        <f>_xlfn.XLOOKUP(TRIM(B135), [4]STR!$2:$2,[4]STR!$44:$44, "")</f>
        <v/>
      </c>
    </row>
    <row r="136" spans="1:25">
      <c r="A136" s="9">
        <v>46265</v>
      </c>
      <c r="B136" s="9" t="str">
        <v xml:space="preserve">CV MAJU TREND KEDIRI                    </v>
      </c>
      <c r="C136" s="9" t="str">
        <v>CS91296</v>
      </c>
      <c r="D136" s="9">
        <v>8101010903569</v>
      </c>
      <c r="E136" s="9" t="str">
        <v>SEDANG</v>
      </c>
      <c r="F136" s="9" t="str">
        <v>Tidak</v>
      </c>
      <c r="G136" s="9" t="str">
        <v>Tidak</v>
      </c>
      <c r="H136" s="9" t="str">
        <v>Tidak</v>
      </c>
      <c r="I136" s="9" t="str">
        <v>Perpajakan</v>
      </c>
      <c r="J136" s="9">
        <v>48</v>
      </c>
      <c r="K136" s="9">
        <v>41</v>
      </c>
      <c r="L136" s="9" t="str">
        <v>Perpajakan</v>
      </c>
      <c r="M136" s="9" t="str">
        <v xml:space="preserve">KC Salatiga                             </v>
      </c>
      <c r="N136" s="9" t="str">
        <v xml:space="preserve">KC Salatiga                             </v>
      </c>
      <c r="O136" s="9" t="str">
        <v xml:space="preserve">Semarang                                </v>
      </c>
      <c r="P136" s="9" t="str">
        <v>Tidak</v>
      </c>
      <c r="Q136" s="9" t="str">
        <v>Tidak</v>
      </c>
      <c r="R136" s="9" t="str">
        <v>Done</v>
      </c>
      <c r="S136" s="9" t="str">
        <v>Pending Checker</v>
      </c>
      <c r="T136" s="9" t="str">
        <v>90185537 - Moh.Khoerul Fajar Ar</v>
      </c>
      <c r="U136" s="9" t="str">
        <v>"-"</v>
      </c>
      <c r="V136" s="10" t="str">
        <f>IF([1]STR!$V136 = "", "", [1]STR!$V136)</f>
        <v>Veronica Dwi Kurniasih</v>
      </c>
      <c r="W136" s="11">
        <v>46273</v>
      </c>
      <c r="X136" s="12" t="b">
        <f>[1]STR!$X136</f>
        <v>1</v>
      </c>
      <c r="Y136" t="str">
        <f>_xlfn.XLOOKUP(TRIM(B136), [4]STR!$2:$2,[4]STR!$44:$44, "")</f>
        <v/>
      </c>
    </row>
    <row r="137" spans="1:25">
      <c r="A137" s="9">
        <v>46265</v>
      </c>
      <c r="B137" s="9" t="str">
        <v xml:space="preserve">CV ANEKA SOLUSI KEDIRI                  </v>
      </c>
      <c r="C137" s="9" t="str">
        <v>CS91298</v>
      </c>
      <c r="D137" s="9">
        <v>8101010904565</v>
      </c>
      <c r="E137" s="9" t="str">
        <v>SEDANG</v>
      </c>
      <c r="F137" s="9" t="str">
        <v>Tidak</v>
      </c>
      <c r="G137" s="9" t="str">
        <v>Tidak</v>
      </c>
      <c r="H137" s="9" t="str">
        <v>Tidak</v>
      </c>
      <c r="I137" s="9" t="str">
        <v>Perpajakan</v>
      </c>
      <c r="J137" s="9">
        <v>48</v>
      </c>
      <c r="K137" s="9">
        <v>41</v>
      </c>
      <c r="L137" s="9" t="str">
        <v>Perpajakan</v>
      </c>
      <c r="M137" s="9" t="str">
        <v xml:space="preserve">KC Salatiga                             </v>
      </c>
      <c r="N137" s="9" t="str">
        <v xml:space="preserve">KC Salatiga                             </v>
      </c>
      <c r="O137" s="9" t="str">
        <v xml:space="preserve">Semarang                                </v>
      </c>
      <c r="P137" s="9" t="str">
        <v>Tidak</v>
      </c>
      <c r="Q137" s="9" t="str">
        <v>Tidak</v>
      </c>
      <c r="R137" s="9" t="str">
        <v>Done</v>
      </c>
      <c r="S137" s="9" t="str">
        <v>Pending Checker</v>
      </c>
      <c r="T137" s="9" t="str">
        <v>90171841 - Rifqi Aziz</v>
      </c>
      <c r="U137" s="9" t="str">
        <v>"-"</v>
      </c>
      <c r="V137" s="10" t="str">
        <f>IF([1]STR!$V137 = "", "", [1]STR!$V137)</f>
        <v>Syamsul Arifianto</v>
      </c>
      <c r="W137" s="11">
        <v>46272</v>
      </c>
      <c r="X137" s="12" t="b">
        <f>[1]STR!$X137</f>
        <v>1</v>
      </c>
      <c r="Y137" t="str">
        <f>_xlfn.XLOOKUP(TRIM(B137), [4]STR!$2:$2,[4]STR!$44:$44, "")</f>
        <v/>
      </c>
    </row>
    <row r="138" spans="1:25">
      <c r="A138" s="9">
        <v>46265</v>
      </c>
      <c r="B138" s="9" t="str">
        <v xml:space="preserve">CV ANGKASA PELANGI SEMARANG             </v>
      </c>
      <c r="C138" s="9" t="str">
        <v>CS91328</v>
      </c>
      <c r="D138" s="9">
        <v>8101010207565</v>
      </c>
      <c r="E138" s="9" t="str">
        <v>SEDANG</v>
      </c>
      <c r="F138" s="9" t="str">
        <v>Tidak</v>
      </c>
      <c r="G138" s="9" t="str">
        <v>Tidak</v>
      </c>
      <c r="H138" s="9" t="str">
        <v>Tidak</v>
      </c>
      <c r="I138" s="9" t="str">
        <v>Perpajakan</v>
      </c>
      <c r="J138" s="9">
        <v>48</v>
      </c>
      <c r="K138" s="9">
        <v>41</v>
      </c>
      <c r="L138" s="9" t="str">
        <v>Perpajakan</v>
      </c>
      <c r="M138" s="9" t="str">
        <v xml:space="preserve">KC Salatiga                             </v>
      </c>
      <c r="N138" s="9" t="str">
        <v xml:space="preserve">KC Salatiga                             </v>
      </c>
      <c r="O138" s="9" t="str">
        <v xml:space="preserve">Semarang                                </v>
      </c>
      <c r="P138" s="9" t="str">
        <v>Tidak</v>
      </c>
      <c r="Q138" s="9" t="str">
        <v>Tidak</v>
      </c>
      <c r="R138" s="9" t="str">
        <v>Done</v>
      </c>
      <c r="S138" s="9" t="str">
        <v>Pending Checker</v>
      </c>
      <c r="T138" s="9" t="str">
        <v>90170665 - Mutiara Ayuningtyas</v>
      </c>
      <c r="U138" s="9" t="str">
        <v>"-"</v>
      </c>
      <c r="V138" s="10" t="str">
        <f>IF([1]STR!$V138 = "", "", [1]STR!$V138)</f>
        <v>Syamsul Arifianto</v>
      </c>
      <c r="W138" s="11">
        <v>46272</v>
      </c>
      <c r="X138" s="12" t="b">
        <f>[1]STR!$X138</f>
        <v>1</v>
      </c>
      <c r="Y138" t="str">
        <f>_xlfn.XLOOKUP(TRIM(B138), [4]STR!$2:$2,[4]STR!$44:$44, "")</f>
        <v/>
      </c>
    </row>
    <row r="139" spans="1:25">
      <c r="A139" s="9">
        <v>46265</v>
      </c>
      <c r="B139" s="9" t="str">
        <v xml:space="preserve">CV MULTIJAYA TUNGGAL SEMARANG           </v>
      </c>
      <c r="C139" s="9" t="str">
        <v>CS88160</v>
      </c>
      <c r="D139" s="9">
        <v>8101010203561</v>
      </c>
      <c r="E139" s="9" t="str">
        <v>SEDANG</v>
      </c>
      <c r="F139" s="9" t="str">
        <v>Tidak</v>
      </c>
      <c r="G139" s="9" t="str">
        <v>Tidak</v>
      </c>
      <c r="H139" s="9" t="str">
        <v>Tidak</v>
      </c>
      <c r="I139" s="9" t="str">
        <v>Perpajakan</v>
      </c>
      <c r="J139" s="9">
        <v>48</v>
      </c>
      <c r="K139" s="9">
        <v>41</v>
      </c>
      <c r="L139" s="9" t="str">
        <v>Perpajakan</v>
      </c>
      <c r="M139" s="9" t="str">
        <v xml:space="preserve">KC Salatiga                             </v>
      </c>
      <c r="N139" s="9" t="str">
        <v xml:space="preserve">KC Salatiga                             </v>
      </c>
      <c r="O139" s="9" t="str">
        <v xml:space="preserve">Semarang                                </v>
      </c>
      <c r="P139" s="9" t="str">
        <v>Tidak</v>
      </c>
      <c r="Q139" s="9" t="str">
        <v>Tidak</v>
      </c>
      <c r="R139" s="9" t="str">
        <v>Done</v>
      </c>
      <c r="S139" s="9" t="str">
        <v>Pending Checker</v>
      </c>
      <c r="T139" s="9" t="str">
        <v>90186790 - Muhammad Alfin Farha</v>
      </c>
      <c r="U139" s="9" t="str">
        <v>"-"</v>
      </c>
      <c r="V139" s="10" t="str">
        <f>IF([1]STR!$V139 = "", "", [1]STR!$V139)</f>
        <v>Veronica Dwi Kurniasih</v>
      </c>
      <c r="W139" s="11">
        <v>46273</v>
      </c>
      <c r="X139" s="12" t="b">
        <f>[1]STR!$X139</f>
        <v>1</v>
      </c>
      <c r="Y139" t="str">
        <f>_xlfn.XLOOKUP(TRIM(B139), [4]STR!$2:$2,[4]STR!$44:$44, "")</f>
        <v/>
      </c>
    </row>
    <row r="140" spans="1:25">
      <c r="A140" s="9">
        <v>46265</v>
      </c>
      <c r="B140" s="9" t="str">
        <v xml:space="preserve">CV BARA PELITA SEMARANG                 </v>
      </c>
      <c r="C140" s="9" t="str">
        <v>CS88164</v>
      </c>
      <c r="D140" s="9">
        <v>8101010205563</v>
      </c>
      <c r="E140" s="9" t="str">
        <v>SEDANG</v>
      </c>
      <c r="F140" s="9" t="str">
        <v>Tidak</v>
      </c>
      <c r="G140" s="9" t="str">
        <v>Tidak</v>
      </c>
      <c r="H140" s="9" t="str">
        <v>Tidak</v>
      </c>
      <c r="I140" s="9" t="str">
        <v>Perpajakan</v>
      </c>
      <c r="J140" s="9">
        <v>48</v>
      </c>
      <c r="K140" s="9">
        <v>41</v>
      </c>
      <c r="L140" s="9" t="str">
        <v>Perpajakan</v>
      </c>
      <c r="M140" s="9" t="str">
        <v xml:space="preserve">KC Salatiga                             </v>
      </c>
      <c r="N140" s="9" t="str">
        <v xml:space="preserve">KC Salatiga                             </v>
      </c>
      <c r="O140" s="9" t="str">
        <v xml:space="preserve">Semarang                                </v>
      </c>
      <c r="P140" s="9" t="str">
        <v>Tidak</v>
      </c>
      <c r="Q140" s="9" t="str">
        <v>Tidak</v>
      </c>
      <c r="R140" s="9" t="str">
        <v>Done</v>
      </c>
      <c r="S140" s="9" t="str">
        <v>Pending Checker</v>
      </c>
      <c r="T140" s="9" t="str">
        <v>00336949 - Mochammad Al Farabi</v>
      </c>
      <c r="U140" s="9" t="str">
        <v>"-"</v>
      </c>
      <c r="V140" s="10" t="str">
        <f>IF([1]STR!$V140 = "", "", [1]STR!$V140)</f>
        <v>Syamsul Arifianto</v>
      </c>
      <c r="W140" s="11">
        <v>46273</v>
      </c>
      <c r="X140" s="12" t="b">
        <f>[1]STR!$X140</f>
        <v>1</v>
      </c>
      <c r="Y140" t="str">
        <f>_xlfn.XLOOKUP(TRIM(B140), [4]STR!$2:$2,[4]STR!$44:$44, "")</f>
        <v/>
      </c>
    </row>
    <row r="141" spans="1:25">
      <c r="A141" s="9">
        <v>46265</v>
      </c>
      <c r="B141" s="9" t="str">
        <v xml:space="preserve">CV MULTI PESONA SEMARANG                </v>
      </c>
      <c r="C141" s="9" t="str">
        <v>CS88183</v>
      </c>
      <c r="D141" s="9">
        <v>8101010206569</v>
      </c>
      <c r="E141" s="9" t="str">
        <v>SEDANG</v>
      </c>
      <c r="F141" s="9" t="str">
        <v>Tidak</v>
      </c>
      <c r="G141" s="9" t="str">
        <v>Tidak</v>
      </c>
      <c r="H141" s="9" t="str">
        <v>Tidak</v>
      </c>
      <c r="I141" s="9" t="str">
        <v>Perpajakan</v>
      </c>
      <c r="J141" s="9">
        <v>48</v>
      </c>
      <c r="K141" s="9">
        <v>41</v>
      </c>
      <c r="L141" s="9" t="str">
        <v>Perpajakan</v>
      </c>
      <c r="M141" s="9" t="str">
        <v xml:space="preserve">KC Salatiga                             </v>
      </c>
      <c r="N141" s="9" t="str">
        <v xml:space="preserve">KC Salatiga                             </v>
      </c>
      <c r="O141" s="9" t="str">
        <v xml:space="preserve">Semarang                                </v>
      </c>
      <c r="P141" s="9" t="str">
        <v>Tidak</v>
      </c>
      <c r="Q141" s="9" t="str">
        <v>Tidak</v>
      </c>
      <c r="R141" s="9" t="str">
        <v>Done</v>
      </c>
      <c r="S141" s="9" t="str">
        <v>Pending Checker</v>
      </c>
      <c r="T141" s="9" t="str">
        <v>90186796 - Devito Arya Wiradila</v>
      </c>
      <c r="U141" s="9" t="str">
        <v>"-"</v>
      </c>
      <c r="V141" s="10" t="str">
        <f>IF([1]STR!$V141 = "", "", [1]STR!$V141)</f>
        <v>Veronica Dwi Kurniasih</v>
      </c>
      <c r="W141" s="11">
        <v>46273</v>
      </c>
      <c r="X141" s="12" t="b">
        <f>[1]STR!$X141</f>
        <v>1</v>
      </c>
      <c r="Y141" t="str">
        <f>_xlfn.XLOOKUP(TRIM(B141), [4]STR!$2:$2,[4]STR!$44:$44, "")</f>
        <v/>
      </c>
    </row>
    <row r="142" spans="1:25">
      <c r="A142" s="9">
        <v>46265</v>
      </c>
      <c r="B142" s="9" t="str">
        <v xml:space="preserve">CV WISESA GLOBAL SEMARANG               </v>
      </c>
      <c r="C142" s="9" t="str">
        <v>CS88189</v>
      </c>
      <c r="D142" s="9">
        <v>8101010201569</v>
      </c>
      <c r="E142" s="9" t="str">
        <v>SEDANG</v>
      </c>
      <c r="F142" s="9" t="str">
        <v>Tidak</v>
      </c>
      <c r="G142" s="9" t="str">
        <v>Tidak</v>
      </c>
      <c r="H142" s="9" t="str">
        <v>Tidak</v>
      </c>
      <c r="I142" s="9" t="str">
        <v>Perpajakan</v>
      </c>
      <c r="J142" s="9">
        <v>48</v>
      </c>
      <c r="K142" s="9">
        <v>41</v>
      </c>
      <c r="L142" s="9" t="str">
        <v>Perpajakan</v>
      </c>
      <c r="M142" s="9" t="str">
        <v xml:space="preserve">KC Salatiga                             </v>
      </c>
      <c r="N142" s="9" t="str">
        <v xml:space="preserve">KC Salatiga                             </v>
      </c>
      <c r="O142" s="9" t="str">
        <v xml:space="preserve">Semarang                                </v>
      </c>
      <c r="P142" s="9" t="str">
        <v>Tidak</v>
      </c>
      <c r="Q142" s="9" t="str">
        <v>Tidak</v>
      </c>
      <c r="R142" s="9" t="str">
        <v>Done</v>
      </c>
      <c r="S142" s="9" t="str">
        <v>Pending Checker</v>
      </c>
      <c r="T142" s="9" t="str">
        <v>90186790 - Muhammad Alfin Farha</v>
      </c>
      <c r="U142" s="9" t="str">
        <v>"-"</v>
      </c>
      <c r="V142" s="10" t="str">
        <f>IF([1]STR!$V142 = "", "", [1]STR!$V142)</f>
        <v>Veronica Dwi Kurniasih</v>
      </c>
      <c r="W142" s="11">
        <v>46273</v>
      </c>
      <c r="X142" s="12" t="b">
        <f>[1]STR!$X142</f>
        <v>1</v>
      </c>
      <c r="Y142" t="str">
        <f>_xlfn.XLOOKUP(TRIM(B142), [4]STR!$2:$2,[4]STR!$44:$44, "")</f>
        <v/>
      </c>
    </row>
    <row r="143" spans="1:25">
      <c r="A143" s="9">
        <v>46265</v>
      </c>
      <c r="B143" s="9" t="str">
        <v xml:space="preserve">CV BARA PELITA KUDUS                    </v>
      </c>
      <c r="C143" s="9" t="str">
        <v>CS89661</v>
      </c>
      <c r="D143" s="9">
        <v>8101010705563</v>
      </c>
      <c r="E143" s="9" t="str">
        <v>SEDANG</v>
      </c>
      <c r="F143" s="9" t="str">
        <v>Tidak</v>
      </c>
      <c r="G143" s="9" t="str">
        <v>Tidak</v>
      </c>
      <c r="H143" s="9" t="str">
        <v>Tidak</v>
      </c>
      <c r="I143" s="9" t="str">
        <v>Perpajakan</v>
      </c>
      <c r="J143" s="9">
        <v>49</v>
      </c>
      <c r="K143" s="9">
        <v>41</v>
      </c>
      <c r="L143" s="9" t="str">
        <v>Perpajakan</v>
      </c>
      <c r="M143" s="9" t="str">
        <v xml:space="preserve">KC Salatiga                             </v>
      </c>
      <c r="N143" s="9" t="str">
        <v xml:space="preserve">KC Salatiga                             </v>
      </c>
      <c r="O143" s="9" t="str">
        <v xml:space="preserve">Semarang                                </v>
      </c>
      <c r="P143" s="9" t="str">
        <v>Tidak</v>
      </c>
      <c r="Q143" s="9" t="str">
        <v>Tidak</v>
      </c>
      <c r="R143" s="9" t="str">
        <v>Done</v>
      </c>
      <c r="S143" s="9" t="str">
        <v>Pending Checker</v>
      </c>
      <c r="T143" s="9" t="str">
        <v>90170665 - Mutiara Ayuningtyas</v>
      </c>
      <c r="U143" s="9" t="str">
        <v>"-"</v>
      </c>
      <c r="V143" s="10" t="str">
        <f>IF([1]STR!$V143 = "", "", [1]STR!$V143)</f>
        <v>Syamsul Arifianto</v>
      </c>
      <c r="W143" s="11">
        <v>46273</v>
      </c>
      <c r="X143" s="12" t="b">
        <f>[1]STR!$X143</f>
        <v>1</v>
      </c>
      <c r="Y143" t="str">
        <f>_xlfn.XLOOKUP(TRIM(B143), [4]STR!$2:$2,[4]STR!$44:$44, "")</f>
        <v/>
      </c>
    </row>
    <row r="144" spans="1:25">
      <c r="A144" s="9">
        <v>46265</v>
      </c>
      <c r="B144" s="9" t="str">
        <v xml:space="preserve">CV ANGKASA SETIA KUDUS                  </v>
      </c>
      <c r="C144" s="9" t="str">
        <v>CS89662</v>
      </c>
      <c r="D144" s="9">
        <v>8101010704567</v>
      </c>
      <c r="E144" s="9" t="str">
        <v>SEDANG</v>
      </c>
      <c r="F144" s="9" t="str">
        <v>Tidak</v>
      </c>
      <c r="G144" s="9" t="str">
        <v>Tidak</v>
      </c>
      <c r="H144" s="9" t="str">
        <v>Tidak</v>
      </c>
      <c r="I144" s="9" t="str">
        <v>Perpajakan</v>
      </c>
      <c r="J144" s="9">
        <v>48</v>
      </c>
      <c r="K144" s="9">
        <v>41</v>
      </c>
      <c r="L144" s="9" t="str">
        <v>Perpajakan</v>
      </c>
      <c r="M144" s="9" t="str">
        <v xml:space="preserve">KC Salatiga                             </v>
      </c>
      <c r="N144" s="9" t="str">
        <v xml:space="preserve">KC Salatiga                             </v>
      </c>
      <c r="O144" s="9" t="str">
        <v xml:space="preserve">Semarang                                </v>
      </c>
      <c r="P144" s="9" t="str">
        <v>Tidak</v>
      </c>
      <c r="Q144" s="9" t="str">
        <v>Tidak</v>
      </c>
      <c r="R144" s="9" t="str">
        <v>Done</v>
      </c>
      <c r="S144" s="9" t="str">
        <v>Pending Checker</v>
      </c>
      <c r="T144" s="9" t="str">
        <v>90171841 - Rifqi Aziz</v>
      </c>
      <c r="U144" s="9" t="str">
        <v>"-"</v>
      </c>
      <c r="V144" s="10" t="str">
        <f>IF([1]STR!$V144 = "", "", [1]STR!$V144)</f>
        <v>Syamsul Arifianto</v>
      </c>
      <c r="W144" s="11">
        <v>46272</v>
      </c>
      <c r="X144" s="12" t="b">
        <f>[1]STR!$X144</f>
        <v>1</v>
      </c>
      <c r="Y144" t="str">
        <f>_xlfn.XLOOKUP(TRIM(B144), [4]STR!$2:$2,[4]STR!$44:$44, "")</f>
        <v/>
      </c>
    </row>
    <row r="145" spans="1:25">
      <c r="A145" s="9">
        <v>46265</v>
      </c>
      <c r="B145" s="9" t="str">
        <v xml:space="preserve">CV MANDIRI TANGGUH KUDUS                </v>
      </c>
      <c r="C145" s="9" t="str">
        <v>CS89663</v>
      </c>
      <c r="D145" s="9">
        <v>8101010703561</v>
      </c>
      <c r="E145" s="9" t="str">
        <v>SEDANG</v>
      </c>
      <c r="F145" s="9" t="str">
        <v>Tidak</v>
      </c>
      <c r="G145" s="9" t="str">
        <v>Tidak</v>
      </c>
      <c r="H145" s="9" t="str">
        <v>Tidak</v>
      </c>
      <c r="I145" s="9" t="str">
        <v>Perpajakan</v>
      </c>
      <c r="J145" s="9">
        <v>48</v>
      </c>
      <c r="K145" s="9">
        <v>41</v>
      </c>
      <c r="L145" s="9" t="str">
        <v>Perpajakan</v>
      </c>
      <c r="M145" s="9" t="str">
        <v xml:space="preserve">KC Salatiga                             </v>
      </c>
      <c r="N145" s="9" t="str">
        <v xml:space="preserve">KC Salatiga                             </v>
      </c>
      <c r="O145" s="9" t="str">
        <v xml:space="preserve">Semarang                                </v>
      </c>
      <c r="P145" s="9" t="str">
        <v>Tidak</v>
      </c>
      <c r="Q145" s="9" t="str">
        <v>Tidak</v>
      </c>
      <c r="R145" s="9" t="str">
        <v>Done</v>
      </c>
      <c r="S145" s="9" t="str">
        <v>Pending Checker</v>
      </c>
      <c r="T145" s="9" t="str">
        <v>90185537 - Moh.Khoerul Fajar Ar</v>
      </c>
      <c r="U145" s="9" t="str">
        <v>"-"</v>
      </c>
      <c r="V145" s="10" t="str">
        <f>IF([1]STR!$V145 = "", "", [1]STR!$V145)</f>
        <v>Veronica Dwi Kurniasih</v>
      </c>
      <c r="W145" s="11">
        <v>46273</v>
      </c>
      <c r="X145" s="12" t="b">
        <f>[1]STR!$X145</f>
        <v>1</v>
      </c>
      <c r="Y145" t="str">
        <f>_xlfn.XLOOKUP(TRIM(B145), [4]STR!$2:$2,[4]STR!$44:$44, "")</f>
        <v/>
      </c>
    </row>
    <row r="146" spans="1:25">
      <c r="A146" s="9">
        <v>46265</v>
      </c>
      <c r="B146" s="9" t="str">
        <v xml:space="preserve">CV WIRAKARYA GRAHA KUDUS                </v>
      </c>
      <c r="C146" s="9" t="str">
        <v>CS89666</v>
      </c>
      <c r="D146" s="9">
        <v>8101010701569</v>
      </c>
      <c r="E146" s="9" t="str">
        <v>SEDANG</v>
      </c>
      <c r="F146" s="9" t="str">
        <v>Tidak</v>
      </c>
      <c r="G146" s="9" t="str">
        <v>Tidak</v>
      </c>
      <c r="H146" s="9" t="str">
        <v>Tidak</v>
      </c>
      <c r="I146" s="9" t="str">
        <v>Perpajakan</v>
      </c>
      <c r="J146" s="9">
        <v>48</v>
      </c>
      <c r="K146" s="9">
        <v>41</v>
      </c>
      <c r="L146" s="9" t="str">
        <v>Perpajakan</v>
      </c>
      <c r="M146" s="9" t="str">
        <v xml:space="preserve">KC Salatiga                             </v>
      </c>
      <c r="N146" s="9" t="str">
        <v xml:space="preserve">KC Salatiga                             </v>
      </c>
      <c r="O146" s="9" t="str">
        <v xml:space="preserve">Semarang                                </v>
      </c>
      <c r="P146" s="9" t="str">
        <v>Tidak</v>
      </c>
      <c r="Q146" s="9" t="str">
        <v>Tidak</v>
      </c>
      <c r="R146" s="9" t="str">
        <v>Done</v>
      </c>
      <c r="S146" s="9" t="str">
        <v>Pending Checker</v>
      </c>
      <c r="T146" s="9" t="str">
        <v>90185538 - Muhammad Fahikal Auz</v>
      </c>
      <c r="U146" s="9" t="str">
        <v>"-"</v>
      </c>
      <c r="V146" s="10" t="str">
        <f>IF([1]STR!$V146 = "", "", [1]STR!$V146)</f>
        <v>Veronica Dwi Kurniasih</v>
      </c>
      <c r="W146" s="11">
        <v>46273</v>
      </c>
      <c r="X146" s="12" t="b">
        <f>[1]STR!$X146</f>
        <v>1</v>
      </c>
      <c r="Y146" t="str">
        <f>_xlfn.XLOOKUP(TRIM(B146), [4]STR!$2:$2,[4]STR!$44:$44, "")</f>
        <v/>
      </c>
    </row>
    <row r="147" spans="1:25">
      <c r="A147" s="9">
        <v>46265</v>
      </c>
      <c r="B147" s="9" t="str">
        <v xml:space="preserve">CV WARNA GARUDA SURABAYA                </v>
      </c>
      <c r="C147" s="9" t="str">
        <v>CS89672</v>
      </c>
      <c r="D147" s="9">
        <v>8101010501561</v>
      </c>
      <c r="E147" s="9" t="str">
        <v>SEDANG</v>
      </c>
      <c r="F147" s="9" t="str">
        <v>Tidak</v>
      </c>
      <c r="G147" s="9" t="str">
        <v>Tidak</v>
      </c>
      <c r="H147" s="9" t="str">
        <v>Tidak</v>
      </c>
      <c r="I147" s="9" t="str">
        <v>Perpajakan</v>
      </c>
      <c r="J147" s="9">
        <v>48</v>
      </c>
      <c r="K147" s="9">
        <v>41</v>
      </c>
      <c r="L147" s="9" t="str">
        <v>Perpajakan</v>
      </c>
      <c r="M147" s="9" t="str">
        <v xml:space="preserve">KC Salatiga                             </v>
      </c>
      <c r="N147" s="9" t="str">
        <v xml:space="preserve">KC Salatiga                             </v>
      </c>
      <c r="O147" s="9" t="str">
        <v xml:space="preserve">Semarang                                </v>
      </c>
      <c r="P147" s="9" t="str">
        <v>Tidak</v>
      </c>
      <c r="Q147" s="9" t="str">
        <v>Tidak</v>
      </c>
      <c r="R147" s="9" t="str">
        <v>Done</v>
      </c>
      <c r="S147" s="9" t="str">
        <v>Pending Checker</v>
      </c>
      <c r="T147" s="9" t="str">
        <v>90171841 - Rifqi Aziz</v>
      </c>
      <c r="U147" s="9" t="str">
        <v>"-"</v>
      </c>
      <c r="V147" s="10" t="str">
        <f>IF([1]STR!$V147 = "", "", [1]STR!$V147)</f>
        <v>Veronica Dwi Kurniasih</v>
      </c>
      <c r="W147" s="11">
        <v>46271</v>
      </c>
      <c r="X147" s="12" t="b">
        <f>[1]STR!$X147</f>
        <v>1</v>
      </c>
      <c r="Y147" t="str">
        <f>_xlfn.XLOOKUP(TRIM(B147), [4]STR!$2:$2,[4]STR!$44:$44, "")</f>
        <v/>
      </c>
    </row>
    <row r="148" spans="1:25">
      <c r="A148" s="9">
        <v>46265</v>
      </c>
      <c r="B148" s="9" t="str">
        <v xml:space="preserve">CV MEGA TIARA SURABAYA                  </v>
      </c>
      <c r="C148" s="9" t="str">
        <v>CS89675</v>
      </c>
      <c r="D148" s="9">
        <v>8101010503563</v>
      </c>
      <c r="E148" s="9" t="str">
        <v>SEDANG</v>
      </c>
      <c r="F148" s="9" t="str">
        <v>Tidak</v>
      </c>
      <c r="G148" s="9" t="str">
        <v>Tidak</v>
      </c>
      <c r="H148" s="9" t="str">
        <v>Tidak</v>
      </c>
      <c r="I148" s="9" t="str">
        <v>Perpajakan</v>
      </c>
      <c r="J148" s="9">
        <v>48</v>
      </c>
      <c r="K148" s="9">
        <v>41</v>
      </c>
      <c r="L148" s="9" t="str">
        <v>Perpajakan</v>
      </c>
      <c r="M148" s="9" t="str">
        <v xml:space="preserve">KC Salatiga                             </v>
      </c>
      <c r="N148" s="9" t="str">
        <v xml:space="preserve">KC Salatiga                             </v>
      </c>
      <c r="O148" s="9" t="str">
        <v xml:space="preserve">Semarang                                </v>
      </c>
      <c r="P148" s="9" t="str">
        <v>Tidak</v>
      </c>
      <c r="Q148" s="9" t="str">
        <v>Tidak</v>
      </c>
      <c r="R148" s="9" t="str">
        <v>Done</v>
      </c>
      <c r="S148" s="9" t="str">
        <v>Pending Checker</v>
      </c>
      <c r="T148" s="9" t="str">
        <v>90170665 - Mutiara Ayuningtyas</v>
      </c>
      <c r="U148" s="9" t="str">
        <v>"-"</v>
      </c>
      <c r="V148" s="10" t="str">
        <f>IF([1]STR!$V148 = "", "", [1]STR!$V148)</f>
        <v>Syamsul Arifianto</v>
      </c>
      <c r="W148" s="11">
        <v>46273</v>
      </c>
      <c r="X148" s="12" t="b">
        <f>[1]STR!$X148</f>
        <v>1</v>
      </c>
      <c r="Y148" t="str">
        <f>_xlfn.XLOOKUP(TRIM(B148), [4]STR!$2:$2,[4]STR!$44:$44, "")</f>
        <v/>
      </c>
    </row>
    <row r="149" spans="1:25">
      <c r="A149" s="9">
        <v>46265</v>
      </c>
      <c r="B149" s="9" t="str">
        <v xml:space="preserve">CV ABADI SUKSES SURABAYA                </v>
      </c>
      <c r="C149" s="9" t="str">
        <v>CS89676</v>
      </c>
      <c r="D149" s="9">
        <v>8101010504569</v>
      </c>
      <c r="E149" s="9" t="str">
        <v>SEDANG</v>
      </c>
      <c r="F149" s="9" t="str">
        <v>Tidak</v>
      </c>
      <c r="G149" s="9" t="str">
        <v>Tidak</v>
      </c>
      <c r="H149" s="9" t="str">
        <v>Tidak</v>
      </c>
      <c r="I149" s="9" t="str">
        <v>Perpajakan</v>
      </c>
      <c r="J149" s="9">
        <v>48</v>
      </c>
      <c r="K149" s="9">
        <v>41</v>
      </c>
      <c r="L149" s="9" t="str">
        <v>Perpajakan</v>
      </c>
      <c r="M149" s="9" t="str">
        <v xml:space="preserve">KC Salatiga                             </v>
      </c>
      <c r="N149" s="9" t="str">
        <v xml:space="preserve">KC Salatiga                             </v>
      </c>
      <c r="O149" s="9" t="str">
        <v xml:space="preserve">Semarang                                </v>
      </c>
      <c r="P149" s="9" t="str">
        <v>Tidak</v>
      </c>
      <c r="Q149" s="9" t="str">
        <v>Tidak</v>
      </c>
      <c r="R149" s="9" t="str">
        <v>Done</v>
      </c>
      <c r="S149" s="9" t="str">
        <v>Pending Checker</v>
      </c>
      <c r="T149" s="9" t="str">
        <v>90150130 - Intan Aida Pratiwi</v>
      </c>
      <c r="U149" s="9" t="str">
        <v>"-"</v>
      </c>
      <c r="V149" s="10" t="str">
        <f>IF([1]STR!$V149 = "", "", [1]STR!$V149)</f>
        <v>Syamsul Arifianto</v>
      </c>
      <c r="W149" s="11">
        <v>46272</v>
      </c>
      <c r="X149" s="12" t="b">
        <f>[1]STR!$X149</f>
        <v>1</v>
      </c>
      <c r="Y149" t="str">
        <f>_xlfn.XLOOKUP(TRIM(B149), [4]STR!$2:$2,[4]STR!$44:$44, "")</f>
        <v/>
      </c>
    </row>
    <row r="150" spans="1:25">
      <c r="A150" s="9">
        <v>46265</v>
      </c>
      <c r="B150" s="9" t="str">
        <v xml:space="preserve">CV BENUA PELITA SURABAYA                </v>
      </c>
      <c r="C150" s="9" t="str">
        <v>CS89677</v>
      </c>
      <c r="D150" s="9">
        <v>8101010505565</v>
      </c>
      <c r="E150" s="9" t="str">
        <v>SEDANG</v>
      </c>
      <c r="F150" s="9" t="str">
        <v>Tidak</v>
      </c>
      <c r="G150" s="9" t="str">
        <v>Tidak</v>
      </c>
      <c r="H150" s="9" t="str">
        <v>Tidak</v>
      </c>
      <c r="I150" s="9" t="str">
        <v>Perpajakan</v>
      </c>
      <c r="J150" s="9">
        <v>53</v>
      </c>
      <c r="K150" s="9">
        <v>41</v>
      </c>
      <c r="L150" s="9" t="str">
        <v>Perpajakan</v>
      </c>
      <c r="M150" s="9" t="str">
        <v xml:space="preserve">KC Salatiga                             </v>
      </c>
      <c r="N150" s="9" t="str">
        <v xml:space="preserve">KC Salatiga                             </v>
      </c>
      <c r="O150" s="9" t="str">
        <v xml:space="preserve">Semarang                                </v>
      </c>
      <c r="P150" s="9" t="str">
        <v>Tidak</v>
      </c>
      <c r="Q150" s="9" t="str">
        <v>Tidak</v>
      </c>
      <c r="R150" s="9" t="str">
        <v>Done</v>
      </c>
      <c r="S150" s="9" t="str">
        <v>Pending Checker</v>
      </c>
      <c r="T150" s="9" t="str">
        <v>00394521 - Muhammad Hibbanduta</v>
      </c>
      <c r="U150" s="9" t="str">
        <v>"-"</v>
      </c>
      <c r="V150" s="10" t="str">
        <f>IF([1]STR!$V150 = "", "", [1]STR!$V150)</f>
        <v>Syamsul Arifianto</v>
      </c>
      <c r="W150" s="11">
        <v>46273</v>
      </c>
      <c r="X150" s="12" t="b">
        <f>[1]STR!$X150</f>
        <v>1</v>
      </c>
      <c r="Y150" t="str">
        <f>_xlfn.XLOOKUP(TRIM(B150), [4]STR!$2:$2,[4]STR!$44:$44, "")</f>
        <v/>
      </c>
    </row>
    <row r="151" spans="1:25">
      <c r="A151" s="9">
        <v>46265</v>
      </c>
      <c r="B151" s="9" t="str">
        <v xml:space="preserve">CV WIJAYA GEMA SIDOARJO                 </v>
      </c>
      <c r="C151" s="9" t="str">
        <v>CS90032</v>
      </c>
      <c r="D151" s="9">
        <v>8101010601565</v>
      </c>
      <c r="E151" s="9" t="str">
        <v>SEDANG</v>
      </c>
      <c r="F151" s="9" t="str">
        <v>Tidak</v>
      </c>
      <c r="G151" s="9" t="str">
        <v>Tidak</v>
      </c>
      <c r="H151" s="9" t="str">
        <v>Tidak</v>
      </c>
      <c r="I151" s="9" t="str">
        <v>Perpajakan</v>
      </c>
      <c r="J151" s="9">
        <v>48</v>
      </c>
      <c r="K151" s="9">
        <v>41</v>
      </c>
      <c r="L151" s="9" t="str">
        <v>Perpajakan</v>
      </c>
      <c r="M151" s="9" t="str">
        <v xml:space="preserve">KC Salatiga                             </v>
      </c>
      <c r="N151" s="9" t="str">
        <v xml:space="preserve">KC Salatiga                             </v>
      </c>
      <c r="O151" s="9" t="str">
        <v xml:space="preserve">Semarang                                </v>
      </c>
      <c r="P151" s="9" t="str">
        <v>Tidak</v>
      </c>
      <c r="Q151" s="9" t="str">
        <v>Tidak</v>
      </c>
      <c r="R151" s="9" t="str">
        <v>Done</v>
      </c>
      <c r="S151" s="9" t="str">
        <v>Pending Checker</v>
      </c>
      <c r="T151" s="9" t="str">
        <v>00394520 - Frida Akbar Rani</v>
      </c>
      <c r="U151" s="9" t="str">
        <v>"-"</v>
      </c>
      <c r="V151" s="10" t="str">
        <f>IF([1]STR!$V151 = "", "", [1]STR!$V151)</f>
        <v>Veronica Dwi Kurniasih</v>
      </c>
      <c r="W151" s="11">
        <v>46271</v>
      </c>
      <c r="X151" s="12" t="b">
        <f>[1]STR!$X151</f>
        <v>1</v>
      </c>
      <c r="Y151" t="str">
        <f>_xlfn.XLOOKUP(TRIM(B151), [4]STR!$2:$2,[4]STR!$44:$44, "")</f>
        <v/>
      </c>
    </row>
    <row r="152" spans="1:25">
      <c r="A152" s="9">
        <v>46265</v>
      </c>
      <c r="B152" s="9" t="str">
        <v xml:space="preserve">CV ARTAJAYA SUMBER PURWOKERTO           </v>
      </c>
      <c r="C152" s="9" t="str">
        <v>CS90033</v>
      </c>
      <c r="D152" s="9">
        <v>8101010304561</v>
      </c>
      <c r="E152" s="9" t="str">
        <v>SEDANG</v>
      </c>
      <c r="F152" s="9" t="str">
        <v>Tidak</v>
      </c>
      <c r="G152" s="9" t="str">
        <v>Tidak</v>
      </c>
      <c r="H152" s="9" t="str">
        <v>Tidak</v>
      </c>
      <c r="I152" s="9" t="str">
        <v>Perpajakan</v>
      </c>
      <c r="J152" s="9">
        <v>48</v>
      </c>
      <c r="K152" s="9">
        <v>41</v>
      </c>
      <c r="L152" s="9" t="str">
        <v>Perpajakan</v>
      </c>
      <c r="M152" s="9" t="str">
        <v xml:space="preserve">KC Salatiga                             </v>
      </c>
      <c r="N152" s="9" t="str">
        <v xml:space="preserve">KC Salatiga                             </v>
      </c>
      <c r="O152" s="9" t="str">
        <v xml:space="preserve">Semarang                                </v>
      </c>
      <c r="P152" s="9" t="str">
        <v>Tidak</v>
      </c>
      <c r="Q152" s="9" t="str">
        <v>Tidak</v>
      </c>
      <c r="R152" s="9" t="str">
        <v>Done</v>
      </c>
      <c r="S152" s="9" t="str">
        <v>Pending Checker</v>
      </c>
      <c r="T152" s="9" t="str">
        <v>90171841 - Rifqi Aziz</v>
      </c>
      <c r="U152" s="9" t="str">
        <v>"-"</v>
      </c>
      <c r="V152" s="10" t="str">
        <f>IF([1]STR!$V152 = "", "", [1]STR!$V152)</f>
        <v>Syamsul Arifianto</v>
      </c>
      <c r="W152" s="11">
        <v>46272</v>
      </c>
      <c r="X152" s="12" t="b">
        <f>[1]STR!$X152</f>
        <v>1</v>
      </c>
      <c r="Y152" t="str">
        <f>_xlfn.XLOOKUP(TRIM(B152), [4]STR!$2:$2,[4]STR!$44:$44, "")</f>
        <v/>
      </c>
    </row>
    <row r="153" spans="1:25">
      <c r="A153" s="9">
        <v>46265</v>
      </c>
      <c r="B153" s="9" t="str">
        <v xml:space="preserve">CV MAKMUR TIRTA PURWOKERTO              </v>
      </c>
      <c r="C153" s="9" t="str">
        <v>CS90034</v>
      </c>
      <c r="D153" s="9">
        <v>8101010303565</v>
      </c>
      <c r="E153" s="9" t="str">
        <v>SEDANG</v>
      </c>
      <c r="F153" s="9" t="str">
        <v>Tidak</v>
      </c>
      <c r="G153" s="9" t="str">
        <v>Tidak</v>
      </c>
      <c r="H153" s="9" t="str">
        <v>Tidak</v>
      </c>
      <c r="I153" s="9" t="str">
        <v>Perpajakan</v>
      </c>
      <c r="J153" s="9">
        <v>48</v>
      </c>
      <c r="K153" s="9">
        <v>41</v>
      </c>
      <c r="L153" s="9" t="str">
        <v>Perpajakan</v>
      </c>
      <c r="M153" s="9" t="str">
        <v xml:space="preserve">KC Salatiga                             </v>
      </c>
      <c r="N153" s="9" t="str">
        <v xml:space="preserve">KC Salatiga                             </v>
      </c>
      <c r="O153" s="9" t="str">
        <v xml:space="preserve">Semarang                                </v>
      </c>
      <c r="P153" s="9" t="str">
        <v>Tidak</v>
      </c>
      <c r="Q153" s="9" t="str">
        <v>Tidak</v>
      </c>
      <c r="R153" s="9" t="str">
        <v>Done</v>
      </c>
      <c r="S153" s="9" t="str">
        <v>Pending Checker</v>
      </c>
      <c r="T153" s="9" t="str">
        <v>90185537 - Moh.Khoerul Fajar Ar</v>
      </c>
      <c r="U153" s="9" t="str">
        <v>"-"</v>
      </c>
      <c r="V153" s="10" t="str">
        <f>IF([1]STR!$V153 = "", "", [1]STR!$V153)</f>
        <v>Veronica Dwi Kurniasih</v>
      </c>
      <c r="W153" s="11">
        <v>46273</v>
      </c>
      <c r="X153" s="12" t="b">
        <f>[1]STR!$X153</f>
        <v>1</v>
      </c>
      <c r="Y153" t="str">
        <f>_xlfn.XLOOKUP(TRIM(B153), [4]STR!$2:$2,[4]STR!$44:$44, "")</f>
        <v/>
      </c>
    </row>
    <row r="154" spans="1:25">
      <c r="A154" s="9">
        <v>46265</v>
      </c>
      <c r="B154" s="9" t="str">
        <v xml:space="preserve">CV BHINEKA REJEKI PURWOKERTO            </v>
      </c>
      <c r="C154" s="9" t="str">
        <v>CS90036</v>
      </c>
      <c r="D154" s="9">
        <v>8101010302569</v>
      </c>
      <c r="E154" s="9" t="str">
        <v>SEDANG</v>
      </c>
      <c r="F154" s="9" t="str">
        <v>Tidak</v>
      </c>
      <c r="G154" s="9" t="str">
        <v>Tidak</v>
      </c>
      <c r="H154" s="9" t="str">
        <v>Tidak</v>
      </c>
      <c r="I154" s="9" t="str">
        <v>Perpajakan</v>
      </c>
      <c r="J154" s="9">
        <v>48</v>
      </c>
      <c r="K154" s="9">
        <v>41</v>
      </c>
      <c r="L154" s="9" t="str">
        <v>Perpajakan</v>
      </c>
      <c r="M154" s="9" t="str">
        <v xml:space="preserve">KC Salatiga                             </v>
      </c>
      <c r="N154" s="9" t="str">
        <v xml:space="preserve">KC Salatiga                             </v>
      </c>
      <c r="O154" s="9" t="str">
        <v xml:space="preserve">Semarang                                </v>
      </c>
      <c r="P154" s="9" t="str">
        <v>Tidak</v>
      </c>
      <c r="Q154" s="9" t="str">
        <v>Tidak</v>
      </c>
      <c r="R154" s="9" t="str">
        <v>Done</v>
      </c>
      <c r="S154" s="9" t="str">
        <v>Pending Checker</v>
      </c>
      <c r="T154" s="9" t="str">
        <v>90186790 - Muhammad Alfin Farha</v>
      </c>
      <c r="U154" s="9" t="str">
        <v>"-"</v>
      </c>
      <c r="V154" s="10" t="str">
        <f>IF([1]STR!$V154 = "", "", [1]STR!$V154)</f>
        <v>Syamsul Arifianto</v>
      </c>
      <c r="W154" s="11">
        <v>46273</v>
      </c>
      <c r="X154" s="12" t="b">
        <f>[1]STR!$X154</f>
        <v>1</v>
      </c>
      <c r="Y154" t="str">
        <f>_xlfn.XLOOKUP(TRIM(B154), [4]STR!$2:$2,[4]STR!$44:$44, "")</f>
        <v/>
      </c>
    </row>
    <row r="155" spans="1:25">
      <c r="A155" s="9">
        <v>46265</v>
      </c>
      <c r="B155" s="9" t="str">
        <v xml:space="preserve">CV MULTIKARYA TEGUH SIDOARJO            </v>
      </c>
      <c r="C155" s="9" t="str">
        <v>CS90038</v>
      </c>
      <c r="D155" s="9">
        <v>8101010603567</v>
      </c>
      <c r="E155" s="9" t="str">
        <v>SEDANG</v>
      </c>
      <c r="F155" s="9" t="str">
        <v>Tidak</v>
      </c>
      <c r="G155" s="9" t="str">
        <v>Tidak</v>
      </c>
      <c r="H155" s="9" t="str">
        <v>Tidak</v>
      </c>
      <c r="I155" s="9" t="str">
        <v>Perpajakan</v>
      </c>
      <c r="J155" s="9">
        <v>48</v>
      </c>
      <c r="K155" s="9">
        <v>41</v>
      </c>
      <c r="L155" s="9" t="str">
        <v>Perpajakan</v>
      </c>
      <c r="M155" s="9" t="str">
        <v xml:space="preserve">KC Salatiga                             </v>
      </c>
      <c r="N155" s="9" t="str">
        <v xml:space="preserve">KC Salatiga                             </v>
      </c>
      <c r="O155" s="9" t="str">
        <v xml:space="preserve">Semarang                                </v>
      </c>
      <c r="P155" s="9" t="str">
        <v>Tidak</v>
      </c>
      <c r="Q155" s="9" t="str">
        <v>Tidak</v>
      </c>
      <c r="R155" s="9" t="str">
        <v>Done</v>
      </c>
      <c r="S155" s="9" t="str">
        <v>Pending Checker</v>
      </c>
      <c r="T155" s="9" t="str">
        <v>00336949 - Mochammad Al Farabi</v>
      </c>
      <c r="U155" s="9" t="str">
        <v>"-"</v>
      </c>
      <c r="V155" s="10" t="str">
        <f>IF([1]STR!$V155 = "", "", [1]STR!$V155)</f>
        <v>Veronica Dwi Kurniasih</v>
      </c>
      <c r="W155" s="11">
        <v>46273</v>
      </c>
      <c r="X155" s="12" t="b">
        <f>[1]STR!$X155</f>
        <v>1</v>
      </c>
      <c r="Y155" t="str">
        <f>_xlfn.XLOOKUP(TRIM(B155), [4]STR!$2:$2,[4]STR!$44:$44, "")</f>
        <v/>
      </c>
    </row>
    <row r="156" spans="1:25">
      <c r="A156" s="9">
        <v>46265</v>
      </c>
      <c r="B156" s="9" t="str">
        <v xml:space="preserve">CV WIGUNA GELORA PURWOKERTO             </v>
      </c>
      <c r="C156" s="9" t="str">
        <v>CS90039</v>
      </c>
      <c r="D156" s="9">
        <v>8101010301563</v>
      </c>
      <c r="E156" s="9" t="str">
        <v>SEDANG</v>
      </c>
      <c r="F156" s="9" t="str">
        <v>Tidak</v>
      </c>
      <c r="G156" s="9" t="str">
        <v>Tidak</v>
      </c>
      <c r="H156" s="9" t="str">
        <v>Tidak</v>
      </c>
      <c r="I156" s="9" t="str">
        <v>Perpajakan</v>
      </c>
      <c r="J156" s="9">
        <v>48</v>
      </c>
      <c r="K156" s="9">
        <v>41</v>
      </c>
      <c r="L156" s="9" t="str">
        <v>Perpajakan</v>
      </c>
      <c r="M156" s="9" t="str">
        <v xml:space="preserve">KC Salatiga                             </v>
      </c>
      <c r="N156" s="9" t="str">
        <v xml:space="preserve">KC Salatiga                             </v>
      </c>
      <c r="O156" s="9" t="str">
        <v xml:space="preserve">Semarang                                </v>
      </c>
      <c r="P156" s="9" t="str">
        <v>Tidak</v>
      </c>
      <c r="Q156" s="9" t="str">
        <v>Tidak</v>
      </c>
      <c r="R156" s="9" t="str">
        <v>Done</v>
      </c>
      <c r="S156" s="9" t="str">
        <v>Pending Checker</v>
      </c>
      <c r="T156" s="9" t="str">
        <v>90186796 - Devito Arya Wiradila</v>
      </c>
      <c r="U156" s="9" t="str">
        <v>"-"</v>
      </c>
      <c r="V156" s="10" t="str">
        <f>IF([1]STR!$V156 = "", "", [1]STR!$V156)</f>
        <v>Veronica Dwi Kurniasih</v>
      </c>
      <c r="W156" s="11">
        <v>46271</v>
      </c>
      <c r="X156" s="12" t="b">
        <f>[1]STR!$X156</f>
        <v>1</v>
      </c>
      <c r="Y156" t="str">
        <f>_xlfn.XLOOKUP(TRIM(B156), [4]STR!$2:$2,[4]STR!$44:$44, "")</f>
        <v/>
      </c>
    </row>
    <row r="157" spans="1:25">
      <c r="A157" s="9">
        <v>46265</v>
      </c>
      <c r="B157" s="9" t="str">
        <v xml:space="preserve">CV ABDI SEJAHTERA SIDOARJO              </v>
      </c>
      <c r="C157" s="9" t="str">
        <v>CS90040</v>
      </c>
      <c r="D157" s="9">
        <v>8101010604563</v>
      </c>
      <c r="E157" s="9" t="str">
        <v>SEDANG</v>
      </c>
      <c r="F157" s="9" t="str">
        <v>Tidak</v>
      </c>
      <c r="G157" s="9" t="str">
        <v>Tidak</v>
      </c>
      <c r="H157" s="9" t="str">
        <v>Tidak</v>
      </c>
      <c r="I157" s="9" t="str">
        <v>Perpajakan</v>
      </c>
      <c r="J157" s="9">
        <v>48</v>
      </c>
      <c r="K157" s="9">
        <v>41</v>
      </c>
      <c r="L157" s="9" t="str">
        <v>Perpajakan</v>
      </c>
      <c r="M157" s="9" t="str">
        <v xml:space="preserve">KC Salatiga                             </v>
      </c>
      <c r="N157" s="9" t="str">
        <v xml:space="preserve">KC Salatiga                             </v>
      </c>
      <c r="O157" s="9" t="str">
        <v xml:space="preserve">Semarang                                </v>
      </c>
      <c r="P157" s="9" t="str">
        <v>Tidak</v>
      </c>
      <c r="Q157" s="9" t="str">
        <v>Tidak</v>
      </c>
      <c r="R157" s="9" t="str">
        <v>Done</v>
      </c>
      <c r="S157" s="9" t="str">
        <v>Pending Checker</v>
      </c>
      <c r="T157" s="9" t="str">
        <v>90186796 - Devito Arya Wiradila</v>
      </c>
      <c r="U157" s="9" t="str">
        <v>"-"</v>
      </c>
      <c r="V157" s="10" t="str">
        <f>IF([1]STR!$V157 = "", "", [1]STR!$V157)</f>
        <v>Syamsul Arifianto</v>
      </c>
      <c r="W157" s="11">
        <v>46272</v>
      </c>
      <c r="X157" s="12" t="b">
        <f>[1]STR!$X157</f>
        <v>1</v>
      </c>
      <c r="Y157" t="str">
        <f>_xlfn.XLOOKUP(TRIM(B157), [4]STR!$2:$2,[4]STR!$44:$44, "")</f>
        <v/>
      </c>
    </row>
    <row r="158" spans="1:25">
      <c r="A158" s="9">
        <v>46265</v>
      </c>
      <c r="B158" s="9" t="str">
        <v xml:space="preserve">CV BENUA PELITA SIDOARJO                </v>
      </c>
      <c r="C158" s="9" t="str">
        <v>CS90041</v>
      </c>
      <c r="D158" s="9">
        <v>8101010605569</v>
      </c>
      <c r="E158" s="9" t="str">
        <v>SEDANG</v>
      </c>
      <c r="F158" s="9" t="str">
        <v>Tidak</v>
      </c>
      <c r="G158" s="9" t="str">
        <v>Tidak</v>
      </c>
      <c r="H158" s="9" t="str">
        <v>Tidak</v>
      </c>
      <c r="I158" s="9" t="str">
        <v>Perpajakan</v>
      </c>
      <c r="J158" s="9">
        <v>53</v>
      </c>
      <c r="K158" s="9">
        <v>41</v>
      </c>
      <c r="L158" s="9" t="str">
        <v>Perpajakan</v>
      </c>
      <c r="M158" s="9" t="str">
        <v xml:space="preserve">KC Salatiga                             </v>
      </c>
      <c r="N158" s="9" t="str">
        <v xml:space="preserve">KC Salatiga                             </v>
      </c>
      <c r="O158" s="9" t="str">
        <v xml:space="preserve">Semarang                                </v>
      </c>
      <c r="P158" s="9" t="str">
        <v>Tidak</v>
      </c>
      <c r="Q158" s="9" t="str">
        <v>Tidak</v>
      </c>
      <c r="R158" s="9" t="str">
        <v>Done</v>
      </c>
      <c r="S158" s="9" t="str">
        <v>Pending Checker</v>
      </c>
      <c r="T158" s="9" t="str">
        <v>90186790 - Muhammad Alfin Farha</v>
      </c>
      <c r="U158" s="9" t="str">
        <v>"-"</v>
      </c>
      <c r="V158" s="10" t="str">
        <f>IF([1]STR!$V158 = "", "", [1]STR!$V158)</f>
        <v>Syamsul Arifianto</v>
      </c>
      <c r="W158" s="11">
        <v>46273</v>
      </c>
      <c r="X158" s="12" t="b">
        <f>[1]STR!$X158</f>
        <v>1</v>
      </c>
      <c r="Y158" t="str">
        <f>_xlfn.XLOOKUP(TRIM(B158), [4]STR!$2:$2,[4]STR!$44:$44, "")</f>
        <v/>
      </c>
    </row>
    <row r="159" spans="1:25">
      <c r="A159" s="9">
        <v>46265</v>
      </c>
      <c r="B159" s="9" t="str">
        <v xml:space="preserve">CV  ANUGERAH SENTOSA SEMARANG           </v>
      </c>
      <c r="C159" s="9" t="str">
        <v>CS90355</v>
      </c>
      <c r="D159" s="9">
        <v>8101010204567</v>
      </c>
      <c r="E159" s="9" t="str">
        <v>SEDANG</v>
      </c>
      <c r="F159" s="9" t="str">
        <v>Tidak</v>
      </c>
      <c r="G159" s="9" t="str">
        <v>Tidak</v>
      </c>
      <c r="H159" s="9" t="str">
        <v>Tidak</v>
      </c>
      <c r="I159" s="9" t="str">
        <v>Perpajakan</v>
      </c>
      <c r="J159" s="9">
        <v>48</v>
      </c>
      <c r="K159" s="9">
        <v>41</v>
      </c>
      <c r="L159" s="9" t="str">
        <v>Perpajakan</v>
      </c>
      <c r="M159" s="9" t="str">
        <v xml:space="preserve">KC Salatiga                             </v>
      </c>
      <c r="N159" s="9" t="str">
        <v xml:space="preserve">KC Salatiga                             </v>
      </c>
      <c r="O159" s="9" t="str">
        <v xml:space="preserve">Semarang                                </v>
      </c>
      <c r="P159" s="9" t="str">
        <v>Tidak</v>
      </c>
      <c r="Q159" s="9" t="str">
        <v>Tidak</v>
      </c>
      <c r="R159" s="9" t="str">
        <v>Done</v>
      </c>
      <c r="S159" s="9" t="str">
        <v>Pending Checker</v>
      </c>
      <c r="T159" s="9" t="str">
        <v>00336949 - Mochammad Al Farabi</v>
      </c>
      <c r="U159" s="9" t="str">
        <v>"-"</v>
      </c>
      <c r="V159" s="10" t="str">
        <f>IF([1]STR!$V159 = "", "", [1]STR!$V159)</f>
        <v>Syamsul Arifianto</v>
      </c>
      <c r="W159" s="11">
        <v>46272</v>
      </c>
      <c r="X159" s="12" t="b">
        <f>[1]STR!$X159</f>
        <v>1</v>
      </c>
      <c r="Y159" t="str">
        <f>_xlfn.XLOOKUP(TRIM(B159), [4]STR!$2:$2,[4]STR!$44:$44, "")</f>
        <v/>
      </c>
    </row>
    <row r="160" spans="1:25">
      <c r="A160" s="9">
        <v>46265</v>
      </c>
      <c r="B160" s="9" t="str">
        <v xml:space="preserve">CV  ANGKASA PELANGI MALANG              </v>
      </c>
      <c r="C160" s="9" t="str">
        <v>CS90356</v>
      </c>
      <c r="D160" s="9">
        <v>8101010807569</v>
      </c>
      <c r="E160" s="9" t="str">
        <v>SEDANG</v>
      </c>
      <c r="F160" s="9" t="str">
        <v>Tidak</v>
      </c>
      <c r="G160" s="9" t="str">
        <v>Tidak</v>
      </c>
      <c r="H160" s="9" t="str">
        <v>Tidak</v>
      </c>
      <c r="I160" s="9" t="str">
        <v>Perpajakan</v>
      </c>
      <c r="J160" s="9">
        <v>49</v>
      </c>
      <c r="K160" s="9">
        <v>41</v>
      </c>
      <c r="L160" s="9" t="str">
        <v>Perpajakan</v>
      </c>
      <c r="M160" s="9" t="str">
        <v xml:space="preserve">KC Salatiga                             </v>
      </c>
      <c r="N160" s="9" t="str">
        <v xml:space="preserve">KC Salatiga                             </v>
      </c>
      <c r="O160" s="9" t="str">
        <v xml:space="preserve">Semarang                                </v>
      </c>
      <c r="P160" s="9" t="str">
        <v>Tidak</v>
      </c>
      <c r="Q160" s="9" t="str">
        <v>Tidak</v>
      </c>
      <c r="R160" s="9" t="str">
        <v>Done</v>
      </c>
      <c r="S160" s="9" t="str">
        <v>Pending Checker</v>
      </c>
      <c r="T160" s="9" t="str">
        <v>00394520 - Frida Akbar Rani</v>
      </c>
      <c r="U160" s="9" t="str">
        <v>"-"</v>
      </c>
      <c r="V160" s="10" t="str">
        <f>IF([1]STR!$V160 = "", "", [1]STR!$V160)</f>
        <v>Syamsul Arifianto</v>
      </c>
      <c r="W160" s="11">
        <v>46272</v>
      </c>
      <c r="X160" s="12" t="b">
        <f>[1]STR!$X160</f>
        <v>1</v>
      </c>
      <c r="Y160" t="str">
        <f>_xlfn.XLOOKUP(TRIM(B160), [4]STR!$2:$2,[4]STR!$44:$44, "")</f>
        <v/>
      </c>
    </row>
    <row r="161" spans="1:25">
      <c r="A161" s="9">
        <v>46265</v>
      </c>
      <c r="B161" s="9" t="str">
        <v xml:space="preserve">CV AGUNG SINERGI SALATIGA               </v>
      </c>
      <c r="C161" s="9" t="str">
        <v>CW94292</v>
      </c>
      <c r="D161" s="9">
        <v>8101010110564</v>
      </c>
      <c r="E161" s="9">
        <v>0</v>
      </c>
      <c r="F161" s="9" t="str">
        <v>Tidak</v>
      </c>
      <c r="G161" s="9" t="str">
        <v>Tidak</v>
      </c>
      <c r="H161" s="9" t="str">
        <v>Tidak</v>
      </c>
      <c r="I161" s="9" t="str">
        <v>Perpajakan</v>
      </c>
      <c r="J161" s="9">
        <v>36</v>
      </c>
      <c r="K161" s="9">
        <v>41</v>
      </c>
      <c r="L161" s="9" t="str">
        <v>Perpajakan</v>
      </c>
      <c r="M161" s="9" t="str">
        <v xml:space="preserve">KC Salatiga                             </v>
      </c>
      <c r="N161" s="9" t="str">
        <v xml:space="preserve">KC Salatiga                             </v>
      </c>
      <c r="O161" s="9" t="str">
        <v xml:space="preserve">Semarang                                </v>
      </c>
      <c r="P161" s="9" t="str">
        <v>Tidak</v>
      </c>
      <c r="Q161" s="9" t="str">
        <v>Tidak</v>
      </c>
      <c r="R161" s="9" t="str">
        <v>Done</v>
      </c>
      <c r="S161" s="9" t="str">
        <v>Pending Checker</v>
      </c>
      <c r="T161" s="9" t="str">
        <v>90185537 - Moh.Khoerul Fajar Ar</v>
      </c>
      <c r="U161" s="9" t="str">
        <v>"-"</v>
      </c>
      <c r="V161" s="10" t="str">
        <f>IF([1]STR!$V161 = "", "", [1]STR!$V161)</f>
        <v>Syamsul Arifianto</v>
      </c>
      <c r="W161" s="11">
        <v>46272</v>
      </c>
      <c r="X161" s="12" t="b">
        <f>[1]STR!$X161</f>
        <v>1</v>
      </c>
      <c r="Y161" t="str">
        <f>_xlfn.XLOOKUP(TRIM(B161), [4]STR!$2:$2,[4]STR!$44:$44, "")</f>
        <v/>
      </c>
    </row>
    <row r="162" spans="1:25">
      <c r="A162" s="9">
        <v>46265</v>
      </c>
      <c r="B162" s="9" t="str">
        <v xml:space="preserve">CV GEMILANG MURNI SALATIGA              </v>
      </c>
      <c r="C162" s="9" t="str">
        <v>CW94293</v>
      </c>
      <c r="D162" s="9">
        <v>8101010111560</v>
      </c>
      <c r="E162" s="9">
        <v>0</v>
      </c>
      <c r="F162" s="9" t="str">
        <v>Tidak</v>
      </c>
      <c r="G162" s="9" t="str">
        <v>Tidak</v>
      </c>
      <c r="H162" s="9" t="str">
        <v>Tidak</v>
      </c>
      <c r="I162" s="9" t="str">
        <v>Perpajakan</v>
      </c>
      <c r="J162" s="9">
        <v>34</v>
      </c>
      <c r="K162" s="9">
        <v>41</v>
      </c>
      <c r="L162" s="9" t="str">
        <v>Perpajakan</v>
      </c>
      <c r="M162" s="9" t="str">
        <v xml:space="preserve">KC Salatiga                             </v>
      </c>
      <c r="N162" s="9" t="str">
        <v xml:space="preserve">KC Salatiga                             </v>
      </c>
      <c r="O162" s="9" t="str">
        <v xml:space="preserve">Semarang                                </v>
      </c>
      <c r="P162" s="9" t="str">
        <v>Tidak</v>
      </c>
      <c r="Q162" s="9" t="str">
        <v>Tidak</v>
      </c>
      <c r="R162" s="9" t="str">
        <v>Done</v>
      </c>
      <c r="S162" s="9" t="str">
        <v>Pending Checker</v>
      </c>
      <c r="T162" s="9" t="str">
        <v>90185538 - Muhammad Fahikal Auz</v>
      </c>
      <c r="U162" s="9" t="str">
        <v>"-"</v>
      </c>
      <c r="V162" s="10" t="str">
        <f>IF([1]STR!$V162 = "", "", [1]STR!$V162)</f>
        <v>Syamsul Arifianto</v>
      </c>
      <c r="W162" s="11">
        <v>46273</v>
      </c>
      <c r="X162" s="12" t="b">
        <f>[1]STR!$X162</f>
        <v>1</v>
      </c>
      <c r="Y162" t="str">
        <f>_xlfn.XLOOKUP(TRIM(B162), [4]STR!$2:$2,[4]STR!$44:$44, "")</f>
        <v/>
      </c>
    </row>
    <row r="163" spans="1:25">
      <c r="A163" s="9">
        <v>46265</v>
      </c>
      <c r="B163" s="9" t="str">
        <v xml:space="preserve">CV GENERASI PUSAKA SALATIGA             </v>
      </c>
      <c r="C163" s="9" t="str">
        <v>CW94323</v>
      </c>
      <c r="D163" s="9">
        <v>8101010112566</v>
      </c>
      <c r="E163" s="9">
        <v>0</v>
      </c>
      <c r="F163" s="9" t="str">
        <v>Tidak</v>
      </c>
      <c r="G163" s="9" t="str">
        <v>Tidak</v>
      </c>
      <c r="H163" s="9" t="str">
        <v>Tidak</v>
      </c>
      <c r="I163" s="9" t="str">
        <v>Perpajakan</v>
      </c>
      <c r="J163" s="9">
        <v>34</v>
      </c>
      <c r="K163" s="9">
        <v>41</v>
      </c>
      <c r="L163" s="9" t="str">
        <v>Perpajakan</v>
      </c>
      <c r="M163" s="9" t="str">
        <v xml:space="preserve">KC Salatiga                             </v>
      </c>
      <c r="N163" s="9" t="str">
        <v xml:space="preserve">KC Salatiga                             </v>
      </c>
      <c r="O163" s="9" t="str">
        <v xml:space="preserve">Semarang                                </v>
      </c>
      <c r="P163" s="9" t="str">
        <v>Tidak</v>
      </c>
      <c r="Q163" s="9" t="str">
        <v>Tidak</v>
      </c>
      <c r="R163" s="9" t="str">
        <v>Done</v>
      </c>
      <c r="S163" s="9" t="str">
        <v>Pending Checker</v>
      </c>
      <c r="T163" s="9" t="str">
        <v>90186790 - Muhammad Alfin Farha</v>
      </c>
      <c r="U163" s="9" t="str">
        <v>"-"</v>
      </c>
      <c r="V163" s="10" t="str">
        <f>IF([1]STR!$V163 = "", "", [1]STR!$V163)</f>
        <v>Syamsul Arifianto</v>
      </c>
      <c r="W163" s="11">
        <v>46273</v>
      </c>
      <c r="X163" s="12" t="b">
        <f>[1]STR!$X163</f>
        <v>1</v>
      </c>
      <c r="Y163" t="str">
        <f>_xlfn.XLOOKUP(TRIM(B163), [4]STR!$2:$2,[4]STR!$44:$44, "")</f>
        <v/>
      </c>
    </row>
    <row r="164" spans="1:25">
      <c r="A164" s="9">
        <v>46265</v>
      </c>
      <c r="B164" s="9" t="str">
        <v xml:space="preserve">CV MUARA TRADISI SALATIGA               </v>
      </c>
      <c r="C164" s="9" t="str">
        <v>CW94324</v>
      </c>
      <c r="D164" s="9">
        <v>8101010113562</v>
      </c>
      <c r="E164" s="9">
        <v>0</v>
      </c>
      <c r="F164" s="9" t="str">
        <v>Tidak</v>
      </c>
      <c r="G164" s="9" t="str">
        <v>Tidak</v>
      </c>
      <c r="H164" s="9" t="str">
        <v>Tidak</v>
      </c>
      <c r="I164" s="9" t="str">
        <v>Perpajakan</v>
      </c>
      <c r="J164" s="9">
        <v>38</v>
      </c>
      <c r="K164" s="9">
        <v>41</v>
      </c>
      <c r="L164" s="9" t="str">
        <v>Perpajakan</v>
      </c>
      <c r="M164" s="9" t="str">
        <v xml:space="preserve">KC Salatiga                             </v>
      </c>
      <c r="N164" s="9" t="str">
        <v xml:space="preserve">KC Salatiga                             </v>
      </c>
      <c r="O164" s="9" t="str">
        <v xml:space="preserve">Semarang                                </v>
      </c>
      <c r="P164" s="9" t="str">
        <v>Tidak</v>
      </c>
      <c r="Q164" s="9" t="str">
        <v>Tidak</v>
      </c>
      <c r="R164" s="9" t="str">
        <v>Done</v>
      </c>
      <c r="S164" s="9" t="str">
        <v>Pending Checker</v>
      </c>
      <c r="T164" s="9" t="str">
        <v>90186796 - Devito Arya Wiradila</v>
      </c>
      <c r="U164" s="9" t="str">
        <v>"-"</v>
      </c>
      <c r="V164" s="10" t="str">
        <f>IF([1]STR!$V164 = "", "", [1]STR!$V164)</f>
        <v>Veronica Dwi Kurniasih</v>
      </c>
      <c r="W164" s="11">
        <v>46273</v>
      </c>
      <c r="X164" s="12" t="b">
        <f>[1]STR!$X164</f>
        <v>1</v>
      </c>
      <c r="Y164" t="str">
        <f>_xlfn.XLOOKUP(TRIM(B164), [4]STR!$2:$2,[4]STR!$44:$44, "")</f>
        <v/>
      </c>
    </row>
    <row r="165" spans="1:25">
      <c r="A165" s="9">
        <v>46265</v>
      </c>
      <c r="B165" s="9" t="str">
        <v xml:space="preserve">CV AGUNG SINERGI SEMARANG               </v>
      </c>
      <c r="C165" s="9" t="str">
        <v>CW94326</v>
      </c>
      <c r="D165" s="9">
        <v>8101010213566</v>
      </c>
      <c r="E165" s="9">
        <v>0</v>
      </c>
      <c r="F165" s="9" t="str">
        <v>Tidak</v>
      </c>
      <c r="G165" s="9" t="str">
        <v>Tidak</v>
      </c>
      <c r="H165" s="9" t="str">
        <v>Tidak</v>
      </c>
      <c r="I165" s="9" t="str">
        <v>Perpajakan</v>
      </c>
      <c r="J165" s="9">
        <v>38</v>
      </c>
      <c r="K165" s="9">
        <v>41</v>
      </c>
      <c r="L165" s="9" t="str">
        <v>Perpajakan</v>
      </c>
      <c r="M165" s="9" t="str">
        <v xml:space="preserve">KC Salatiga                             </v>
      </c>
      <c r="N165" s="9" t="str">
        <v xml:space="preserve">KC Salatiga                             </v>
      </c>
      <c r="O165" s="9" t="str">
        <v xml:space="preserve">Semarang                                </v>
      </c>
      <c r="P165" s="9" t="str">
        <v>Tidak</v>
      </c>
      <c r="Q165" s="9" t="str">
        <v>Tidak</v>
      </c>
      <c r="R165" s="9" t="str">
        <v>Done</v>
      </c>
      <c r="S165" s="9" t="str">
        <v>Pending Checker</v>
      </c>
      <c r="T165" s="9" t="str">
        <v>90185537 - Moh.Khoerul Fajar Ar</v>
      </c>
      <c r="U165" s="9" t="str">
        <v>"-"</v>
      </c>
      <c r="V165" s="10" t="str">
        <f>IF([1]STR!$V165 = "", "", [1]STR!$V165)</f>
        <v>Syamsul Arifianto</v>
      </c>
      <c r="W165" s="11">
        <v>46272</v>
      </c>
      <c r="X165" s="12" t="b">
        <f>[1]STR!$X165</f>
        <v>1</v>
      </c>
      <c r="Y165" t="str">
        <f>_xlfn.XLOOKUP(TRIM(B165), [4]STR!$2:$2,[4]STR!$44:$44, "")</f>
        <v/>
      </c>
    </row>
    <row r="166" spans="1:25">
      <c r="A166" s="9">
        <v>46265</v>
      </c>
      <c r="B166" s="9" t="str">
        <v xml:space="preserve">CV WARISAN GEMILANG SALATIGA            </v>
      </c>
      <c r="C166" s="9" t="str">
        <v>CW94353</v>
      </c>
      <c r="D166" s="9">
        <v>8101010114568</v>
      </c>
      <c r="E166" s="9">
        <v>0</v>
      </c>
      <c r="F166" s="9" t="str">
        <v>Tidak</v>
      </c>
      <c r="G166" s="9" t="str">
        <v>Tidak</v>
      </c>
      <c r="H166" s="9" t="str">
        <v>Tidak</v>
      </c>
      <c r="I166" s="9" t="str">
        <v>Perpajakan</v>
      </c>
      <c r="J166" s="9">
        <v>35</v>
      </c>
      <c r="K166" s="9">
        <v>41</v>
      </c>
      <c r="L166" s="9" t="str">
        <v>Perpajakan</v>
      </c>
      <c r="M166" s="9" t="str">
        <v xml:space="preserve">KC Salatiga                             </v>
      </c>
      <c r="N166" s="9" t="str">
        <v xml:space="preserve">KC Salatiga                             </v>
      </c>
      <c r="O166" s="9" t="str">
        <v xml:space="preserve">Semarang                                </v>
      </c>
      <c r="P166" s="9" t="str">
        <v>Tidak</v>
      </c>
      <c r="Q166" s="9" t="str">
        <v>Tidak</v>
      </c>
      <c r="R166" s="9" t="str">
        <v>Done</v>
      </c>
      <c r="S166" s="9" t="str">
        <v>Pending Checker</v>
      </c>
      <c r="T166" s="9" t="str">
        <v>00336949 - Mochammad Al Farabi</v>
      </c>
      <c r="U166" s="9" t="str">
        <v>"-"</v>
      </c>
      <c r="V166" s="10" t="str">
        <f>IF([1]STR!$V166 = "", "", [1]STR!$V166)</f>
        <v>Veronica Dwi Kurniasih</v>
      </c>
      <c r="W166" s="11">
        <v>46269</v>
      </c>
      <c r="X166" s="12" t="b">
        <f>[1]STR!$X166</f>
        <v>1</v>
      </c>
      <c r="Y166" t="str">
        <f>_xlfn.XLOOKUP(TRIM(B166), [4]STR!$2:$2,[4]STR!$44:$44, "")</f>
        <v/>
      </c>
    </row>
    <row r="167" spans="1:25">
      <c r="A167" s="9">
        <v>46265</v>
      </c>
      <c r="B167" s="9" t="str">
        <v xml:space="preserve">CV ANGKASA PRATAMA SEMARANG             </v>
      </c>
      <c r="C167" s="9" t="str">
        <v>CW94724</v>
      </c>
      <c r="D167" s="9">
        <v>8101010214562</v>
      </c>
      <c r="E167" s="9">
        <v>0</v>
      </c>
      <c r="F167" s="9" t="str">
        <v>Tidak</v>
      </c>
      <c r="G167" s="9" t="str">
        <v>Tidak</v>
      </c>
      <c r="H167" s="9" t="str">
        <v>Tidak</v>
      </c>
      <c r="I167" s="9" t="str">
        <v>Perpajakan</v>
      </c>
      <c r="J167" s="9">
        <v>34</v>
      </c>
      <c r="K167" s="9">
        <v>41</v>
      </c>
      <c r="L167" s="9" t="str">
        <v>Perpajakan</v>
      </c>
      <c r="M167" s="9" t="str">
        <v xml:space="preserve">KC Salatiga                             </v>
      </c>
      <c r="N167" s="9" t="str">
        <v xml:space="preserve">KC Salatiga                             </v>
      </c>
      <c r="O167" s="9" t="str">
        <v xml:space="preserve">Semarang                                </v>
      </c>
      <c r="P167" s="9" t="str">
        <v>Tidak</v>
      </c>
      <c r="Q167" s="9" t="str">
        <v>Tidak</v>
      </c>
      <c r="R167" s="9" t="str">
        <v>Done</v>
      </c>
      <c r="S167" s="9" t="str">
        <v>Pending Checker</v>
      </c>
      <c r="T167" s="9" t="str">
        <v>00394520 - Frida Akbar Rani</v>
      </c>
      <c r="U167" s="9" t="str">
        <v>"-"</v>
      </c>
      <c r="V167" s="10" t="str">
        <f>IF([1]STR!$V167 = "", "", [1]STR!$V167)</f>
        <v>Syamsul Arifianto</v>
      </c>
      <c r="W167" s="11">
        <v>46272</v>
      </c>
      <c r="X167" s="12" t="b">
        <f>[1]STR!$X167</f>
        <v>1</v>
      </c>
      <c r="Y167" t="str">
        <f>_xlfn.XLOOKUP(TRIM(B167), [4]STR!$2:$2,[4]STR!$44:$44, "")</f>
        <v/>
      </c>
    </row>
    <row r="168" spans="1:25">
      <c r="A168" s="9">
        <v>46265</v>
      </c>
      <c r="B168" s="9" t="str">
        <v xml:space="preserve">CV BARA PARIPURNA SEMARANG              </v>
      </c>
      <c r="C168" s="9" t="str">
        <v>CW94816</v>
      </c>
      <c r="D168" s="9">
        <v>8101010215568</v>
      </c>
      <c r="E168" s="9">
        <v>0</v>
      </c>
      <c r="F168" s="9" t="str">
        <v>Tidak</v>
      </c>
      <c r="G168" s="9" t="str">
        <v>Tidak</v>
      </c>
      <c r="H168" s="9" t="str">
        <v>Tidak</v>
      </c>
      <c r="I168" s="9" t="str">
        <v>Perpajakan</v>
      </c>
      <c r="J168" s="9">
        <v>34</v>
      </c>
      <c r="K168" s="9">
        <v>41</v>
      </c>
      <c r="L168" s="9" t="str">
        <v>Perpajakan</v>
      </c>
      <c r="M168" s="9" t="str">
        <v xml:space="preserve">KC Salatiga                             </v>
      </c>
      <c r="N168" s="9" t="str">
        <v xml:space="preserve">KC Salatiga                             </v>
      </c>
      <c r="O168" s="9" t="str">
        <v xml:space="preserve">Semarang                                </v>
      </c>
      <c r="P168" s="9" t="str">
        <v>Tidak</v>
      </c>
      <c r="Q168" s="9" t="str">
        <v>Tidak</v>
      </c>
      <c r="R168" s="9" t="str">
        <v>Done</v>
      </c>
      <c r="S168" s="9" t="str">
        <v>Pending Checker</v>
      </c>
      <c r="T168" s="9" t="str">
        <v>00394521 - Muhammad Hibbanduta</v>
      </c>
      <c r="U168" s="9" t="str">
        <v>"-"</v>
      </c>
      <c r="V168" s="10" t="str">
        <f>IF([1]STR!$V168 = "", "", [1]STR!$V168)</f>
        <v>Syamsul Arifianto</v>
      </c>
      <c r="W168" s="11">
        <v>46273</v>
      </c>
      <c r="X168" s="12" t="b">
        <f>[1]STR!$X168</f>
        <v>1</v>
      </c>
      <c r="Y168" t="str">
        <f>_xlfn.XLOOKUP(TRIM(B168), [4]STR!$2:$2,[4]STR!$44:$44, "")</f>
        <v/>
      </c>
    </row>
    <row r="169" spans="1:25">
      <c r="A169" s="9">
        <v>46265</v>
      </c>
      <c r="B169" s="9" t="str">
        <v xml:space="preserve">CV MUARA TRADISI SEMARANG               </v>
      </c>
      <c r="C169" s="9" t="str">
        <v>CW95074</v>
      </c>
      <c r="D169" s="9">
        <v>8101010216564</v>
      </c>
      <c r="E169" s="9">
        <v>0</v>
      </c>
      <c r="F169" s="9" t="str">
        <v>Tidak</v>
      </c>
      <c r="G169" s="9" t="str">
        <v>Tidak</v>
      </c>
      <c r="H169" s="9" t="str">
        <v>Tidak</v>
      </c>
      <c r="I169" s="9" t="str">
        <v>Perpajakan</v>
      </c>
      <c r="J169" s="9">
        <v>34</v>
      </c>
      <c r="K169" s="9">
        <v>41</v>
      </c>
      <c r="L169" s="9" t="str">
        <v>Perpajakan</v>
      </c>
      <c r="M169" s="9" t="str">
        <v xml:space="preserve">KC Salatiga                             </v>
      </c>
      <c r="N169" s="9" t="str">
        <v xml:space="preserve">KC Salatiga                             </v>
      </c>
      <c r="O169" s="9" t="str">
        <v xml:space="preserve">Semarang                                </v>
      </c>
      <c r="P169" s="9" t="str">
        <v>Tidak</v>
      </c>
      <c r="Q169" s="9" t="str">
        <v>Tidak</v>
      </c>
      <c r="R169" s="9" t="str">
        <v>Done</v>
      </c>
      <c r="S169" s="9" t="str">
        <v>Pending Checker</v>
      </c>
      <c r="T169" s="9" t="str">
        <v>90185538 - Muhammad Fahikal Auz</v>
      </c>
      <c r="U169" s="9" t="str">
        <v>"-"</v>
      </c>
      <c r="V169" s="10" t="str">
        <f>IF([1]STR!$V169 = "", "", [1]STR!$V169)</f>
        <v>Veronica Dwi Kurniasih</v>
      </c>
      <c r="W169" s="11">
        <v>46273</v>
      </c>
      <c r="X169" s="12" t="b">
        <f>[1]STR!$X169</f>
        <v>1</v>
      </c>
      <c r="Y169" t="str">
        <f>_xlfn.XLOOKUP(TRIM(B169), [4]STR!$2:$2,[4]STR!$44:$44, "")</f>
        <v/>
      </c>
    </row>
    <row r="170" spans="1:25">
      <c r="A170" s="9">
        <v>46265</v>
      </c>
      <c r="B170" s="9" t="str">
        <v xml:space="preserve">CV MULTI PUSAKA SEMARANG                </v>
      </c>
      <c r="C170" s="9" t="str">
        <v>CW95103</v>
      </c>
      <c r="D170" s="9">
        <v>8101010217560</v>
      </c>
      <c r="E170" s="9">
        <v>0</v>
      </c>
      <c r="F170" s="9" t="str">
        <v>Tidak</v>
      </c>
      <c r="G170" s="9" t="str">
        <v>Tidak</v>
      </c>
      <c r="H170" s="9" t="str">
        <v>Tidak</v>
      </c>
      <c r="I170" s="9" t="str">
        <v>Perpajakan</v>
      </c>
      <c r="J170" s="9">
        <v>38</v>
      </c>
      <c r="K170" s="9">
        <v>41</v>
      </c>
      <c r="L170" s="9" t="str">
        <v>Perpajakan</v>
      </c>
      <c r="M170" s="9" t="str">
        <v xml:space="preserve">KC Salatiga                             </v>
      </c>
      <c r="N170" s="9" t="str">
        <v xml:space="preserve">KC Salatiga                             </v>
      </c>
      <c r="O170" s="9" t="str">
        <v xml:space="preserve">Semarang                                </v>
      </c>
      <c r="P170" s="9" t="str">
        <v>Tidak</v>
      </c>
      <c r="Q170" s="9" t="str">
        <v>Tidak</v>
      </c>
      <c r="R170" s="9" t="str">
        <v>Done</v>
      </c>
      <c r="S170" s="9" t="str">
        <v>Pending Checker</v>
      </c>
      <c r="T170" s="9" t="str">
        <v>90150130 - Intan Aida Pratiwi</v>
      </c>
      <c r="U170" s="9" t="str">
        <v>"-"</v>
      </c>
      <c r="V170" s="10" t="str">
        <f>IF([1]STR!$V170 = "", "", [1]STR!$V170)</f>
        <v>Veronica Dwi Kurniasih</v>
      </c>
      <c r="W170" s="11">
        <v>46266</v>
      </c>
      <c r="X170" s="12" t="b">
        <f>[1]STR!$X170</f>
        <v>1</v>
      </c>
      <c r="Y170" t="str">
        <f>_xlfn.XLOOKUP(TRIM(B170), [4]STR!$2:$2,[4]STR!$44:$44, "")</f>
        <v/>
      </c>
    </row>
    <row r="171" spans="1:25">
      <c r="A171" s="9">
        <v>46265</v>
      </c>
      <c r="B171" s="9" t="str">
        <v xml:space="preserve">CV WARISAN GEMILANG SEMARANG            </v>
      </c>
      <c r="C171" s="9" t="str">
        <v>CW95118</v>
      </c>
      <c r="D171" s="9">
        <v>8101010218566</v>
      </c>
      <c r="E171" s="9">
        <v>0</v>
      </c>
      <c r="F171" s="9" t="str">
        <v>Tidak</v>
      </c>
      <c r="G171" s="9" t="str">
        <v>Tidak</v>
      </c>
      <c r="H171" s="9" t="str">
        <v>Tidak</v>
      </c>
      <c r="I171" s="9" t="str">
        <v>Perpajakan</v>
      </c>
      <c r="J171" s="9">
        <v>35</v>
      </c>
      <c r="K171" s="9">
        <v>41</v>
      </c>
      <c r="L171" s="9" t="str">
        <v>Perpajakan</v>
      </c>
      <c r="M171" s="9" t="str">
        <v xml:space="preserve">KC Salatiga                             </v>
      </c>
      <c r="N171" s="9" t="str">
        <v xml:space="preserve">KC Salatiga                             </v>
      </c>
      <c r="O171" s="9" t="str">
        <v xml:space="preserve">Semarang                                </v>
      </c>
      <c r="P171" s="9" t="str">
        <v>Tidak</v>
      </c>
      <c r="Q171" s="9" t="str">
        <v>Tidak</v>
      </c>
      <c r="R171" s="9" t="str">
        <v>Done</v>
      </c>
      <c r="S171" s="9" t="str">
        <v>Pending Checker</v>
      </c>
      <c r="T171" s="9" t="str">
        <v>90171841 - Rifqi Aziz</v>
      </c>
      <c r="U171" s="9" t="str">
        <v>"-"</v>
      </c>
      <c r="V171" s="10" t="str">
        <f>IF([1]STR!$V171 = "", "", [1]STR!$V171)</f>
        <v>Veronica Dwi Kurniasih</v>
      </c>
      <c r="W171" s="11">
        <v>46269</v>
      </c>
      <c r="X171" s="12" t="b">
        <f>[1]STR!$X171</f>
        <v>1</v>
      </c>
      <c r="Y171" t="str">
        <f>_xlfn.XLOOKUP(TRIM(B171), [4]STR!$2:$2,[4]STR!$44:$44, "")</f>
        <v/>
      </c>
    </row>
    <row r="172" spans="1:25">
      <c r="A172" s="9">
        <v>46265</v>
      </c>
      <c r="B172" s="9" t="str">
        <v xml:space="preserve">CV AGUNG SINERGI MAGELANG               </v>
      </c>
      <c r="C172" s="9" t="str">
        <v>CW95133</v>
      </c>
      <c r="D172" s="9">
        <v>8101010412568</v>
      </c>
      <c r="E172" s="9">
        <v>0</v>
      </c>
      <c r="F172" s="9" t="str">
        <v>Tidak</v>
      </c>
      <c r="G172" s="9" t="str">
        <v>Tidak</v>
      </c>
      <c r="H172" s="9" t="str">
        <v>Tidak</v>
      </c>
      <c r="I172" s="9" t="str">
        <v>Perpajakan</v>
      </c>
      <c r="J172" s="9">
        <v>36</v>
      </c>
      <c r="K172" s="9">
        <v>41</v>
      </c>
      <c r="L172" s="9" t="str">
        <v>Perpajakan</v>
      </c>
      <c r="M172" s="9" t="str">
        <v xml:space="preserve">KC Salatiga                             </v>
      </c>
      <c r="N172" s="9" t="str">
        <v xml:space="preserve">KC Salatiga                             </v>
      </c>
      <c r="O172" s="9" t="str">
        <v xml:space="preserve">Semarang                                </v>
      </c>
      <c r="P172" s="9" t="str">
        <v>Tidak</v>
      </c>
      <c r="Q172" s="9" t="str">
        <v>Tidak</v>
      </c>
      <c r="R172" s="9" t="str">
        <v>Done</v>
      </c>
      <c r="S172" s="9" t="str">
        <v>Pending Checker</v>
      </c>
      <c r="T172" s="9" t="str">
        <v>00336949 - Mochammad Al Farabi</v>
      </c>
      <c r="U172" s="9" t="str">
        <v>"-"</v>
      </c>
      <c r="V172" s="10" t="str">
        <f>IF([1]STR!$V172 = "", "", [1]STR!$V172)</f>
        <v>Syamsul Arifianto</v>
      </c>
      <c r="W172" s="11">
        <v>46272</v>
      </c>
      <c r="X172" s="12" t="b">
        <f>[1]STR!$X172</f>
        <v>1</v>
      </c>
      <c r="Y172" t="str">
        <f>_xlfn.XLOOKUP(TRIM(B172), [4]STR!$2:$2,[4]STR!$44:$44, "")</f>
        <v/>
      </c>
    </row>
    <row r="173" spans="1:25">
      <c r="A173" s="9">
        <v>46265</v>
      </c>
      <c r="B173" s="9" t="str">
        <v xml:space="preserve">CV ANGKASA PELANGI MAGELANG             </v>
      </c>
      <c r="C173" s="9" t="str">
        <v>CW98518</v>
      </c>
      <c r="D173" s="9">
        <v>8101010408569</v>
      </c>
      <c r="E173" s="9">
        <v>0</v>
      </c>
      <c r="F173" s="9" t="str">
        <v>Tidak</v>
      </c>
      <c r="G173" s="9" t="str">
        <v>Tidak</v>
      </c>
      <c r="H173" s="9" t="str">
        <v>Tidak</v>
      </c>
      <c r="I173" s="9" t="str">
        <v>Perpajakan</v>
      </c>
      <c r="J173" s="9">
        <v>36</v>
      </c>
      <c r="K173" s="9">
        <v>41</v>
      </c>
      <c r="L173" s="9" t="str">
        <v>Perpajakan</v>
      </c>
      <c r="M173" s="9" t="str">
        <v xml:space="preserve">KC Salatiga                             </v>
      </c>
      <c r="N173" s="9" t="str">
        <v xml:space="preserve">KC Salatiga                             </v>
      </c>
      <c r="O173" s="9" t="str">
        <v xml:space="preserve">Semarang                                </v>
      </c>
      <c r="P173" s="9" t="str">
        <v>Tidak</v>
      </c>
      <c r="Q173" s="9" t="str">
        <v>Tidak</v>
      </c>
      <c r="R173" s="9" t="str">
        <v>Done</v>
      </c>
      <c r="S173" s="9" t="str">
        <v>Pending Checker</v>
      </c>
      <c r="T173" s="9" t="str">
        <v>90186796 - Devito Arya Wiradila</v>
      </c>
      <c r="U173" s="9" t="str">
        <v>"-"</v>
      </c>
      <c r="V173" s="10" t="str">
        <f>IF([1]STR!$V173 = "", "", [1]STR!$V173)</f>
        <v>Syamsul Arifianto</v>
      </c>
      <c r="W173" s="11">
        <v>46272</v>
      </c>
      <c r="X173" s="12" t="b">
        <f>[1]STR!$X173</f>
        <v>1</v>
      </c>
      <c r="Y173" t="str">
        <f>_xlfn.XLOOKUP(TRIM(B173), [4]STR!$2:$2,[4]STR!$44:$44, "")</f>
        <v/>
      </c>
    </row>
    <row r="174" spans="1:25">
      <c r="A174" s="9">
        <v>46265</v>
      </c>
      <c r="B174" s="9" t="str">
        <v xml:space="preserve">CV MUARA TRADISI MAGELANG               </v>
      </c>
      <c r="C174" s="9" t="str">
        <v>CW98519</v>
      </c>
      <c r="D174" s="9">
        <v>8101010409565</v>
      </c>
      <c r="E174" s="9">
        <v>0</v>
      </c>
      <c r="F174" s="9" t="str">
        <v>Tidak</v>
      </c>
      <c r="G174" s="9" t="str">
        <v>Tidak</v>
      </c>
      <c r="H174" s="9" t="str">
        <v>Tidak</v>
      </c>
      <c r="I174" s="9" t="str">
        <v>Perpajakan</v>
      </c>
      <c r="J174" s="9">
        <v>38</v>
      </c>
      <c r="K174" s="9">
        <v>41</v>
      </c>
      <c r="L174" s="9" t="str">
        <v>Perpajakan</v>
      </c>
      <c r="M174" s="9" t="str">
        <v xml:space="preserve">KC Salatiga                             </v>
      </c>
      <c r="N174" s="9" t="str">
        <v xml:space="preserve">KC Salatiga                             </v>
      </c>
      <c r="O174" s="9" t="str">
        <v xml:space="preserve">Semarang                                </v>
      </c>
      <c r="P174" s="9" t="str">
        <v>Tidak</v>
      </c>
      <c r="Q174" s="9" t="str">
        <v>Tidak</v>
      </c>
      <c r="R174" s="9" t="str">
        <v>Done</v>
      </c>
      <c r="S174" s="9" t="str">
        <v>Pending Checker</v>
      </c>
      <c r="T174" s="9" t="str">
        <v>90186790 - Muhammad Alfin Farha</v>
      </c>
      <c r="U174" s="9" t="str">
        <v>"-"</v>
      </c>
      <c r="V174" s="10" t="str">
        <f>IF([1]STR!$V174 = "", "", [1]STR!$V174)</f>
        <v>Veronica Dwi Kurniasih</v>
      </c>
      <c r="W174" s="11">
        <v>46274</v>
      </c>
      <c r="X174" s="12" t="b">
        <f>[1]STR!$X174</f>
        <v>1</v>
      </c>
      <c r="Y174" t="str">
        <f>_xlfn.XLOOKUP(TRIM(B174), [4]STR!$2:$2,[4]STR!$44:$44, "")</f>
        <v/>
      </c>
    </row>
    <row r="175" spans="1:25">
      <c r="A175" s="9">
        <v>46265</v>
      </c>
      <c r="B175" s="9" t="str">
        <v xml:space="preserve">CV MULTI PESONA MAGELANG                </v>
      </c>
      <c r="C175" s="9" t="str">
        <v>CW98538</v>
      </c>
      <c r="D175" s="9">
        <v>8101010410566</v>
      </c>
      <c r="E175" s="9">
        <v>0</v>
      </c>
      <c r="F175" s="9" t="str">
        <v>Tidak</v>
      </c>
      <c r="G175" s="9" t="str">
        <v>Tidak</v>
      </c>
      <c r="H175" s="9" t="str">
        <v>Tidak</v>
      </c>
      <c r="I175" s="9" t="str">
        <v>Perpajakan</v>
      </c>
      <c r="J175" s="9">
        <v>36</v>
      </c>
      <c r="K175" s="9">
        <v>41</v>
      </c>
      <c r="L175" s="9" t="str">
        <v>Perpajakan</v>
      </c>
      <c r="M175" s="9" t="str">
        <v xml:space="preserve">KC Salatiga                             </v>
      </c>
      <c r="N175" s="9" t="str">
        <v xml:space="preserve">KC Salatiga                             </v>
      </c>
      <c r="O175" s="9" t="str">
        <v xml:space="preserve">Semarang                                </v>
      </c>
      <c r="P175" s="9" t="str">
        <v>Tidak</v>
      </c>
      <c r="Q175" s="9" t="str">
        <v>Tidak</v>
      </c>
      <c r="R175" s="9" t="str">
        <v>Done</v>
      </c>
      <c r="S175" s="9" t="str">
        <v>Pending Checker</v>
      </c>
      <c r="T175" s="9" t="str">
        <v>90186796 - Devito Arya Wiradila</v>
      </c>
      <c r="U175" s="9" t="str">
        <v>"-"</v>
      </c>
      <c r="V175" s="10" t="str">
        <f>IF([1]STR!$V175 = "", "", [1]STR!$V175)</f>
        <v>Veronica Dwi Kurniasih</v>
      </c>
      <c r="W175" s="11">
        <v>46273</v>
      </c>
      <c r="X175" s="12" t="b">
        <f>[1]STR!$X175</f>
        <v>1</v>
      </c>
      <c r="Y175" t="str">
        <f>_xlfn.XLOOKUP(TRIM(B175), [4]STR!$2:$2,[4]STR!$44:$44, "")</f>
        <v/>
      </c>
    </row>
    <row r="176" spans="1:25">
      <c r="A176" s="9">
        <v>46265</v>
      </c>
      <c r="B176" s="9" t="str">
        <v xml:space="preserve">CV WARISAN GEMILANG MAGELANG            </v>
      </c>
      <c r="C176" s="9" t="str">
        <v>CW98557</v>
      </c>
      <c r="D176" s="9">
        <v>8101010411562</v>
      </c>
      <c r="E176" s="9">
        <v>0</v>
      </c>
      <c r="F176" s="9" t="str">
        <v>Tidak</v>
      </c>
      <c r="G176" s="9" t="str">
        <v>Tidak</v>
      </c>
      <c r="H176" s="9" t="str">
        <v>Tidak</v>
      </c>
      <c r="I176" s="9" t="str">
        <v>Perpajakan</v>
      </c>
      <c r="J176" s="9">
        <v>34</v>
      </c>
      <c r="K176" s="9">
        <v>41</v>
      </c>
      <c r="L176" s="9" t="str">
        <v>Perpajakan</v>
      </c>
      <c r="M176" s="9" t="str">
        <v xml:space="preserve">KC Salatiga                             </v>
      </c>
      <c r="N176" s="9" t="str">
        <v xml:space="preserve">KC Salatiga                             </v>
      </c>
      <c r="O176" s="9" t="str">
        <v xml:space="preserve">Semarang                                </v>
      </c>
      <c r="P176" s="9" t="str">
        <v>Tidak</v>
      </c>
      <c r="Q176" s="9" t="str">
        <v>Tidak</v>
      </c>
      <c r="R176" s="9" t="str">
        <v>Done</v>
      </c>
      <c r="S176" s="9" t="str">
        <v>Pending Checker</v>
      </c>
      <c r="T176" s="9" t="str">
        <v>90185537 - Moh.Khoerul Fajar Ar</v>
      </c>
      <c r="U176" s="9" t="str">
        <v>"-"</v>
      </c>
      <c r="V176" s="10" t="str">
        <f>IF([1]STR!$V176 = "", "", [1]STR!$V176)</f>
        <v>Veronica Dwi Kurniasih</v>
      </c>
      <c r="W176" s="11">
        <v>46271</v>
      </c>
      <c r="X176" s="12" t="b">
        <f>[1]STR!$X176</f>
        <v>1</v>
      </c>
      <c r="Y176" t="str">
        <f>_xlfn.XLOOKUP(TRIM(B176), [4]STR!$2:$2,[4]STR!$44:$44, "")</f>
        <v/>
      </c>
    </row>
    <row r="177" spans="1:25">
      <c r="A177" s="9">
        <v>46265</v>
      </c>
      <c r="B177" s="9" t="str">
        <v xml:space="preserve">CV AGUNG SINERGI KUDUS                  </v>
      </c>
      <c r="C177" s="9" t="str">
        <v>CW98559</v>
      </c>
      <c r="D177" s="9">
        <v>8101010709567</v>
      </c>
      <c r="E177" s="9">
        <v>0</v>
      </c>
      <c r="F177" s="9" t="str">
        <v>Tidak</v>
      </c>
      <c r="G177" s="9" t="str">
        <v>Tidak</v>
      </c>
      <c r="H177" s="9" t="str">
        <v>Tidak</v>
      </c>
      <c r="I177" s="9" t="str">
        <v>Perpajakan</v>
      </c>
      <c r="J177" s="9">
        <v>36</v>
      </c>
      <c r="K177" s="9">
        <v>41</v>
      </c>
      <c r="L177" s="9" t="str">
        <v>Perpajakan</v>
      </c>
      <c r="M177" s="9" t="str">
        <v xml:space="preserve">KC Salatiga                             </v>
      </c>
      <c r="N177" s="9" t="str">
        <v xml:space="preserve">KC Salatiga                             </v>
      </c>
      <c r="O177" s="9" t="str">
        <v xml:space="preserve">Semarang                                </v>
      </c>
      <c r="P177" s="9" t="str">
        <v>Tidak</v>
      </c>
      <c r="Q177" s="9" t="str">
        <v>Tidak</v>
      </c>
      <c r="R177" s="9" t="str">
        <v>Done</v>
      </c>
      <c r="S177" s="9" t="str">
        <v>Pending Checker</v>
      </c>
      <c r="T177" s="9" t="str">
        <v>00336949 - Mochammad Al Farabi</v>
      </c>
      <c r="U177" s="9" t="str">
        <v>"-"</v>
      </c>
      <c r="V177" s="10" t="str">
        <f>IF([1]STR!$V177 = "", "", [1]STR!$V177)</f>
        <v>Syamsul Arifianto</v>
      </c>
      <c r="W177" s="11">
        <v>46272</v>
      </c>
      <c r="X177" s="12" t="b">
        <f>[1]STR!$X177</f>
        <v>1</v>
      </c>
      <c r="Y177" t="str">
        <f>_xlfn.XLOOKUP(TRIM(B177), [4]STR!$2:$2,[4]STR!$44:$44, "")</f>
        <v/>
      </c>
    </row>
    <row r="178" spans="1:25">
      <c r="A178" s="9">
        <v>46265</v>
      </c>
      <c r="B178" s="9" t="str">
        <v xml:space="preserve">CV MUARA TRADISI KUDUS                  </v>
      </c>
      <c r="C178" s="9" t="str">
        <v>CW98560</v>
      </c>
      <c r="D178" s="9">
        <v>8101010710568</v>
      </c>
      <c r="E178" s="9">
        <v>0</v>
      </c>
      <c r="F178" s="9" t="str">
        <v>Tidak</v>
      </c>
      <c r="G178" s="9" t="str">
        <v>Tidak</v>
      </c>
      <c r="H178" s="9" t="str">
        <v>Tidak</v>
      </c>
      <c r="I178" s="9" t="str">
        <v>Perpajakan</v>
      </c>
      <c r="J178" s="9">
        <v>36</v>
      </c>
      <c r="K178" s="9">
        <v>41</v>
      </c>
      <c r="L178" s="9" t="str">
        <v>Perpajakan</v>
      </c>
      <c r="M178" s="9" t="str">
        <v xml:space="preserve">KC Salatiga                             </v>
      </c>
      <c r="N178" s="9" t="str">
        <v xml:space="preserve">KC Salatiga                             </v>
      </c>
      <c r="O178" s="9" t="str">
        <v xml:space="preserve">Semarang                                </v>
      </c>
      <c r="P178" s="9" t="str">
        <v>Tidak</v>
      </c>
      <c r="Q178" s="9" t="str">
        <v>Tidak</v>
      </c>
      <c r="R178" s="9" t="str">
        <v>Done</v>
      </c>
      <c r="S178" s="9" t="str">
        <v>Pending Checker</v>
      </c>
      <c r="T178" s="9" t="str">
        <v>90185538 - Muhammad Fahikal Auz</v>
      </c>
      <c r="U178" s="9" t="str">
        <v>"-"</v>
      </c>
      <c r="V178" s="10" t="str">
        <f>IF([1]STR!$V178 = "", "", [1]STR!$V178)</f>
        <v>Veronica Dwi Kurniasih</v>
      </c>
      <c r="W178" s="11">
        <v>46273</v>
      </c>
      <c r="X178" s="12" t="b">
        <f>[1]STR!$X178</f>
        <v>1</v>
      </c>
      <c r="Y178" t="str">
        <f>_xlfn.XLOOKUP(TRIM(B178), [4]STR!$2:$2,[4]STR!$44:$44, "")</f>
        <v/>
      </c>
    </row>
    <row r="179" spans="1:25">
      <c r="A179" s="9">
        <v>46265</v>
      </c>
      <c r="B179" s="9" t="str">
        <v xml:space="preserve">CV WARISAN GEMILANG KUDUS               </v>
      </c>
      <c r="C179" s="9" t="str">
        <v>CW98595</v>
      </c>
      <c r="D179" s="9">
        <v>8101010711564</v>
      </c>
      <c r="E179" s="9">
        <v>0</v>
      </c>
      <c r="F179" s="9" t="str">
        <v>Tidak</v>
      </c>
      <c r="G179" s="9" t="str">
        <v>Tidak</v>
      </c>
      <c r="H179" s="9" t="str">
        <v>Tidak</v>
      </c>
      <c r="I179" s="9" t="str">
        <v>Perpajakan</v>
      </c>
      <c r="J179" s="9">
        <v>38</v>
      </c>
      <c r="K179" s="9">
        <v>41</v>
      </c>
      <c r="L179" s="9" t="str">
        <v>Perpajakan</v>
      </c>
      <c r="M179" s="9" t="str">
        <v xml:space="preserve">KC Salatiga                             </v>
      </c>
      <c r="N179" s="9" t="str">
        <v xml:space="preserve">KC Salatiga                             </v>
      </c>
      <c r="O179" s="9" t="str">
        <v xml:space="preserve">Semarang                                </v>
      </c>
      <c r="P179" s="9" t="str">
        <v>Tidak</v>
      </c>
      <c r="Q179" s="9" t="str">
        <v>Tidak</v>
      </c>
      <c r="R179" s="9" t="str">
        <v>Done</v>
      </c>
      <c r="S179" s="9" t="str">
        <v>Pending Checker</v>
      </c>
      <c r="T179" s="9" t="str">
        <v>90170665 - Mutiara Ayuningtyas</v>
      </c>
      <c r="U179" s="9" t="str">
        <v>"-"</v>
      </c>
      <c r="V179" s="10" t="str">
        <f>IF([1]STR!$V179 = "", "", [1]STR!$V179)</f>
        <v>Veronica Dwi Kurniasih</v>
      </c>
      <c r="W179" s="11">
        <v>46271</v>
      </c>
      <c r="X179" s="12" t="b">
        <f>[1]STR!$X179</f>
        <v>1</v>
      </c>
      <c r="Y179" t="str">
        <f>_xlfn.XLOOKUP(TRIM(B179), [4]STR!$2:$2,[4]STR!$44:$44, "")</f>
        <v/>
      </c>
    </row>
    <row r="180" spans="1:25">
      <c r="A180" s="9">
        <v>46265</v>
      </c>
      <c r="B180" s="9" t="str">
        <v xml:space="preserve">CV AGUNG SINERGI SURABAYA               </v>
      </c>
      <c r="C180" s="9" t="str">
        <v>CW98596</v>
      </c>
      <c r="D180" s="9">
        <v>8101011209560</v>
      </c>
      <c r="E180" s="9">
        <v>0</v>
      </c>
      <c r="F180" s="9" t="str">
        <v>Tidak</v>
      </c>
      <c r="G180" s="9" t="str">
        <v>Tidak</v>
      </c>
      <c r="H180" s="9" t="str">
        <v>Tidak</v>
      </c>
      <c r="I180" s="9" t="str">
        <v>Perpajakan</v>
      </c>
      <c r="J180" s="9">
        <v>38</v>
      </c>
      <c r="K180" s="9">
        <v>41</v>
      </c>
      <c r="L180" s="9" t="str">
        <v>Perpajakan</v>
      </c>
      <c r="M180" s="9" t="str">
        <v xml:space="preserve">KC Salatiga                             </v>
      </c>
      <c r="N180" s="9" t="str">
        <v xml:space="preserve">KC Salatiga                             </v>
      </c>
      <c r="O180" s="9" t="str">
        <v xml:space="preserve">Semarang                                </v>
      </c>
      <c r="P180" s="9" t="str">
        <v>Tidak</v>
      </c>
      <c r="Q180" s="9" t="str">
        <v>Tidak</v>
      </c>
      <c r="R180" s="9" t="str">
        <v>Done</v>
      </c>
      <c r="S180" s="9" t="str">
        <v>Pending Checker</v>
      </c>
      <c r="T180" s="9" t="str">
        <v>90171841 - Rifqi Aziz</v>
      </c>
      <c r="U180" s="9" t="str">
        <v>"-"</v>
      </c>
      <c r="V180" s="10" t="str">
        <f>IF([1]STR!$V180 = "", "", [1]STR!$V180)</f>
        <v>Syamsul Arifianto</v>
      </c>
      <c r="W180" s="11">
        <v>46272</v>
      </c>
      <c r="X180" s="12" t="b">
        <f>[1]STR!$X180</f>
        <v>1</v>
      </c>
      <c r="Y180" t="str">
        <f>_xlfn.XLOOKUP(TRIM(B180), [4]STR!$2:$2,[4]STR!$44:$44, "")</f>
        <v/>
      </c>
    </row>
    <row r="181" spans="1:25">
      <c r="A181" s="9">
        <v>46265</v>
      </c>
      <c r="B181" s="9" t="str">
        <v xml:space="preserve">CV MUARA TRADISI SURABAYA               </v>
      </c>
      <c r="C181" s="9" t="str">
        <v>CW98597</v>
      </c>
      <c r="D181" s="9">
        <v>8101011210561</v>
      </c>
      <c r="E181" s="9">
        <v>0</v>
      </c>
      <c r="F181" s="9" t="str">
        <v>Tidak</v>
      </c>
      <c r="G181" s="9" t="str">
        <v>Tidak</v>
      </c>
      <c r="H181" s="9" t="str">
        <v>Tidak</v>
      </c>
      <c r="I181" s="9" t="str">
        <v>Perpajakan</v>
      </c>
      <c r="J181" s="9">
        <v>38</v>
      </c>
      <c r="K181" s="9">
        <v>41</v>
      </c>
      <c r="L181" s="9" t="str">
        <v>Perpajakan</v>
      </c>
      <c r="M181" s="9" t="str">
        <v xml:space="preserve">KC Salatiga                             </v>
      </c>
      <c r="N181" s="9" t="str">
        <v xml:space="preserve">KC Salatiga                             </v>
      </c>
      <c r="O181" s="9" t="str">
        <v xml:space="preserve">Semarang                                </v>
      </c>
      <c r="P181" s="9" t="str">
        <v>Tidak</v>
      </c>
      <c r="Q181" s="9" t="str">
        <v>Tidak</v>
      </c>
      <c r="R181" s="9" t="str">
        <v>Done</v>
      </c>
      <c r="S181" s="9" t="str">
        <v>Pending Checker</v>
      </c>
      <c r="T181" s="9" t="str">
        <v>90185537 - Moh.Khoerul Fajar Ar</v>
      </c>
      <c r="U181" s="9" t="str">
        <v>"-"</v>
      </c>
      <c r="V181" s="10" t="str">
        <f>IF([1]STR!$V181 = "", "", [1]STR!$V181)</f>
        <v>Veronica Dwi Kurniasih</v>
      </c>
      <c r="W181" s="11">
        <v>46273</v>
      </c>
      <c r="X181" s="12" t="b">
        <f>[1]STR!$X181</f>
        <v>1</v>
      </c>
      <c r="Y181" t="str">
        <f>_xlfn.XLOOKUP(TRIM(B181), [4]STR!$2:$2,[4]STR!$44:$44, "")</f>
        <v/>
      </c>
    </row>
    <row r="182" spans="1:25">
      <c r="A182" s="9">
        <v>46265</v>
      </c>
      <c r="B182" s="9" t="str">
        <v xml:space="preserve">BANGUN RUPA SIDOARJO                    </v>
      </c>
      <c r="C182" s="9" t="str">
        <v>BIH4388</v>
      </c>
      <c r="D182" s="9">
        <v>8101010611560</v>
      </c>
      <c r="E182" s="9">
        <v>0</v>
      </c>
      <c r="F182" s="9" t="str">
        <v>Tidak</v>
      </c>
      <c r="G182" s="9" t="str">
        <v>Tidak</v>
      </c>
      <c r="H182" s="9" t="str">
        <v>Tidak</v>
      </c>
      <c r="I182" s="9" t="str">
        <v>Perpajakan</v>
      </c>
      <c r="J182" s="9">
        <v>38</v>
      </c>
      <c r="K182" s="9">
        <v>41</v>
      </c>
      <c r="L182" s="9" t="str">
        <v>Perpajakan</v>
      </c>
      <c r="M182" s="9" t="str">
        <v xml:space="preserve">KC Salatiga                             </v>
      </c>
      <c r="N182" s="9" t="str">
        <v xml:space="preserve">KC Salatiga                             </v>
      </c>
      <c r="O182" s="9" t="str">
        <v xml:space="preserve">Semarang                                </v>
      </c>
      <c r="P182" s="9" t="str">
        <v>Tidak</v>
      </c>
      <c r="Q182" s="9" t="str">
        <v>Tidak</v>
      </c>
      <c r="R182" s="9" t="str">
        <v>Done</v>
      </c>
      <c r="S182" s="9" t="str">
        <v>Pending Checker</v>
      </c>
      <c r="T182" s="9" t="str">
        <v>90171841 - Rifqi Aziz</v>
      </c>
      <c r="U182" s="9" t="str">
        <v>"-"</v>
      </c>
      <c r="V182" s="10" t="str">
        <f>IF([1]STR!$V182 = "", "", [1]STR!$V182)</f>
        <v>Syamsul Arifianto</v>
      </c>
      <c r="W182" s="11">
        <v>46269</v>
      </c>
      <c r="X182" s="12" t="b">
        <f>[1]STR!$X182</f>
        <v>1</v>
      </c>
      <c r="Y182" t="str">
        <f>_xlfn.XLOOKUP(TRIM(B182), [4]STR!$2:$2,[4]STR!$44:$44, "")</f>
        <v/>
      </c>
    </row>
    <row r="183" spans="1:25">
      <c r="A183" s="9">
        <v>46265</v>
      </c>
      <c r="B183" s="9" t="str">
        <v xml:space="preserve">BANGUN RUPA SEMARANG                    </v>
      </c>
      <c r="C183" s="9" t="str">
        <v>BIH4544</v>
      </c>
      <c r="D183" s="9">
        <v>8101010212560</v>
      </c>
      <c r="E183" s="9">
        <v>0</v>
      </c>
      <c r="F183" s="9" t="str">
        <v>Tidak</v>
      </c>
      <c r="G183" s="9" t="str">
        <v>Tidak</v>
      </c>
      <c r="H183" s="9" t="str">
        <v>Tidak</v>
      </c>
      <c r="I183" s="9" t="str">
        <v>Perpajakan</v>
      </c>
      <c r="J183" s="9">
        <v>38</v>
      </c>
      <c r="K183" s="9">
        <v>41</v>
      </c>
      <c r="L183" s="9" t="str">
        <v>Perpajakan</v>
      </c>
      <c r="M183" s="9" t="str">
        <v xml:space="preserve">KC Salatiga                             </v>
      </c>
      <c r="N183" s="9" t="str">
        <v xml:space="preserve">KC Salatiga                             </v>
      </c>
      <c r="O183" s="9" t="str">
        <v xml:space="preserve">Semarang                                </v>
      </c>
      <c r="P183" s="9" t="str">
        <v>Tidak</v>
      </c>
      <c r="Q183" s="9" t="str">
        <v>Tidak</v>
      </c>
      <c r="R183" s="9" t="str">
        <v>Done</v>
      </c>
      <c r="S183" s="9" t="str">
        <v>Pending Checker</v>
      </c>
      <c r="T183" s="9" t="str">
        <v>90170665 - Mutiara Ayuningtyas</v>
      </c>
      <c r="U183" s="9" t="str">
        <v>"-"</v>
      </c>
      <c r="V183" s="10" t="str">
        <f>IF([1]STR!$V183 = "", "", [1]STR!$V183)</f>
        <v>Syamsul Arifianto</v>
      </c>
      <c r="W183" s="11">
        <v>46269</v>
      </c>
      <c r="X183" s="12" t="b">
        <f>[1]STR!$X183</f>
        <v>1</v>
      </c>
      <c r="Y183" t="str">
        <f>_xlfn.XLOOKUP(TRIM(B183), [4]STR!$2:$2,[4]STR!$44:$44, "")</f>
        <v/>
      </c>
    </row>
    <row r="184" spans="1:25">
      <c r="A184" s="9">
        <v>46265</v>
      </c>
      <c r="B184" s="9" t="str">
        <v xml:space="preserve">BANGUN RUPA MAGELANG                    </v>
      </c>
      <c r="C184" s="9" t="str">
        <v>BIH4557</v>
      </c>
      <c r="D184" s="9">
        <v>8101010407563</v>
      </c>
      <c r="E184" s="9">
        <v>0</v>
      </c>
      <c r="F184" s="9" t="str">
        <v>Tidak</v>
      </c>
      <c r="G184" s="9" t="str">
        <v>Tidak</v>
      </c>
      <c r="H184" s="9" t="str">
        <v>Tidak</v>
      </c>
      <c r="I184" s="9" t="str">
        <v>Perpajakan</v>
      </c>
      <c r="J184" s="9">
        <v>38</v>
      </c>
      <c r="K184" s="9">
        <v>41</v>
      </c>
      <c r="L184" s="9" t="str">
        <v>Perpajakan</v>
      </c>
      <c r="M184" s="9" t="str">
        <v xml:space="preserve">KC Salatiga                             </v>
      </c>
      <c r="N184" s="9" t="str">
        <v xml:space="preserve">KC Salatiga                             </v>
      </c>
      <c r="O184" s="9" t="str">
        <v xml:space="preserve">Semarang                                </v>
      </c>
      <c r="P184" s="9" t="str">
        <v>Tidak</v>
      </c>
      <c r="Q184" s="9" t="str">
        <v>Tidak</v>
      </c>
      <c r="R184" s="9" t="str">
        <v>Done</v>
      </c>
      <c r="S184" s="9" t="str">
        <v>Pending Checker</v>
      </c>
      <c r="T184" s="9" t="str">
        <v>90150130 - Intan Aida Pratiwi</v>
      </c>
      <c r="U184" s="9" t="str">
        <v>"-"</v>
      </c>
      <c r="V184" s="10" t="str">
        <f>IF([1]STR!$V184 = "", "", [1]STR!$V184)</f>
        <v>Syamsul Arifianto</v>
      </c>
      <c r="W184" s="11">
        <v>46269</v>
      </c>
      <c r="X184" s="12" t="b">
        <f>[1]STR!$X184</f>
        <v>1</v>
      </c>
      <c r="Y184" t="str">
        <f>_xlfn.XLOOKUP(TRIM(B184), [4]STR!$2:$2,[4]STR!$44:$44, "")</f>
        <v/>
      </c>
    </row>
    <row r="185" spans="1:25">
      <c r="A185" s="9">
        <v>46265</v>
      </c>
      <c r="B185" s="9" t="str">
        <v xml:space="preserve">BANGUN RUPA SALATIGA                    </v>
      </c>
      <c r="C185" s="9" t="str">
        <v>BIH4558</v>
      </c>
      <c r="D185" s="9">
        <v>8101010109563</v>
      </c>
      <c r="E185" s="9">
        <v>0</v>
      </c>
      <c r="F185" s="9" t="str">
        <v>Tidak</v>
      </c>
      <c r="G185" s="9" t="str">
        <v>Tidak</v>
      </c>
      <c r="H185" s="9" t="str">
        <v>Tidak</v>
      </c>
      <c r="I185" s="9" t="str">
        <v>Perpajakan</v>
      </c>
      <c r="J185" s="9">
        <v>38</v>
      </c>
      <c r="K185" s="9">
        <v>41</v>
      </c>
      <c r="L185" s="9" t="str">
        <v>Perpajakan</v>
      </c>
      <c r="M185" s="9" t="str">
        <v xml:space="preserve">KC Salatiga                             </v>
      </c>
      <c r="N185" s="9" t="str">
        <v xml:space="preserve">KC Salatiga                             </v>
      </c>
      <c r="O185" s="9" t="str">
        <v xml:space="preserve">Semarang                                </v>
      </c>
      <c r="P185" s="9" t="str">
        <v>Tidak</v>
      </c>
      <c r="Q185" s="9" t="str">
        <v>Tidak</v>
      </c>
      <c r="R185" s="9" t="str">
        <v>Done</v>
      </c>
      <c r="S185" s="9" t="str">
        <v>Pending Checker</v>
      </c>
      <c r="T185" s="9" t="str">
        <v>00394521 - Muhammad Hibbanduta</v>
      </c>
      <c r="U185" s="9" t="str">
        <v>"-"</v>
      </c>
      <c r="V185" s="10" t="str">
        <f>IF([1]STR!$V185 = "", "", [1]STR!$V185)</f>
        <v>Syamsul Arifianto</v>
      </c>
      <c r="W185" s="11">
        <v>46269</v>
      </c>
      <c r="X185" s="12" t="b">
        <f>[1]STR!$X185</f>
        <v>1</v>
      </c>
      <c r="Y185" t="str">
        <f>_xlfn.XLOOKUP(TRIM(B185), [4]STR!$2:$2,[4]STR!$44:$44, "")</f>
        <v/>
      </c>
    </row>
    <row r="186" spans="1:25">
      <c r="A186" s="9">
        <v>46265</v>
      </c>
      <c r="B186" s="9" t="str">
        <v xml:space="preserve">BANGUN RUPA SURABAYA                    </v>
      </c>
      <c r="C186" s="9" t="str">
        <v>BIH4564</v>
      </c>
      <c r="D186" s="9">
        <v>8101011208564</v>
      </c>
      <c r="E186" s="9">
        <v>0</v>
      </c>
      <c r="F186" s="9" t="str">
        <v>Tidak</v>
      </c>
      <c r="G186" s="9" t="str">
        <v>Tidak</v>
      </c>
      <c r="H186" s="9" t="str">
        <v>Tidak</v>
      </c>
      <c r="I186" s="9" t="str">
        <v>Perpajakan</v>
      </c>
      <c r="J186" s="9">
        <v>38</v>
      </c>
      <c r="K186" s="9">
        <v>41</v>
      </c>
      <c r="L186" s="9" t="str">
        <v>Perpajakan</v>
      </c>
      <c r="M186" s="9" t="str">
        <v xml:space="preserve">KC Salatiga                             </v>
      </c>
      <c r="N186" s="9" t="str">
        <v xml:space="preserve">KC Salatiga                             </v>
      </c>
      <c r="O186" s="9" t="str">
        <v xml:space="preserve">Semarang                                </v>
      </c>
      <c r="P186" s="9" t="str">
        <v>Tidak</v>
      </c>
      <c r="Q186" s="9" t="str">
        <v>Tidak</v>
      </c>
      <c r="R186" s="9" t="str">
        <v>Done</v>
      </c>
      <c r="S186" s="9" t="str">
        <v>Pending Checker</v>
      </c>
      <c r="T186" s="9" t="str">
        <v>00394520 - Frida Akbar Rani</v>
      </c>
      <c r="U186" s="9" t="str">
        <v>"-"</v>
      </c>
      <c r="V186" s="10" t="str">
        <f>IF([1]STR!$V186 = "", "", [1]STR!$V186)</f>
        <v>Syamsul Arifianto</v>
      </c>
      <c r="W186" s="11">
        <v>46269</v>
      </c>
      <c r="X186" s="12" t="b">
        <f>[1]STR!$X186</f>
        <v>1</v>
      </c>
      <c r="Y186" t="str">
        <f>_xlfn.XLOOKUP(TRIM(B186), [4]STR!$2:$2,[4]STR!$44:$44, "")</f>
        <v/>
      </c>
    </row>
    <row r="187" spans="1:25">
      <c r="A187" s="9">
        <v>46265</v>
      </c>
      <c r="B187" s="9" t="str">
        <v xml:space="preserve">BANGUN RUPA KUDUS                       </v>
      </c>
      <c r="C187" s="9" t="str">
        <v>BIH4876</v>
      </c>
      <c r="D187" s="9">
        <v>8101010708561</v>
      </c>
      <c r="E187" s="9">
        <v>0</v>
      </c>
      <c r="F187" s="9" t="str">
        <v>Tidak</v>
      </c>
      <c r="G187" s="9" t="str">
        <v>Tidak</v>
      </c>
      <c r="H187" s="9" t="str">
        <v>Tidak</v>
      </c>
      <c r="I187" s="9" t="str">
        <v>Perpajakan</v>
      </c>
      <c r="J187" s="9">
        <v>38</v>
      </c>
      <c r="K187" s="9">
        <v>41</v>
      </c>
      <c r="L187" s="9" t="str">
        <v>Perpajakan</v>
      </c>
      <c r="M187" s="9" t="str">
        <v xml:space="preserve">KC Salatiga                             </v>
      </c>
      <c r="N187" s="9" t="str">
        <v xml:space="preserve">KC Salatiga                             </v>
      </c>
      <c r="O187" s="9" t="str">
        <v xml:space="preserve">Semarang                                </v>
      </c>
      <c r="P187" s="9" t="str">
        <v>Tidak</v>
      </c>
      <c r="Q187" s="9" t="str">
        <v>Tidak</v>
      </c>
      <c r="R187" s="9" t="str">
        <v>Done</v>
      </c>
      <c r="S187" s="9" t="str">
        <v>Pending Checker</v>
      </c>
      <c r="T187" s="9" t="str">
        <v>00336949 - Mochammad Al Farabi</v>
      </c>
      <c r="U187" s="9" t="str">
        <v>"-"</v>
      </c>
      <c r="V187" s="10" t="str">
        <f>IF([1]STR!$V187 = "", "", [1]STR!$V187)</f>
        <v>Syamsul Arifianto</v>
      </c>
      <c r="W187" s="11">
        <v>46269</v>
      </c>
      <c r="X187" s="12" t="b">
        <f>[1]STR!$X187</f>
        <v>1</v>
      </c>
      <c r="Y187" t="str">
        <f>_xlfn.XLOOKUP(TRIM(B187), [4]STR!$2:$2,[4]STR!$44:$44, "")</f>
        <v/>
      </c>
    </row>
    <row r="188" spans="1:25">
      <c r="A188" s="9">
        <v>46265</v>
      </c>
      <c r="B188" s="9" t="str">
        <v xml:space="preserve">BANGUN RUPA MALANG                      </v>
      </c>
      <c r="C188" s="9" t="str">
        <v>BIH4880</v>
      </c>
      <c r="D188" s="9">
        <v>8101010812564</v>
      </c>
      <c r="E188" s="9">
        <v>0</v>
      </c>
      <c r="F188" s="9" t="str">
        <v>Tidak</v>
      </c>
      <c r="G188" s="9" t="str">
        <v>Tidak</v>
      </c>
      <c r="H188" s="9" t="str">
        <v>Tidak</v>
      </c>
      <c r="I188" s="9" t="str">
        <v>Perpajakan</v>
      </c>
      <c r="J188" s="9">
        <v>34</v>
      </c>
      <c r="K188" s="9">
        <v>41</v>
      </c>
      <c r="L188" s="9" t="str">
        <v>Perpajakan</v>
      </c>
      <c r="M188" s="9" t="str">
        <v xml:space="preserve">KC Salatiga                             </v>
      </c>
      <c r="N188" s="9" t="str">
        <v xml:space="preserve">KC Salatiga                             </v>
      </c>
      <c r="O188" s="9" t="str">
        <v xml:space="preserve">Semarang                                </v>
      </c>
      <c r="P188" s="9" t="str">
        <v>Tidak</v>
      </c>
      <c r="Q188" s="9" t="str">
        <v>Tidak</v>
      </c>
      <c r="R188" s="9" t="str">
        <v>Done</v>
      </c>
      <c r="S188" s="9" t="str">
        <v>Pending Checker</v>
      </c>
      <c r="T188" s="9" t="str">
        <v>90185537 - Moh.Khoerul Fajar Ar</v>
      </c>
      <c r="U188" s="9" t="str">
        <v>"-"</v>
      </c>
      <c r="V188" s="10" t="str">
        <f>IF([1]STR!$V188 = "", "", [1]STR!$V188)</f>
        <v>Syamsul Arifianto</v>
      </c>
      <c r="W188" s="11">
        <v>46269</v>
      </c>
      <c r="X188" s="12" t="b">
        <f>[1]STR!$X188</f>
        <v>1</v>
      </c>
      <c r="Y188" t="str">
        <f>_xlfn.XLOOKUP(TRIM(B188), [4]STR!$2:$2,[4]STR!$44:$44, "")</f>
        <v/>
      </c>
    </row>
    <row r="189" spans="1:25">
      <c r="A189" s="9">
        <v>46265</v>
      </c>
      <c r="B189" s="9" t="str">
        <v xml:space="preserve">BENGAWAN RAHMAT MERR                    </v>
      </c>
      <c r="C189" s="9" t="str">
        <v>BHU9274</v>
      </c>
      <c r="D189" s="9">
        <v>8101011202568</v>
      </c>
      <c r="E189" s="9">
        <v>0</v>
      </c>
      <c r="F189" s="9" t="str">
        <v>Tidak</v>
      </c>
      <c r="G189" s="9" t="str">
        <v>Tidak</v>
      </c>
      <c r="H189" s="9" t="str">
        <v>Tidak</v>
      </c>
      <c r="I189" s="9" t="str">
        <v>Perpajakan</v>
      </c>
      <c r="J189" s="9">
        <v>36</v>
      </c>
      <c r="K189" s="9">
        <v>41</v>
      </c>
      <c r="L189" s="9" t="str">
        <v>Perpajakan</v>
      </c>
      <c r="M189" s="9" t="str">
        <v xml:space="preserve">KC Salatiga                             </v>
      </c>
      <c r="N189" s="9" t="str">
        <v xml:space="preserve">KC Salatiga                             </v>
      </c>
      <c r="O189" s="9" t="str">
        <v xml:space="preserve">Semarang                                </v>
      </c>
      <c r="P189" s="9" t="str">
        <v>Tidak</v>
      </c>
      <c r="Q189" s="9" t="str">
        <v>Tidak</v>
      </c>
      <c r="R189" s="9" t="str">
        <v>Done</v>
      </c>
      <c r="S189" s="9" t="str">
        <v>Pending Checker</v>
      </c>
      <c r="T189" s="9" t="str">
        <v>00394521 - Muhammad Hibbanduta</v>
      </c>
      <c r="U189" s="9" t="str">
        <v>"-"</v>
      </c>
      <c r="V189" s="10" t="str">
        <f>IF([1]STR!$V189 = "", "", [1]STR!$V189)</f>
        <v>Syamsul Arifianto</v>
      </c>
      <c r="W189" s="11">
        <v>46272</v>
      </c>
      <c r="X189" s="12" t="b">
        <f>[1]STR!$X189</f>
        <v>1</v>
      </c>
      <c r="Y189" t="str">
        <f>_xlfn.XLOOKUP(TRIM(B189), [4]STR!$2:$2,[4]STR!$44:$44, "")</f>
        <v/>
      </c>
    </row>
    <row r="190" spans="1:25">
      <c r="A190" s="9">
        <v>46265</v>
      </c>
      <c r="B190" s="9" t="str">
        <v xml:space="preserve">BARA PELITA MERR                        </v>
      </c>
      <c r="C190" s="9" t="str">
        <v>BHU9275</v>
      </c>
      <c r="D190" s="9">
        <v>8101011203564</v>
      </c>
      <c r="E190" s="9">
        <v>0</v>
      </c>
      <c r="F190" s="9" t="str">
        <v>Tidak</v>
      </c>
      <c r="G190" s="9" t="str">
        <v>Tidak</v>
      </c>
      <c r="H190" s="9" t="str">
        <v>Tidak</v>
      </c>
      <c r="I190" s="9" t="str">
        <v>Perpajakan</v>
      </c>
      <c r="J190" s="9">
        <v>38</v>
      </c>
      <c r="K190" s="9">
        <v>41</v>
      </c>
      <c r="L190" s="9" t="str">
        <v>Perpajakan</v>
      </c>
      <c r="M190" s="9" t="str">
        <v xml:space="preserve">KC Salatiga                             </v>
      </c>
      <c r="N190" s="9" t="str">
        <v xml:space="preserve">KC Salatiga                             </v>
      </c>
      <c r="O190" s="9" t="str">
        <v xml:space="preserve">Semarang                                </v>
      </c>
      <c r="P190" s="9" t="str">
        <v>Tidak</v>
      </c>
      <c r="Q190" s="9" t="str">
        <v>Tidak</v>
      </c>
      <c r="R190" s="9" t="str">
        <v>Done</v>
      </c>
      <c r="S190" s="9" t="str">
        <v>Pending Checker</v>
      </c>
      <c r="T190" s="9" t="str">
        <v>00394520 - Frida Akbar Rani</v>
      </c>
      <c r="U190" s="9" t="str">
        <v>"-"</v>
      </c>
      <c r="V190" s="10" t="str">
        <f>IF([1]STR!$V190 = "", "", [1]STR!$V190)</f>
        <v>Syamsul Arifianto</v>
      </c>
      <c r="W190" s="11">
        <v>46272</v>
      </c>
      <c r="X190" s="12" t="b">
        <f>[1]STR!$X190</f>
        <v>1</v>
      </c>
      <c r="Y190" t="str">
        <f>_xlfn.XLOOKUP(TRIM(B190), [4]STR!$2:$2,[4]STR!$44:$44, "")</f>
        <v/>
      </c>
    </row>
    <row r="191" spans="1:25">
      <c r="A191" s="9">
        <v>46265</v>
      </c>
      <c r="B191" s="9" t="str">
        <v xml:space="preserve">BARA PELITA MAGELANG                    </v>
      </c>
      <c r="C191" s="9" t="str">
        <v>BHV3487</v>
      </c>
      <c r="D191" s="9">
        <v>8101010405561</v>
      </c>
      <c r="E191" s="9">
        <v>0</v>
      </c>
      <c r="F191" s="9" t="str">
        <v>Tidak</v>
      </c>
      <c r="G191" s="9" t="str">
        <v>Tidak</v>
      </c>
      <c r="H191" s="9" t="str">
        <v>Tidak</v>
      </c>
      <c r="I191" s="9" t="str">
        <v>Perpajakan</v>
      </c>
      <c r="J191" s="9">
        <v>38</v>
      </c>
      <c r="K191" s="9">
        <v>41</v>
      </c>
      <c r="L191" s="9" t="str">
        <v>Perpajakan</v>
      </c>
      <c r="M191" s="9" t="str">
        <v xml:space="preserve">KC Salatiga                             </v>
      </c>
      <c r="N191" s="9" t="str">
        <v xml:space="preserve">KC Salatiga                             </v>
      </c>
      <c r="O191" s="9" t="str">
        <v xml:space="preserve">Semarang                                </v>
      </c>
      <c r="P191" s="9" t="str">
        <v>Tidak</v>
      </c>
      <c r="Q191" s="9" t="str">
        <v>Tidak</v>
      </c>
      <c r="R191" s="9" t="str">
        <v>Done</v>
      </c>
      <c r="S191" s="9" t="str">
        <v>Pending Checker</v>
      </c>
      <c r="T191" s="9" t="str">
        <v>00336949 - Mochammad Al Farabi</v>
      </c>
      <c r="U191" s="9" t="str">
        <v>"-"</v>
      </c>
      <c r="V191" s="10" t="str">
        <f>IF([1]STR!$V191 = "", "", [1]STR!$V191)</f>
        <v>Syamsul Arifianto</v>
      </c>
      <c r="W191" s="11">
        <v>46272</v>
      </c>
      <c r="X191" s="12" t="b">
        <f>[1]STR!$X191</f>
        <v>1</v>
      </c>
      <c r="Y191" t="str">
        <f>_xlfn.XLOOKUP(TRIM(B191), [4]STR!$2:$2,[4]STR!$44:$44, "")</f>
        <v/>
      </c>
    </row>
    <row r="192" spans="1:25">
      <c r="A192" s="9">
        <v>46265</v>
      </c>
      <c r="B192" s="9" t="str">
        <v xml:space="preserve">BARA PELITA MADIUN                      </v>
      </c>
      <c r="C192" s="9" t="str">
        <v>BHV3657</v>
      </c>
      <c r="D192" s="9">
        <v>8101011005568</v>
      </c>
      <c r="E192" s="9">
        <v>0</v>
      </c>
      <c r="F192" s="9" t="str">
        <v>Tidak</v>
      </c>
      <c r="G192" s="9" t="str">
        <v>Tidak</v>
      </c>
      <c r="H192" s="9" t="str">
        <v>Tidak</v>
      </c>
      <c r="I192" s="9" t="str">
        <v>Perpajakan</v>
      </c>
      <c r="J192" s="9">
        <v>38</v>
      </c>
      <c r="K192" s="9">
        <v>41</v>
      </c>
      <c r="L192" s="9" t="str">
        <v>Perpajakan</v>
      </c>
      <c r="M192" s="9" t="str">
        <v xml:space="preserve">KC Salatiga                             </v>
      </c>
      <c r="N192" s="9" t="str">
        <v xml:space="preserve">KC Salatiga                             </v>
      </c>
      <c r="O192" s="9" t="str">
        <v xml:space="preserve">Semarang                                </v>
      </c>
      <c r="P192" s="9" t="str">
        <v>Tidak</v>
      </c>
      <c r="Q192" s="9" t="str">
        <v>Tidak</v>
      </c>
      <c r="R192" s="9" t="str">
        <v>Done</v>
      </c>
      <c r="S192" s="9" t="str">
        <v>Pending Checker</v>
      </c>
      <c r="T192" s="9" t="str">
        <v>90186796 - Devito Arya Wiradila</v>
      </c>
      <c r="U192" s="9" t="str">
        <v>"-"</v>
      </c>
      <c r="V192" s="10" t="str">
        <f>IF([1]STR!$V192 = "", "", [1]STR!$V192)</f>
        <v>Syamsul Arifianto</v>
      </c>
      <c r="W192" s="11">
        <v>46272</v>
      </c>
      <c r="X192" s="12" t="b">
        <f>[1]STR!$X192</f>
        <v>1</v>
      </c>
      <c r="Y192" t="str">
        <f>_xlfn.XLOOKUP(TRIM(B192), [4]STR!$2:$2,[4]STR!$44:$44, "")</f>
        <v/>
      </c>
    </row>
    <row r="193" spans="1:25">
      <c r="A193" s="9">
        <v>46265</v>
      </c>
      <c r="B193" s="9" t="str">
        <v xml:space="preserve">BARA PELITA MOJOKERTO                   </v>
      </c>
      <c r="C193" s="9" t="str">
        <v>BHV3658</v>
      </c>
      <c r="D193" s="9">
        <v>8101011107564</v>
      </c>
      <c r="E193" s="9">
        <v>0</v>
      </c>
      <c r="F193" s="9" t="str">
        <v>Tidak</v>
      </c>
      <c r="G193" s="9" t="str">
        <v>Tidak</v>
      </c>
      <c r="H193" s="9" t="str">
        <v>Tidak</v>
      </c>
      <c r="I193" s="9" t="str">
        <v>Perpajakan</v>
      </c>
      <c r="J193" s="9">
        <v>38</v>
      </c>
      <c r="K193" s="9">
        <v>41</v>
      </c>
      <c r="L193" s="9" t="str">
        <v>Perpajakan</v>
      </c>
      <c r="M193" s="9" t="str">
        <v xml:space="preserve">KC Salatiga                             </v>
      </c>
      <c r="N193" s="9" t="str">
        <v xml:space="preserve">KC Salatiga                             </v>
      </c>
      <c r="O193" s="9" t="str">
        <v xml:space="preserve">Semarang                                </v>
      </c>
      <c r="P193" s="9" t="str">
        <v>Tidak</v>
      </c>
      <c r="Q193" s="9" t="str">
        <v>Tidak</v>
      </c>
      <c r="R193" s="9" t="str">
        <v>Done</v>
      </c>
      <c r="S193" s="9" t="str">
        <v>Pending Checker</v>
      </c>
      <c r="T193" s="9" t="str">
        <v>90186790 - Muhammad Alfin Farha</v>
      </c>
      <c r="U193" s="9" t="str">
        <v>"-"</v>
      </c>
      <c r="V193" s="10" t="str">
        <f>IF([1]STR!$V193 = "", "", [1]STR!$V193)</f>
        <v>Syamsul Arifianto</v>
      </c>
      <c r="W193" s="11">
        <v>46272</v>
      </c>
      <c r="X193" s="12" t="b">
        <f>[1]STR!$X193</f>
        <v>1</v>
      </c>
      <c r="Y193" t="str">
        <f>_xlfn.XLOOKUP(TRIM(B193), [4]STR!$2:$2,[4]STR!$44:$44, "")</f>
        <v/>
      </c>
    </row>
    <row r="194" spans="1:25">
      <c r="A194" s="9">
        <v>46265</v>
      </c>
      <c r="B194" s="9" t="str">
        <v xml:space="preserve">BARA PELITA KEDIRI                      </v>
      </c>
      <c r="C194" s="9" t="str">
        <v>BHV3827</v>
      </c>
      <c r="D194" s="9">
        <v>8101010905561</v>
      </c>
      <c r="E194" s="9">
        <v>0</v>
      </c>
      <c r="F194" s="9" t="str">
        <v>Tidak</v>
      </c>
      <c r="G194" s="9" t="str">
        <v>Tidak</v>
      </c>
      <c r="H194" s="9" t="str">
        <v>Tidak</v>
      </c>
      <c r="I194" s="9" t="str">
        <v>Perpajakan</v>
      </c>
      <c r="J194" s="9">
        <v>38</v>
      </c>
      <c r="K194" s="9">
        <v>41</v>
      </c>
      <c r="L194" s="9" t="str">
        <v>Perpajakan</v>
      </c>
      <c r="M194" s="9" t="str">
        <v xml:space="preserve">KC Salatiga                             </v>
      </c>
      <c r="N194" s="9" t="str">
        <v xml:space="preserve">KC Salatiga                             </v>
      </c>
      <c r="O194" s="9" t="str">
        <v xml:space="preserve">Semarang                                </v>
      </c>
      <c r="P194" s="9" t="str">
        <v>Tidak</v>
      </c>
      <c r="Q194" s="9" t="str">
        <v>Tidak</v>
      </c>
      <c r="R194" s="9" t="str">
        <v>Done</v>
      </c>
      <c r="S194" s="9" t="str">
        <v>Pending Checker</v>
      </c>
      <c r="T194" s="9" t="str">
        <v>90185538 - Muhammad Fahikal Auz</v>
      </c>
      <c r="U194" s="9" t="str">
        <v>"-"</v>
      </c>
      <c r="V194" s="10" t="str">
        <f>IF([1]STR!$V194 = "", "", [1]STR!$V194)</f>
        <v>Syamsul Arifianto</v>
      </c>
      <c r="W194" s="11">
        <v>46269</v>
      </c>
      <c r="X194" s="12" t="b">
        <f>[1]STR!$X194</f>
        <v>1</v>
      </c>
      <c r="Y194" t="str">
        <f>_xlfn.XLOOKUP(TRIM(B194), [4]STR!$2:$2,[4]STR!$44:$44, "")</f>
        <v/>
      </c>
    </row>
    <row r="195" spans="1:25">
      <c r="A195" s="9">
        <v>46265</v>
      </c>
      <c r="B195" s="9" t="str">
        <v xml:space="preserve">BARA PELITA PURWOKERTO                  </v>
      </c>
      <c r="C195" s="9" t="str">
        <v>BHV3828</v>
      </c>
      <c r="D195" s="9">
        <v>8101010305567</v>
      </c>
      <c r="E195" s="9">
        <v>0</v>
      </c>
      <c r="F195" s="9" t="str">
        <v>Tidak</v>
      </c>
      <c r="G195" s="9" t="str">
        <v>Tidak</v>
      </c>
      <c r="H195" s="9" t="str">
        <v>Tidak</v>
      </c>
      <c r="I195" s="9" t="str">
        <v>Perpajakan</v>
      </c>
      <c r="J195" s="9">
        <v>34</v>
      </c>
      <c r="K195" s="9">
        <v>41</v>
      </c>
      <c r="L195" s="9" t="str">
        <v>Perpajakan</v>
      </c>
      <c r="M195" s="9" t="str">
        <v xml:space="preserve">KC Salatiga                             </v>
      </c>
      <c r="N195" s="9" t="str">
        <v xml:space="preserve">KC Salatiga                             </v>
      </c>
      <c r="O195" s="9" t="str">
        <v xml:space="preserve">Semarang                                </v>
      </c>
      <c r="P195" s="9" t="str">
        <v>Tidak</v>
      </c>
      <c r="Q195" s="9" t="str">
        <v>Tidak</v>
      </c>
      <c r="R195" s="9" t="str">
        <v>Done</v>
      </c>
      <c r="S195" s="9" t="str">
        <v>Pending Checker</v>
      </c>
      <c r="T195" s="9" t="str">
        <v>90185537 - Moh.Khoerul Fajar Ar</v>
      </c>
      <c r="U195" s="9" t="str">
        <v>"-"</v>
      </c>
      <c r="V195" s="10" t="str">
        <f>IF([1]STR!$V195 = "", "", [1]STR!$V195)</f>
        <v>Syamsul Arifianto</v>
      </c>
      <c r="W195" s="11">
        <v>46272</v>
      </c>
      <c r="X195" s="12" t="b">
        <f>[1]STR!$X195</f>
        <v>1</v>
      </c>
      <c r="Y195" t="str">
        <f>_xlfn.XLOOKUP(TRIM(B195), [4]STR!$2:$2,[4]STR!$44:$44, "")</f>
        <v/>
      </c>
    </row>
    <row r="196" spans="1:25">
      <c r="A196" s="9">
        <v>46265</v>
      </c>
      <c r="B196" s="9" t="str">
        <v xml:space="preserve">ADINATA PURI LESTARI                    </v>
      </c>
      <c r="C196" s="9" t="str">
        <v>ADCPH74</v>
      </c>
      <c r="D196" s="9">
        <v>60901002528567</v>
      </c>
      <c r="E196" s="9">
        <v>0</v>
      </c>
      <c r="F196" s="9" t="str">
        <v>Tidak</v>
      </c>
      <c r="G196" s="9" t="str">
        <v>Tidak</v>
      </c>
      <c r="H196" s="9" t="str">
        <v>Tidak</v>
      </c>
      <c r="I196" s="9" t="str">
        <v>Perpajakan</v>
      </c>
      <c r="J196" s="9">
        <v>33</v>
      </c>
      <c r="K196" s="9">
        <v>41</v>
      </c>
      <c r="L196" s="9" t="str">
        <v>Perpajakan</v>
      </c>
      <c r="M196" s="9" t="str">
        <v xml:space="preserve">KC Semarang A. Yani                     </v>
      </c>
      <c r="N196" s="9" t="str">
        <v xml:space="preserve">KC Semarang A. Yani                     </v>
      </c>
      <c r="O196" s="9" t="str">
        <v xml:space="preserve">Semarang                                </v>
      </c>
      <c r="P196" s="9" t="str">
        <v>Tidak</v>
      </c>
      <c r="Q196" s="9" t="str">
        <v>Tidak</v>
      </c>
      <c r="R196" s="9" t="str">
        <v>Done</v>
      </c>
      <c r="S196" s="9" t="str">
        <v>Pending Checker</v>
      </c>
      <c r="T196" s="9" t="str">
        <v>90186790 - Muhammad Alfin Farha</v>
      </c>
      <c r="U196" s="9" t="str">
        <v>"-"</v>
      </c>
      <c r="V196" s="10" t="str">
        <f>IF([1]STR!$V196 = "", "", [1]STR!$V196)</f>
        <v>Veronica Dwi Kurniasih</v>
      </c>
      <c r="W196" s="11">
        <v>46257</v>
      </c>
      <c r="X196" s="12" t="b">
        <f>[1]STR!$X196</f>
        <v>1</v>
      </c>
      <c r="Y196" t="str">
        <f>_xlfn.XLOOKUP(TRIM(B196), [4]STR!$2:$2,[4]STR!$44:$44, "")</f>
        <v/>
      </c>
    </row>
    <row r="197" spans="1:25">
      <c r="A197" s="9">
        <v>46265</v>
      </c>
      <c r="B197" s="9" t="str">
        <v xml:space="preserve">ANGKASA PELANGI KUDUS                   </v>
      </c>
      <c r="C197" s="9" t="str">
        <v>ADBVA32</v>
      </c>
      <c r="D197" s="9">
        <v>8101010706569</v>
      </c>
      <c r="E197" s="9">
        <v>0</v>
      </c>
      <c r="F197" s="9" t="str">
        <v>Tidak</v>
      </c>
      <c r="G197" s="9" t="str">
        <v>Tidak</v>
      </c>
      <c r="H197" s="9" t="str">
        <v>Tidak</v>
      </c>
      <c r="I197" s="9" t="str">
        <v>Perpajakan</v>
      </c>
      <c r="J197" s="9">
        <v>38</v>
      </c>
      <c r="K197" s="9">
        <v>41</v>
      </c>
      <c r="L197" s="9" t="str">
        <v>Perpajakan</v>
      </c>
      <c r="M197" s="9" t="str">
        <v xml:space="preserve">KC Salatiga                             </v>
      </c>
      <c r="N197" s="9" t="str">
        <v xml:space="preserve">KC Salatiga                             </v>
      </c>
      <c r="O197" s="9" t="str">
        <v xml:space="preserve">Semarang                                </v>
      </c>
      <c r="P197" s="9" t="str">
        <v>Tidak</v>
      </c>
      <c r="Q197" s="9" t="str">
        <v>Tidak</v>
      </c>
      <c r="R197" s="9" t="str">
        <v>Done</v>
      </c>
      <c r="S197" s="9" t="str">
        <v>Pending Checker</v>
      </c>
      <c r="T197" s="9" t="str">
        <v>00394520 - Frida Akbar Rani</v>
      </c>
      <c r="U197" s="9" t="str">
        <v>"-"</v>
      </c>
      <c r="V197" s="10" t="str">
        <f>IF([1]STR!$V197 = "", "", [1]STR!$V197)</f>
        <v>Syamsul Arifianto</v>
      </c>
      <c r="W197" s="11">
        <v>46266</v>
      </c>
      <c r="X197" s="12" t="b">
        <f>[1]STR!$X197</f>
        <v>1</v>
      </c>
      <c r="Y197" t="str">
        <f>_xlfn.XLOOKUP(TRIM(B197), [4]STR!$2:$2,[4]STR!$44:$44, "")</f>
        <v/>
      </c>
    </row>
    <row r="198" spans="1:25">
      <c r="A198" s="9">
        <v>46265</v>
      </c>
      <c r="B198" s="9" t="str">
        <v xml:space="preserve">AURA CAHAYA NUSANTARA                   </v>
      </c>
      <c r="C198" s="9" t="str">
        <v>ADBVN15</v>
      </c>
      <c r="D198" s="9">
        <v>8101030002563</v>
      </c>
      <c r="E198" s="9">
        <v>0</v>
      </c>
      <c r="F198" s="9" t="str">
        <v>Tidak</v>
      </c>
      <c r="G198" s="9" t="str">
        <v>Tidak</v>
      </c>
      <c r="H198" s="9" t="str">
        <v>Tidak</v>
      </c>
      <c r="I198" s="9" t="str">
        <v>Perpajakan</v>
      </c>
      <c r="J198" s="9">
        <v>36</v>
      </c>
      <c r="K198" s="9">
        <v>41</v>
      </c>
      <c r="L198" s="9" t="str">
        <v>Perpajakan</v>
      </c>
      <c r="M198" s="9" t="str">
        <v xml:space="preserve">KC Salatiga                             </v>
      </c>
      <c r="N198" s="9" t="str">
        <v xml:space="preserve">KC Salatiga                             </v>
      </c>
      <c r="O198" s="9" t="str">
        <v xml:space="preserve">Semarang                                </v>
      </c>
      <c r="P198" s="9" t="str">
        <v>Tidak</v>
      </c>
      <c r="Q198" s="9" t="str">
        <v>Tidak</v>
      </c>
      <c r="R198" s="9" t="str">
        <v>Done</v>
      </c>
      <c r="S198" s="9" t="str">
        <v>Pending Checker</v>
      </c>
      <c r="T198" s="9" t="str">
        <v>90186796 - Devito Arya Wiradila</v>
      </c>
      <c r="U198" s="9" t="str">
        <v>"-"</v>
      </c>
      <c r="V198" s="10" t="str">
        <f>IF([1]STR!$V198 = "", "", [1]STR!$V198)</f>
        <v>Syamsul Arifianto</v>
      </c>
      <c r="W198" s="11">
        <v>46269</v>
      </c>
      <c r="X198" s="12" t="b">
        <f>[1]STR!$X198</f>
        <v>1</v>
      </c>
      <c r="Y198" t="str">
        <f>_xlfn.XLOOKUP(TRIM(B198), [4]STR!$2:$2,[4]STR!$44:$44, "")</f>
        <v/>
      </c>
    </row>
    <row r="199" spans="1:25">
      <c r="A199" s="9">
        <v>46265</v>
      </c>
      <c r="B199" s="9" t="str">
        <v xml:space="preserve">ANGKASA PELANGI MOJOKERTO               </v>
      </c>
      <c r="C199" s="9" t="str">
        <v>ADBVQ81</v>
      </c>
      <c r="D199" s="9">
        <v>8101011105562</v>
      </c>
      <c r="E199" s="9">
        <v>0</v>
      </c>
      <c r="F199" s="9" t="str">
        <v>Tidak</v>
      </c>
      <c r="G199" s="9" t="str">
        <v>Tidak</v>
      </c>
      <c r="H199" s="9" t="str">
        <v>Tidak</v>
      </c>
      <c r="I199" s="9" t="str">
        <v>Perpajakan</v>
      </c>
      <c r="J199" s="9">
        <v>36</v>
      </c>
      <c r="K199" s="9">
        <v>41</v>
      </c>
      <c r="L199" s="9" t="str">
        <v>Perpajakan</v>
      </c>
      <c r="M199" s="9" t="str">
        <v xml:space="preserve">KC Salatiga                             </v>
      </c>
      <c r="N199" s="9" t="str">
        <v xml:space="preserve">KC Salatiga                             </v>
      </c>
      <c r="O199" s="9" t="str">
        <v xml:space="preserve">Semarang                                </v>
      </c>
      <c r="P199" s="9" t="str">
        <v>Tidak</v>
      </c>
      <c r="Q199" s="9" t="str">
        <v>Tidak</v>
      </c>
      <c r="R199" s="9" t="str">
        <v>Done</v>
      </c>
      <c r="S199" s="9" t="str">
        <v>Pending Checker</v>
      </c>
      <c r="T199" s="9" t="str">
        <v>90186790 - Muhammad Alfin Farha</v>
      </c>
      <c r="U199" s="9" t="str">
        <v>"-"</v>
      </c>
      <c r="V199" s="10" t="str">
        <f>IF([1]STR!$V199 = "", "", [1]STR!$V199)</f>
        <v>Syamsul Arifianto</v>
      </c>
      <c r="W199" s="11">
        <v>46268</v>
      </c>
      <c r="X199" s="12" t="b">
        <f>[1]STR!$X199</f>
        <v>1</v>
      </c>
      <c r="Y199" t="str">
        <f>_xlfn.XLOOKUP(TRIM(B199), [4]STR!$2:$2,[4]STR!$44:$44, "")</f>
        <v/>
      </c>
    </row>
    <row r="200" spans="1:25">
      <c r="A200" s="9">
        <v>46265</v>
      </c>
      <c r="B200" s="9" t="str">
        <v xml:space="preserve">ANGKASA PELANGI SIDOARJO                </v>
      </c>
      <c r="C200" s="9" t="str">
        <v>ADBUA55</v>
      </c>
      <c r="D200" s="9">
        <v>8101010610564</v>
      </c>
      <c r="E200" s="9">
        <v>0</v>
      </c>
      <c r="F200" s="9" t="str">
        <v>Tidak</v>
      </c>
      <c r="G200" s="9" t="str">
        <v>Tidak</v>
      </c>
      <c r="H200" s="9" t="str">
        <v>Tidak</v>
      </c>
      <c r="I200" s="9" t="str">
        <v>Perpajakan</v>
      </c>
      <c r="J200" s="9">
        <v>38</v>
      </c>
      <c r="K200" s="9">
        <v>41</v>
      </c>
      <c r="L200" s="9" t="str">
        <v>Perpajakan</v>
      </c>
      <c r="M200" s="9" t="str">
        <v xml:space="preserve">KC Salatiga                             </v>
      </c>
      <c r="N200" s="9" t="str">
        <v xml:space="preserve">KC Salatiga                             </v>
      </c>
      <c r="O200" s="9" t="str">
        <v xml:space="preserve">Semarang                                </v>
      </c>
      <c r="P200" s="9" t="str">
        <v>Tidak</v>
      </c>
      <c r="Q200" s="9" t="str">
        <v>Tidak</v>
      </c>
      <c r="R200" s="9" t="str">
        <v>Done</v>
      </c>
      <c r="S200" s="9" t="str">
        <v>Pending Checker</v>
      </c>
      <c r="T200" s="9" t="str">
        <v>90150130 - Intan Aida Pratiwi</v>
      </c>
      <c r="U200" s="9" t="str">
        <v>"-"</v>
      </c>
      <c r="V200" s="10" t="str">
        <f>IF([1]STR!$V200 = "", "", [1]STR!$V200)</f>
        <v>Syamsul Arifianto</v>
      </c>
      <c r="W200" s="11">
        <v>46268</v>
      </c>
      <c r="X200" s="12" t="b">
        <f>[1]STR!$X200</f>
        <v>1</v>
      </c>
      <c r="Y200" t="str">
        <f>_xlfn.XLOOKUP(TRIM(B200), [4]STR!$2:$2,[4]STR!$44:$44, "")</f>
        <v/>
      </c>
    </row>
    <row r="201" spans="1:25">
      <c r="A201" s="9">
        <v>46265</v>
      </c>
      <c r="B201" s="9" t="str">
        <v xml:space="preserve">ANGKASA PELANGI SURABAYA                </v>
      </c>
      <c r="C201" s="9" t="str">
        <v>ADBUC72</v>
      </c>
      <c r="D201" s="9">
        <v>8101010507567</v>
      </c>
      <c r="E201" s="9">
        <v>0</v>
      </c>
      <c r="F201" s="9" t="str">
        <v>Tidak</v>
      </c>
      <c r="G201" s="9" t="str">
        <v>Tidak</v>
      </c>
      <c r="H201" s="9" t="str">
        <v>Tidak</v>
      </c>
      <c r="I201" s="9" t="str">
        <v>Perpajakan</v>
      </c>
      <c r="J201" s="9">
        <v>38</v>
      </c>
      <c r="K201" s="9">
        <v>41</v>
      </c>
      <c r="L201" s="9" t="str">
        <v>Perpajakan</v>
      </c>
      <c r="M201" s="9" t="str">
        <v xml:space="preserve">KC Salatiga                             </v>
      </c>
      <c r="N201" s="9" t="str">
        <v xml:space="preserve">KC Salatiga                             </v>
      </c>
      <c r="O201" s="9" t="str">
        <v xml:space="preserve">Semarang                                </v>
      </c>
      <c r="P201" s="9" t="str">
        <v>Tidak</v>
      </c>
      <c r="Q201" s="9" t="str">
        <v>Tidak</v>
      </c>
      <c r="R201" s="9" t="str">
        <v>Done</v>
      </c>
      <c r="S201" s="9" t="str">
        <v>Pending Checker</v>
      </c>
      <c r="T201" s="9" t="str">
        <v>00336949 - Mochammad Al Farabi</v>
      </c>
      <c r="U201" s="9" t="str">
        <v>"-"</v>
      </c>
      <c r="V201" s="10" t="str">
        <f>IF([1]STR!$V201 = "", "", [1]STR!$V201)</f>
        <v>Syamsul Arifianto</v>
      </c>
      <c r="W201" s="11">
        <v>46268</v>
      </c>
      <c r="X201" s="12" t="b">
        <f>[1]STR!$X201</f>
        <v>1</v>
      </c>
      <c r="Y201" t="str">
        <f>_xlfn.XLOOKUP(TRIM(B201), [4]STR!$2:$2,[4]STR!$44:$44, "")</f>
        <v/>
      </c>
    </row>
    <row r="202" spans="1:25">
      <c r="A202" s="9">
        <v>46265</v>
      </c>
      <c r="B202" s="9" t="str">
        <v xml:space="preserve">ANGKASA PELANGI MERR                    </v>
      </c>
      <c r="C202" s="9" t="str">
        <v>ADBUR26</v>
      </c>
      <c r="D202" s="9">
        <v>8101011206562</v>
      </c>
      <c r="E202" s="9">
        <v>0</v>
      </c>
      <c r="F202" s="9" t="str">
        <v>Tidak</v>
      </c>
      <c r="G202" s="9" t="str">
        <v>Tidak</v>
      </c>
      <c r="H202" s="9" t="str">
        <v>Tidak</v>
      </c>
      <c r="I202" s="9" t="str">
        <v>Perpajakan</v>
      </c>
      <c r="J202" s="9">
        <v>36</v>
      </c>
      <c r="K202" s="9">
        <v>41</v>
      </c>
      <c r="L202" s="9" t="str">
        <v>Perpajakan</v>
      </c>
      <c r="M202" s="9" t="str">
        <v xml:space="preserve">KC Salatiga                             </v>
      </c>
      <c r="N202" s="9" t="str">
        <v xml:space="preserve">KC Salatiga                             </v>
      </c>
      <c r="O202" s="9" t="str">
        <v xml:space="preserve">Semarang                                </v>
      </c>
      <c r="P202" s="9" t="str">
        <v>Tidak</v>
      </c>
      <c r="Q202" s="9" t="str">
        <v>Tidak</v>
      </c>
      <c r="R202" s="9" t="str">
        <v>Done</v>
      </c>
      <c r="S202" s="9" t="str">
        <v>Pending Checker</v>
      </c>
      <c r="T202" s="9" t="str">
        <v>00394521 - Muhammad Hibbanduta</v>
      </c>
      <c r="U202" s="9" t="str">
        <v>"-"</v>
      </c>
      <c r="V202" s="10" t="str">
        <f>IF([1]STR!$V202 = "", "", [1]STR!$V202)</f>
        <v>Syamsul Arifianto</v>
      </c>
      <c r="W202" s="11">
        <v>46266</v>
      </c>
      <c r="X202" s="12" t="b">
        <f>[1]STR!$X202</f>
        <v>1</v>
      </c>
      <c r="Y202" t="str">
        <f>_xlfn.XLOOKUP(TRIM(B202), [4]STR!$2:$2,[4]STR!$44:$44, "")</f>
        <v/>
      </c>
    </row>
    <row r="203" spans="1:25">
      <c r="A203" s="9">
        <v>46265</v>
      </c>
      <c r="B203" s="9" t="str">
        <v xml:space="preserve">AGUNG SEJAHTERA MERR                    </v>
      </c>
      <c r="C203" s="9" t="str">
        <v>ADBIK55</v>
      </c>
      <c r="D203" s="9">
        <v>8101011205566</v>
      </c>
      <c r="E203" s="9">
        <v>0</v>
      </c>
      <c r="F203" s="9" t="str">
        <v>Tidak</v>
      </c>
      <c r="G203" s="9" t="str">
        <v>Tidak</v>
      </c>
      <c r="H203" s="9" t="str">
        <v>Tidak</v>
      </c>
      <c r="I203" s="9" t="str">
        <v>Perpajakan</v>
      </c>
      <c r="J203" s="9">
        <v>36</v>
      </c>
      <c r="K203" s="9">
        <v>41</v>
      </c>
      <c r="L203" s="9" t="str">
        <v>Perpajakan</v>
      </c>
      <c r="M203" s="9" t="str">
        <v xml:space="preserve">KC Salatiga                             </v>
      </c>
      <c r="N203" s="9" t="str">
        <v xml:space="preserve">KC Salatiga                             </v>
      </c>
      <c r="O203" s="9" t="str">
        <v xml:space="preserve">Semarang                                </v>
      </c>
      <c r="P203" s="9" t="str">
        <v>Tidak</v>
      </c>
      <c r="Q203" s="9" t="str">
        <v>Tidak</v>
      </c>
      <c r="R203" s="9" t="str">
        <v>Done</v>
      </c>
      <c r="S203" s="9" t="str">
        <v>Pending Checker</v>
      </c>
      <c r="T203" s="9" t="str">
        <v>90170665 - Mutiara Ayuningtyas</v>
      </c>
      <c r="U203" s="9" t="str">
        <v>"-"</v>
      </c>
      <c r="V203" s="10" t="str">
        <f>IF([1]STR!$V203 = "", "", [1]STR!$V203)</f>
        <v>Syamsul Arifianto</v>
      </c>
      <c r="W203" s="11">
        <v>46266</v>
      </c>
      <c r="X203" s="12" t="b">
        <f>[1]STR!$X203</f>
        <v>1</v>
      </c>
      <c r="Y203" t="str">
        <f>_xlfn.XLOOKUP(TRIM(B203), [4]STR!$2:$2,[4]STR!$44:$44, "")</f>
        <v/>
      </c>
    </row>
    <row r="204" spans="1:25">
      <c r="A204" s="9">
        <v>46265</v>
      </c>
      <c r="B204" s="9" t="str">
        <v xml:space="preserve">DWITARI SEJAHTERA PROPERTINDO           </v>
      </c>
      <c r="C204" s="9" t="str">
        <v>DVL0242</v>
      </c>
      <c r="D204" s="9">
        <v>60901001713567</v>
      </c>
      <c r="E204" s="9" t="str">
        <v>SEDANG</v>
      </c>
      <c r="F204" s="9" t="str">
        <v>Tidak</v>
      </c>
      <c r="G204" s="9" t="str">
        <v>Tidak</v>
      </c>
      <c r="H204" s="9" t="str">
        <v>Tidak</v>
      </c>
      <c r="I204" s="9" t="str">
        <v>Perpajakan</v>
      </c>
      <c r="J204" s="9">
        <v>48</v>
      </c>
      <c r="K204" s="9">
        <v>41</v>
      </c>
      <c r="L204" s="9" t="str">
        <v>Perpajakan</v>
      </c>
      <c r="M204" s="9" t="str">
        <v xml:space="preserve">KC Semarang A. Yani                     </v>
      </c>
      <c r="N204" s="9" t="str">
        <v xml:space="preserve">KC Semarang A. Yani                     </v>
      </c>
      <c r="O204" s="9" t="str">
        <v xml:space="preserve">Semarang                                </v>
      </c>
      <c r="P204" s="9" t="str">
        <v>Tidak</v>
      </c>
      <c r="Q204" s="9" t="str">
        <v>Tidak</v>
      </c>
      <c r="R204" s="9" t="str">
        <v>Done</v>
      </c>
      <c r="S204" s="9" t="str">
        <v>Pending Signer</v>
      </c>
      <c r="T204" s="9" t="str">
        <v>90170665 - Mutiara Ayuningtyas</v>
      </c>
      <c r="U204" s="9" t="str">
        <v>"-"</v>
      </c>
      <c r="V204" s="10" t="str">
        <f>IF([1]STR!$V204 = "", "", [1]STR!$V204)</f>
        <v>Veronica Dwi Kurniasih</v>
      </c>
      <c r="W204" s="11">
        <v>46265</v>
      </c>
      <c r="X204" s="12" t="b">
        <f>[1]STR!$X204</f>
        <v>1</v>
      </c>
      <c r="Y204" t="str">
        <f>_xlfn.XLOOKUP(TRIM(B204), [4]STR!$2:$2,[4]STR!$44:$44, "")</f>
        <v/>
      </c>
    </row>
    <row r="205" spans="1:25">
      <c r="A205" s="9">
        <v>46265</v>
      </c>
      <c r="B205" s="9" t="str">
        <v xml:space="preserve">ELAN SUMIANTO                           </v>
      </c>
      <c r="C205" s="9" t="str">
        <v>EV30359</v>
      </c>
      <c r="D205" s="9">
        <v>3401007033534</v>
      </c>
      <c r="E205" s="9" t="str">
        <v>SEDANG</v>
      </c>
      <c r="F205" s="9" t="str">
        <v>Ya</v>
      </c>
      <c r="G205" s="9" t="str">
        <v>Tidak</v>
      </c>
      <c r="H205" s="9" t="str">
        <v>Tidak</v>
      </c>
      <c r="I205" s="9" t="str">
        <v>Narkotika - Area Lapas</v>
      </c>
      <c r="J205" s="9">
        <v>50</v>
      </c>
      <c r="K205" s="9">
        <v>46</v>
      </c>
      <c r="L205" s="9" t="str">
        <v>Narkotika</v>
      </c>
      <c r="M205" s="9" t="str">
        <v>KC Kendal</v>
      </c>
      <c r="N205" s="9" t="str">
        <v>KC Kendal</v>
      </c>
      <c r="O205" s="9" t="str">
        <v>Semarang</v>
      </c>
      <c r="P205" s="9" t="str">
        <v>Tidak</v>
      </c>
      <c r="Q205" s="9" t="str">
        <v>Tidak</v>
      </c>
      <c r="R205" s="9" t="str">
        <v>Done</v>
      </c>
      <c r="S205" s="9" t="str">
        <v>Approved</v>
      </c>
      <c r="T205" s="9" t="str">
        <v>90170665 - Mutiara Ayuningtyas</v>
      </c>
      <c r="U205" s="9" t="str">
        <v>"-"</v>
      </c>
      <c r="V205" s="10" t="str">
        <f>IF([1]STR!$V205 = "", "", [1]STR!$V205)</f>
        <v/>
      </c>
      <c r="W205" s="11">
        <v>46110</v>
      </c>
      <c r="X205" s="12" t="b">
        <f>[1]STR!$X205</f>
        <v>1</v>
      </c>
      <c r="Y205" t="str">
        <f>_xlfn.XLOOKUP(TRIM(B205), [4]STR!$2:$2,[4]STR!$44:$44, "")</f>
        <v/>
      </c>
    </row>
    <row r="206" spans="1:25">
      <c r="A206" s="9">
        <v>46265</v>
      </c>
      <c r="B206" s="9" t="str">
        <v xml:space="preserve">AHMAD SYAEFI                            </v>
      </c>
      <c r="C206" s="9" t="str">
        <v>ARJ8544</v>
      </c>
      <c r="D206" s="9">
        <v>19001002203304</v>
      </c>
      <c r="E206" s="9" t="str">
        <v>SEDANG</v>
      </c>
      <c r="F206" s="9" t="str">
        <v>Tidak</v>
      </c>
      <c r="G206" s="9" t="str">
        <v>Tidak</v>
      </c>
      <c r="H206" s="9" t="str">
        <v>Tidak</v>
      </c>
      <c r="I206" s="9" t="str">
        <v>Pencurian Rekening</v>
      </c>
      <c r="J206" s="9">
        <v>49</v>
      </c>
      <c r="K206" s="9">
        <v>59</v>
      </c>
      <c r="L206" s="9" t="str">
        <v>Perbankan</v>
      </c>
      <c r="M206" s="9" t="str">
        <v xml:space="preserve">KC Bumiayu                              </v>
      </c>
      <c r="N206" s="9" t="str">
        <v xml:space="preserve">KC Bumiayu                              </v>
      </c>
      <c r="O206" s="9" t="str">
        <v xml:space="preserve">Semarang                                </v>
      </c>
      <c r="P206" s="9" t="str">
        <v>Tidak</v>
      </c>
      <c r="Q206" s="9" t="str">
        <v>Tidak</v>
      </c>
      <c r="R206" s="9" t="str">
        <v>Done</v>
      </c>
      <c r="S206" s="9" t="str">
        <v>Approved</v>
      </c>
      <c r="T206" s="9" t="str">
        <v>90170665 - Mutiara Ayuningtyas</v>
      </c>
      <c r="U206" s="9" t="str">
        <v>"-"</v>
      </c>
      <c r="V206" s="10" t="str">
        <f>IF([1]STR!$V206 = "", "", [1]STR!$V206)</f>
        <v/>
      </c>
      <c r="W206" s="11">
        <v>46051</v>
      </c>
      <c r="X206" s="12" t="b">
        <f>[1]STR!$X206</f>
        <v>1</v>
      </c>
      <c r="Y206" t="str">
        <f>_xlfn.XLOOKUP(TRIM(B206), [4]STR!$2:$2,[4]STR!$44:$44, "")</f>
        <v/>
      </c>
    </row>
    <row r="207" spans="1:25">
      <c r="A207" s="9">
        <v>46265</v>
      </c>
      <c r="B207" s="9" t="str">
        <v xml:space="preserve">CV MAU CORP                             </v>
      </c>
      <c r="C207" s="9" t="str">
        <v>CX68871</v>
      </c>
      <c r="D207" s="9">
        <v>583301000028567</v>
      </c>
      <c r="E207" s="9">
        <v>0</v>
      </c>
      <c r="F207" s="9" t="str">
        <v>Tidak</v>
      </c>
      <c r="G207" s="9" t="str">
        <v>Tidak</v>
      </c>
      <c r="H207" s="9" t="str">
        <v>Tidak</v>
      </c>
      <c r="I207" s="9" t="str">
        <v>Business Email Compromise (BEC)</v>
      </c>
      <c r="J207" s="9">
        <v>30</v>
      </c>
      <c r="K207" s="9">
        <v>13</v>
      </c>
      <c r="L207" s="9" t="str">
        <v>Penipuan</v>
      </c>
      <c r="M207" s="9" t="str">
        <v xml:space="preserve">UNIT JETIS BLORA                        </v>
      </c>
      <c r="N207" s="9" t="str">
        <v xml:space="preserve">KC Blora                                </v>
      </c>
      <c r="O207" s="9" t="str">
        <v xml:space="preserve">Semarang                                </v>
      </c>
      <c r="P207" s="9" t="str">
        <v>Tidak</v>
      </c>
      <c r="Q207" s="9" t="str">
        <v>Tidak</v>
      </c>
      <c r="R207" s="9" t="str">
        <v>Done</v>
      </c>
      <c r="S207" s="9" t="str">
        <v>Approved</v>
      </c>
      <c r="T207" s="9" t="str">
        <v>90185538 - Muhammad Fahikal Auz</v>
      </c>
      <c r="U207" s="9" t="str">
        <v>"-"</v>
      </c>
      <c r="V207" s="10" t="str">
        <f>IF([1]STR!$V207 = "", "", [1]STR!$V207)</f>
        <v/>
      </c>
      <c r="W207" s="11">
        <v>46110</v>
      </c>
      <c r="X207" s="12" t="b">
        <f>[1]STR!$X207</f>
        <v>1</v>
      </c>
      <c r="Y207" t="str">
        <f>_xlfn.XLOOKUP(TRIM(B207), [4]STR!$2:$2,[4]STR!$44:$44, "")</f>
        <v/>
      </c>
    </row>
    <row r="208" spans="1:25">
      <c r="A208" s="9">
        <v>46265</v>
      </c>
      <c r="B208" s="9" t="str">
        <v xml:space="preserve">SUMAYA SYAHIDAH                         </v>
      </c>
      <c r="C208" s="9" t="str">
        <v>SNBR144</v>
      </c>
      <c r="D208" s="9">
        <v>2201084042503</v>
      </c>
      <c r="E208" s="9" t="str">
        <v>SEDANG</v>
      </c>
      <c r="F208" s="9" t="str">
        <v>Tidak</v>
      </c>
      <c r="G208" s="9" t="str">
        <v>Tidak</v>
      </c>
      <c r="H208" s="9" t="str">
        <v>Tidak</v>
      </c>
      <c r="I208" s="9" t="str">
        <v>Perikanan dan Kelautan</v>
      </c>
      <c r="J208" s="9">
        <v>48</v>
      </c>
      <c r="K208" s="9">
        <v>101</v>
      </c>
      <c r="L208" s="9" t="str">
        <v>Perikanan dan Kelautan</v>
      </c>
      <c r="M208" s="9" t="str">
        <v xml:space="preserve">UNIT SLAWI                              </v>
      </c>
      <c r="N208" s="9" t="str">
        <v xml:space="preserve">KC Slawi                                </v>
      </c>
      <c r="O208" s="9" t="str">
        <v xml:space="preserve">Semarang                                </v>
      </c>
      <c r="P208" s="9" t="str">
        <v>Tidak</v>
      </c>
      <c r="Q208" s="9" t="str">
        <v>Tidak</v>
      </c>
      <c r="R208" s="9" t="str">
        <v>Done</v>
      </c>
      <c r="S208" s="9" t="str">
        <v>Approved</v>
      </c>
      <c r="T208" s="9" t="str">
        <v>90150130 - Intan Aida Pratiwi</v>
      </c>
      <c r="U208" s="9" t="str">
        <v>"-"</v>
      </c>
      <c r="V208" s="10" t="str">
        <f>IF([1]STR!$V208 = "", "", [1]STR!$V208)</f>
        <v/>
      </c>
      <c r="W208" s="11">
        <v>46051</v>
      </c>
      <c r="X208" s="12" t="b">
        <f>[1]STR!$X208</f>
        <v>1</v>
      </c>
      <c r="Y208" t="str">
        <f>_xlfn.XLOOKUP(TRIM(B208), [4]STR!$2:$2,[4]STR!$44:$44, "")</f>
        <v/>
      </c>
    </row>
    <row r="209" spans="1:25">
      <c r="A209" s="9">
        <v>46265</v>
      </c>
      <c r="B209" s="9" t="str">
        <v xml:space="preserve">PT GLOBAL TEKNOLOGI CATV INDONESIA      </v>
      </c>
      <c r="C209" s="9" t="str">
        <v>PMS3178</v>
      </c>
      <c r="D209" s="9">
        <v>67701000526562</v>
      </c>
      <c r="E209" s="9" t="str">
        <v>TINGGI</v>
      </c>
      <c r="F209" s="9" t="str">
        <v>Tidak</v>
      </c>
      <c r="G209" s="9" t="str">
        <v>Tidak</v>
      </c>
      <c r="H209" s="9" t="str">
        <v>Tidak</v>
      </c>
      <c r="I209" s="9" t="str">
        <v>Perpajakan</v>
      </c>
      <c r="J209" s="9">
        <v>63</v>
      </c>
      <c r="K209" s="9">
        <v>41</v>
      </c>
      <c r="L209" s="9" t="str">
        <v>Perpajakan</v>
      </c>
      <c r="M209" s="9" t="str">
        <v xml:space="preserve">KCP PIERE TENDEAN                       </v>
      </c>
      <c r="N209" s="9" t="str">
        <v xml:space="preserve">KC Semarang Pandanaran                  </v>
      </c>
      <c r="O209" s="9" t="str">
        <v xml:space="preserve">Semarang                                </v>
      </c>
      <c r="P209" s="9" t="str">
        <v>Tidak</v>
      </c>
      <c r="Q209" s="9" t="str">
        <v>Tidak</v>
      </c>
      <c r="R209" s="9" t="str">
        <v>Done</v>
      </c>
      <c r="S209" s="9" t="str">
        <v>Approved</v>
      </c>
      <c r="T209" s="9" t="str">
        <v>00394520 - Frida Akbar Rani</v>
      </c>
      <c r="U209" s="9" t="str">
        <v>"-"</v>
      </c>
      <c r="V209" s="10" t="str">
        <f>IF([1]STR!$V209 = "", "", [1]STR!$V209)</f>
        <v>Syamsul Arifianto</v>
      </c>
      <c r="W209" s="11">
        <v>46265</v>
      </c>
      <c r="X209" s="12" t="b">
        <f>[1]STR!$X209</f>
        <v>1</v>
      </c>
      <c r="Y209" t="str">
        <f>_xlfn.XLOOKUP(TRIM(B209), [4]STR!$2:$2,[4]STR!$44:$44, "")</f>
        <v/>
      </c>
    </row>
  </sheetData>
  <protectedRanges>
    <protectedRange sqref="V1:X209" name="Range2"/>
  </protectedRanges>
  <autoFilter ref="A1:Z209" xr:uid="{5D929615-8C3A-47EA-A934-C22D5264FDC7}"/>
  <dataValidations count="1">
    <dataValidation allowBlank="1" showInputMessage="1" showErrorMessage="1" sqref="V2:V209" xr:uid="{5C4CEAFA-D102-450C-8714-FE6CF2449C6E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5"/>
  <sheetViews>
    <sheetView workbookViewId="0">
      <selection activeCell="B21" sqref="B21"/>
    </sheetView>
  </sheetViews>
  <sheetFormatPr defaultRowHeight="14.45"/>
  <cols>
    <col min="1" max="1" width="5.5703125" customWidth="1"/>
    <col min="2" max="2" width="30.85546875" customWidth="1"/>
    <col min="3" max="3" width="22.7109375" customWidth="1"/>
  </cols>
  <sheetData>
    <row r="1" spans="1:5" ht="15">
      <c r="D1" s="52">
        <v>46280</v>
      </c>
      <c r="E1" s="53"/>
    </row>
    <row r="2" spans="1:5" ht="14.45" customHeight="1">
      <c r="A2" s="4" t="s">
        <v>27</v>
      </c>
      <c r="B2" s="4" t="s">
        <v>28</v>
      </c>
      <c r="C2" s="4" t="s">
        <v>29</v>
      </c>
      <c r="D2" s="26" t="s">
        <v>30</v>
      </c>
      <c r="E2" s="26" t="s">
        <v>31</v>
      </c>
    </row>
    <row r="3" spans="1:5" ht="15">
      <c r="A3" s="3">
        <v>1</v>
      </c>
      <c r="B3" s="15" t="s">
        <v>32</v>
      </c>
      <c r="C3" s="21" t="s">
        <v>33</v>
      </c>
      <c r="D3" s="29">
        <f>_xlfn.XLOOKUP(B3, [2]PEP!$B:$B,[2]PEP!$G:$G)</f>
        <v>1</v>
      </c>
      <c r="E3" s="54">
        <f>AVERAGE(D3:D13)</f>
        <v>0.97928746152237423</v>
      </c>
    </row>
    <row r="4" spans="1:5" ht="15">
      <c r="A4" s="3">
        <v>2</v>
      </c>
      <c r="B4" s="16" t="s">
        <v>34</v>
      </c>
      <c r="C4" s="21" t="s">
        <v>33</v>
      </c>
      <c r="D4" s="29">
        <f>_xlfn.XLOOKUP(B4, [2]PEP!$B:$B,[2]PEP!$G:$G)</f>
        <v>0.97368421052631582</v>
      </c>
      <c r="E4" s="55"/>
    </row>
    <row r="5" spans="1:5" ht="15">
      <c r="A5" s="3">
        <v>3</v>
      </c>
      <c r="B5" s="16" t="s">
        <v>35</v>
      </c>
      <c r="C5" s="21" t="s">
        <v>33</v>
      </c>
      <c r="D5" s="29">
        <f>_xlfn.XLOOKUP(B5, [2]PEP!$B:$B,[2]PEP!$G:$G)</f>
        <v>1</v>
      </c>
      <c r="E5" s="55"/>
    </row>
    <row r="6" spans="1:5" ht="15">
      <c r="A6" s="3">
        <v>4</v>
      </c>
      <c r="B6" s="16" t="s">
        <v>36</v>
      </c>
      <c r="C6" s="21" t="s">
        <v>33</v>
      </c>
      <c r="D6" s="29">
        <f>_xlfn.XLOOKUP(B6, [2]PEP!$B:$B,[2]PEP!$G:$G)</f>
        <v>1</v>
      </c>
      <c r="E6" s="55"/>
    </row>
    <row r="7" spans="1:5" ht="15">
      <c r="A7" s="3">
        <v>5</v>
      </c>
      <c r="B7" s="16" t="s">
        <v>37</v>
      </c>
      <c r="C7" s="21" t="s">
        <v>33</v>
      </c>
      <c r="D7" s="29">
        <f>_xlfn.XLOOKUP(B7, [2]PEP!$B:$B,[2]PEP!$G:$G)</f>
        <v>0.95454545454545459</v>
      </c>
      <c r="E7" s="55"/>
    </row>
    <row r="8" spans="1:5" ht="15">
      <c r="A8" s="3">
        <v>6</v>
      </c>
      <c r="B8" s="16" t="s">
        <v>38</v>
      </c>
      <c r="C8" s="21" t="s">
        <v>33</v>
      </c>
      <c r="D8" s="29">
        <f>_xlfn.XLOOKUP(B8, [2]PEP!$B:$B,[2]PEP!$G:$G)</f>
        <v>0.967741935483871</v>
      </c>
      <c r="E8" s="55"/>
    </row>
    <row r="9" spans="1:5" ht="15">
      <c r="A9" s="3">
        <v>7</v>
      </c>
      <c r="B9" s="16" t="s">
        <v>39</v>
      </c>
      <c r="C9" s="21" t="s">
        <v>33</v>
      </c>
      <c r="D9" s="29">
        <f>_xlfn.XLOOKUP(B9, [2]PEP!$B:$B,[2]PEP!$G:$G)</f>
        <v>1</v>
      </c>
      <c r="E9" s="55"/>
    </row>
    <row r="10" spans="1:5" ht="15">
      <c r="A10" s="3">
        <v>8</v>
      </c>
      <c r="B10" s="16" t="s">
        <v>40</v>
      </c>
      <c r="C10" s="21" t="s">
        <v>33</v>
      </c>
      <c r="D10" s="29">
        <f>_xlfn.XLOOKUP(B10, [2]PEP!$B:$B,[2]PEP!$G:$G)</f>
        <v>1</v>
      </c>
      <c r="E10" s="55"/>
    </row>
    <row r="11" spans="1:5" ht="15">
      <c r="A11" s="3">
        <v>9</v>
      </c>
      <c r="B11" s="16" t="s">
        <v>41</v>
      </c>
      <c r="C11" s="21" t="s">
        <v>33</v>
      </c>
      <c r="D11" s="29">
        <f>_xlfn.XLOOKUP(B11, [2]PEP!$B:$B,[2]PEP!$G:$G)</f>
        <v>0.93333333333333335</v>
      </c>
      <c r="E11" s="55"/>
    </row>
    <row r="12" spans="1:5" ht="15">
      <c r="A12" s="3">
        <v>10</v>
      </c>
      <c r="B12" s="16" t="s">
        <v>42</v>
      </c>
      <c r="C12" s="21" t="s">
        <v>33</v>
      </c>
      <c r="D12" s="29">
        <f>_xlfn.XLOOKUP(B12, [2]PEP!$B:$B,[2]PEP!$G:$G)</f>
        <v>1</v>
      </c>
      <c r="E12" s="55"/>
    </row>
    <row r="13" spans="1:5" ht="15">
      <c r="A13" s="3">
        <v>11</v>
      </c>
      <c r="B13" s="16" t="s">
        <v>43</v>
      </c>
      <c r="C13" s="21" t="s">
        <v>33</v>
      </c>
      <c r="D13" s="29">
        <f>_xlfn.XLOOKUP(B13, [2]PEP!$B:$B,[2]PEP!$G:$G)</f>
        <v>0.94285714285714284</v>
      </c>
      <c r="E13" s="56"/>
    </row>
    <row r="14" spans="1:5" ht="15">
      <c r="A14" s="3">
        <v>12</v>
      </c>
      <c r="B14" s="16" t="s">
        <v>44</v>
      </c>
      <c r="C14" s="21" t="s">
        <v>45</v>
      </c>
      <c r="D14" s="29">
        <f>_xlfn.XLOOKUP(B14, [2]PEP!$B:$B,[2]PEP!$G:$G)</f>
        <v>1</v>
      </c>
      <c r="E14" s="54">
        <f>AVERAGE(D14:D24)</f>
        <v>0.98749337263227155</v>
      </c>
    </row>
    <row r="15" spans="1:5" ht="15">
      <c r="A15" s="3">
        <v>13</v>
      </c>
      <c r="B15" s="16" t="s">
        <v>46</v>
      </c>
      <c r="C15" s="21" t="s">
        <v>45</v>
      </c>
      <c r="D15" s="29">
        <f>_xlfn.XLOOKUP(B15, [2]PEP!$B:$B,[2]PEP!$G:$G)</f>
        <v>1</v>
      </c>
      <c r="E15" s="55"/>
    </row>
    <row r="16" spans="1:5" ht="15">
      <c r="A16" s="3">
        <v>14</v>
      </c>
      <c r="B16" s="16" t="s">
        <v>47</v>
      </c>
      <c r="C16" s="21" t="s">
        <v>45</v>
      </c>
      <c r="D16" s="29">
        <f>_xlfn.XLOOKUP(B16, [2]PEP!$B:$B,[2]PEP!$G:$G)</f>
        <v>0.96666666666666667</v>
      </c>
      <c r="E16" s="55"/>
    </row>
    <row r="17" spans="1:5" ht="15">
      <c r="A17" s="3">
        <v>15</v>
      </c>
      <c r="B17" s="16" t="s">
        <v>48</v>
      </c>
      <c r="C17" s="21" t="s">
        <v>45</v>
      </c>
      <c r="D17" s="29">
        <f>_xlfn.XLOOKUP(B17, [2]PEP!$B:$B,[2]PEP!$G:$G)</f>
        <v>0.96666666666666667</v>
      </c>
      <c r="E17" s="55"/>
    </row>
    <row r="18" spans="1:5" ht="15">
      <c r="A18" s="3">
        <v>16</v>
      </c>
      <c r="B18" s="16" t="s">
        <v>49</v>
      </c>
      <c r="C18" s="21" t="s">
        <v>45</v>
      </c>
      <c r="D18" s="29">
        <f>_xlfn.XLOOKUP(B18, [2]PEP!$B:$B,[2]PEP!$G:$G)</f>
        <v>0.95454545454545459</v>
      </c>
      <c r="E18" s="55"/>
    </row>
    <row r="19" spans="1:5" ht="15">
      <c r="A19" s="3">
        <v>17</v>
      </c>
      <c r="B19" s="16" t="s">
        <v>50</v>
      </c>
      <c r="C19" s="21" t="s">
        <v>45</v>
      </c>
      <c r="D19" s="29">
        <f>_xlfn.XLOOKUP(B19, [2]PEP!$B:$B,[2]PEP!$G:$G)</f>
        <v>1</v>
      </c>
      <c r="E19" s="55"/>
    </row>
    <row r="20" spans="1:5" ht="15">
      <c r="A20" s="3">
        <v>18</v>
      </c>
      <c r="B20" s="16" t="s">
        <v>51</v>
      </c>
      <c r="C20" s="21" t="s">
        <v>45</v>
      </c>
      <c r="D20" s="29">
        <f>_xlfn.XLOOKUP(B20, [2]PEP!$B:$B,[2]PEP!$G:$G)</f>
        <v>0.98947368421052628</v>
      </c>
      <c r="E20" s="55"/>
    </row>
    <row r="21" spans="1:5" ht="15">
      <c r="A21" s="3">
        <v>19</v>
      </c>
      <c r="B21" s="16" t="s">
        <v>52</v>
      </c>
      <c r="C21" s="21" t="s">
        <v>45</v>
      </c>
      <c r="D21" s="29">
        <f>_xlfn.XLOOKUP(B21, [2]PEP!$B:$B,[2]PEP!$G:$G)</f>
        <v>0.9850746268656716</v>
      </c>
      <c r="E21" s="55"/>
    </row>
    <row r="22" spans="1:5" ht="15">
      <c r="A22" s="3">
        <v>20</v>
      </c>
      <c r="B22" s="16" t="s">
        <v>53</v>
      </c>
      <c r="C22" s="21" t="s">
        <v>45</v>
      </c>
      <c r="D22" s="29">
        <f>_xlfn.XLOOKUP(B22, [2]PEP!$B:$B,[2]PEP!$G:$G)</f>
        <v>1</v>
      </c>
      <c r="E22" s="55"/>
    </row>
    <row r="23" spans="1:5" ht="15">
      <c r="A23" s="3">
        <v>21</v>
      </c>
      <c r="B23" s="16" t="s">
        <v>54</v>
      </c>
      <c r="C23" s="21" t="s">
        <v>45</v>
      </c>
      <c r="D23" s="29">
        <f>_xlfn.XLOOKUP(B23, [2]PEP!$B:$B,[2]PEP!$G:$G)</f>
        <v>1</v>
      </c>
      <c r="E23" s="55"/>
    </row>
    <row r="24" spans="1:5" ht="15">
      <c r="A24" s="3">
        <v>22</v>
      </c>
      <c r="B24" s="16" t="s">
        <v>55</v>
      </c>
      <c r="C24" s="21" t="s">
        <v>45</v>
      </c>
      <c r="D24" s="29">
        <f>_xlfn.XLOOKUP(B24, [2]PEP!$B:$B,[2]PEP!$G:$G)</f>
        <v>1</v>
      </c>
      <c r="E24" s="56"/>
    </row>
    <row r="25" spans="1:5" ht="15"/>
  </sheetData>
  <autoFilter ref="B2:D2" xr:uid="{41D34422-91B6-4A51-943A-538253BDFA20}">
    <sortState xmlns:xlrd2="http://schemas.microsoft.com/office/spreadsheetml/2017/richdata2" ref="B3:D24">
      <sortCondition ref="C2"/>
    </sortState>
  </autoFilter>
  <mergeCells count="3">
    <mergeCell ref="D1:E1"/>
    <mergeCell ref="E3:E13"/>
    <mergeCell ref="E1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7CBB-E187-4E84-8470-0F4D90D7D9B6}">
  <sheetPr>
    <tabColor theme="6" tint="-0.249977111117893"/>
  </sheetPr>
  <dimension ref="A1:E24"/>
  <sheetViews>
    <sheetView workbookViewId="0">
      <selection activeCell="B2" sqref="B2:D2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7.42578125" bestFit="1" customWidth="1"/>
  </cols>
  <sheetData>
    <row r="1" spans="1:5">
      <c r="D1" s="52">
        <v>46280</v>
      </c>
      <c r="E1" s="53"/>
    </row>
    <row r="2" spans="1:5">
      <c r="A2" s="4" t="s">
        <v>27</v>
      </c>
      <c r="B2" s="4" t="s">
        <v>28</v>
      </c>
      <c r="C2" s="4" t="s">
        <v>29</v>
      </c>
      <c r="D2" s="26" t="s">
        <v>56</v>
      </c>
      <c r="E2" s="26" t="s">
        <v>31</v>
      </c>
    </row>
    <row r="3" spans="1:5">
      <c r="A3" s="3">
        <v>1</v>
      </c>
      <c r="B3" s="1" t="s">
        <v>32</v>
      </c>
      <c r="C3" s="21" t="s">
        <v>33</v>
      </c>
      <c r="D3" s="27">
        <v>1</v>
      </c>
      <c r="E3" s="54">
        <f>AVERAGE(D3:D13)</f>
        <v>1</v>
      </c>
    </row>
    <row r="4" spans="1:5">
      <c r="A4" s="3">
        <v>2</v>
      </c>
      <c r="B4" s="1" t="s">
        <v>34</v>
      </c>
      <c r="C4" s="21" t="s">
        <v>33</v>
      </c>
      <c r="D4" s="27">
        <v>1</v>
      </c>
      <c r="E4" s="55"/>
    </row>
    <row r="5" spans="1:5">
      <c r="A5" s="3">
        <v>3</v>
      </c>
      <c r="B5" s="1" t="s">
        <v>44</v>
      </c>
      <c r="C5" s="21" t="s">
        <v>45</v>
      </c>
      <c r="D5" s="27">
        <v>1</v>
      </c>
      <c r="E5" s="55"/>
    </row>
    <row r="6" spans="1:5">
      <c r="A6" s="3">
        <v>4</v>
      </c>
      <c r="B6" s="1" t="s">
        <v>46</v>
      </c>
      <c r="C6" s="21" t="s">
        <v>45</v>
      </c>
      <c r="D6" s="27">
        <v>1</v>
      </c>
      <c r="E6" s="55"/>
    </row>
    <row r="7" spans="1:5">
      <c r="A7" s="3">
        <v>5</v>
      </c>
      <c r="B7" s="1" t="s">
        <v>35</v>
      </c>
      <c r="C7" s="21" t="s">
        <v>33</v>
      </c>
      <c r="D7" s="27">
        <v>1</v>
      </c>
      <c r="E7" s="55"/>
    </row>
    <row r="8" spans="1:5">
      <c r="A8" s="3">
        <v>6</v>
      </c>
      <c r="B8" s="1" t="s">
        <v>47</v>
      </c>
      <c r="C8" s="21" t="s">
        <v>45</v>
      </c>
      <c r="D8" s="27">
        <v>1</v>
      </c>
      <c r="E8" s="55"/>
    </row>
    <row r="9" spans="1:5">
      <c r="A9" s="3">
        <v>7</v>
      </c>
      <c r="B9" s="1" t="s">
        <v>48</v>
      </c>
      <c r="C9" s="21" t="s">
        <v>45</v>
      </c>
      <c r="D9" s="27">
        <v>1</v>
      </c>
      <c r="E9" s="55"/>
    </row>
    <row r="10" spans="1:5">
      <c r="A10" s="3">
        <v>8</v>
      </c>
      <c r="B10" s="1" t="s">
        <v>36</v>
      </c>
      <c r="C10" s="21" t="s">
        <v>33</v>
      </c>
      <c r="D10" s="27">
        <v>1</v>
      </c>
      <c r="E10" s="55"/>
    </row>
    <row r="11" spans="1:5">
      <c r="A11" s="3">
        <v>9</v>
      </c>
      <c r="B11" s="1" t="s">
        <v>49</v>
      </c>
      <c r="C11" s="21" t="s">
        <v>45</v>
      </c>
      <c r="D11" s="27">
        <v>1</v>
      </c>
      <c r="E11" s="55"/>
    </row>
    <row r="12" spans="1:5">
      <c r="A12" s="3">
        <v>10</v>
      </c>
      <c r="B12" s="1" t="s">
        <v>37</v>
      </c>
      <c r="C12" s="21" t="s">
        <v>33</v>
      </c>
      <c r="D12" s="27">
        <v>1</v>
      </c>
      <c r="E12" s="55"/>
    </row>
    <row r="13" spans="1:5">
      <c r="A13" s="3">
        <v>11</v>
      </c>
      <c r="B13" s="1" t="s">
        <v>38</v>
      </c>
      <c r="C13" s="21" t="s">
        <v>33</v>
      </c>
      <c r="D13" s="27">
        <v>1</v>
      </c>
      <c r="E13" s="56"/>
    </row>
    <row r="14" spans="1:5">
      <c r="A14" s="3">
        <v>12</v>
      </c>
      <c r="B14" s="1" t="s">
        <v>39</v>
      </c>
      <c r="C14" s="21" t="s">
        <v>33</v>
      </c>
      <c r="D14" s="27">
        <v>1</v>
      </c>
      <c r="E14" s="54">
        <f>AVERAGE(D14:D24)</f>
        <v>1</v>
      </c>
    </row>
    <row r="15" spans="1:5">
      <c r="A15" s="3">
        <v>13</v>
      </c>
      <c r="B15" s="1" t="s">
        <v>50</v>
      </c>
      <c r="C15" s="21" t="s">
        <v>45</v>
      </c>
      <c r="D15" s="27">
        <v>1</v>
      </c>
      <c r="E15" s="55"/>
    </row>
    <row r="16" spans="1:5">
      <c r="A16" s="3">
        <v>14</v>
      </c>
      <c r="B16" s="1" t="s">
        <v>40</v>
      </c>
      <c r="C16" s="21" t="s">
        <v>33</v>
      </c>
      <c r="D16" s="27">
        <v>1</v>
      </c>
      <c r="E16" s="55"/>
    </row>
    <row r="17" spans="1:5">
      <c r="A17" s="3">
        <v>15</v>
      </c>
      <c r="B17" s="2" t="s">
        <v>41</v>
      </c>
      <c r="C17" s="21" t="s">
        <v>33</v>
      </c>
      <c r="D17" s="27">
        <v>1</v>
      </c>
      <c r="E17" s="55"/>
    </row>
    <row r="18" spans="1:5">
      <c r="A18" s="3">
        <v>16</v>
      </c>
      <c r="B18" s="1" t="s">
        <v>57</v>
      </c>
      <c r="C18" s="21" t="s">
        <v>45</v>
      </c>
      <c r="D18" s="27">
        <v>1</v>
      </c>
      <c r="E18" s="55"/>
    </row>
    <row r="19" spans="1:5">
      <c r="A19" s="3">
        <v>17</v>
      </c>
      <c r="B19" s="1" t="s">
        <v>58</v>
      </c>
      <c r="C19" s="21" t="s">
        <v>33</v>
      </c>
      <c r="D19" s="27">
        <v>1</v>
      </c>
      <c r="E19" s="55"/>
    </row>
    <row r="20" spans="1:5">
      <c r="A20" s="3">
        <v>18</v>
      </c>
      <c r="B20" s="1" t="s">
        <v>52</v>
      </c>
      <c r="C20" s="21" t="s">
        <v>45</v>
      </c>
      <c r="D20" s="27">
        <v>1</v>
      </c>
      <c r="E20" s="55"/>
    </row>
    <row r="21" spans="1:5">
      <c r="A21" s="3">
        <v>19</v>
      </c>
      <c r="B21" s="1" t="s">
        <v>43</v>
      </c>
      <c r="C21" s="21" t="s">
        <v>33</v>
      </c>
      <c r="D21" s="27">
        <v>1</v>
      </c>
      <c r="E21" s="55"/>
    </row>
    <row r="22" spans="1:5">
      <c r="A22" s="3">
        <v>20</v>
      </c>
      <c r="B22" s="1" t="s">
        <v>53</v>
      </c>
      <c r="C22" s="21" t="s">
        <v>45</v>
      </c>
      <c r="D22" s="27">
        <v>1</v>
      </c>
      <c r="E22" s="55"/>
    </row>
    <row r="23" spans="1:5">
      <c r="A23" s="3">
        <v>21</v>
      </c>
      <c r="B23" s="1" t="s">
        <v>54</v>
      </c>
      <c r="C23" s="21" t="s">
        <v>45</v>
      </c>
      <c r="D23" s="27">
        <v>1</v>
      </c>
      <c r="E23" s="55"/>
    </row>
    <row r="24" spans="1:5">
      <c r="A24" s="3">
        <v>22</v>
      </c>
      <c r="B24" s="1" t="s">
        <v>55</v>
      </c>
      <c r="C24" s="21" t="s">
        <v>45</v>
      </c>
      <c r="D24" s="27">
        <v>1</v>
      </c>
      <c r="E24" s="56"/>
    </row>
  </sheetData>
  <autoFilter ref="B2:D2" xr:uid="{EADB7CBB-E187-4E84-8470-0F4D90D7D9B6}"/>
  <mergeCells count="3">
    <mergeCell ref="D1:E1"/>
    <mergeCell ref="E3:E13"/>
    <mergeCell ref="E1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5"/>
  <sheetViews>
    <sheetView topLeftCell="A2"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7.42578125" bestFit="1" customWidth="1"/>
  </cols>
  <sheetData>
    <row r="1" spans="1:5" ht="15">
      <c r="D1" s="52">
        <v>46280</v>
      </c>
      <c r="E1" s="53"/>
    </row>
    <row r="2" spans="1:5" ht="15">
      <c r="A2" s="4" t="s">
        <v>27</v>
      </c>
      <c r="B2" s="4" t="s">
        <v>28</v>
      </c>
      <c r="C2" s="18" t="s">
        <v>29</v>
      </c>
      <c r="D2" s="26" t="s">
        <v>59</v>
      </c>
      <c r="E2" s="26" t="s">
        <v>31</v>
      </c>
    </row>
    <row r="3" spans="1:5" ht="15">
      <c r="A3" s="3">
        <v>1</v>
      </c>
      <c r="B3" s="24" t="s">
        <v>32</v>
      </c>
      <c r="C3" s="9" t="s">
        <v>33</v>
      </c>
      <c r="D3" s="28">
        <f>_xlfn.XLOOKUP(B3, '[2]Bad Data'!$B:$B, '[2]Bad Data'!$D:$D)</f>
        <v>3.4199999999999999E-3</v>
      </c>
      <c r="E3" s="54">
        <f>AVERAGE(D3:D13)</f>
        <v>9.9090909090909091E-4</v>
      </c>
    </row>
    <row r="4" spans="1:5" ht="15">
      <c r="A4" s="3">
        <v>2</v>
      </c>
      <c r="B4" s="24" t="s">
        <v>34</v>
      </c>
      <c r="C4" s="9" t="s">
        <v>33</v>
      </c>
      <c r="D4" s="28">
        <f>_xlfn.XLOOKUP(B4, '[2]Bad Data'!$B:$B, '[2]Bad Data'!$D:$D)</f>
        <v>2.9E-4</v>
      </c>
      <c r="E4" s="55"/>
    </row>
    <row r="5" spans="1:5" ht="15">
      <c r="A5" s="3">
        <v>3</v>
      </c>
      <c r="B5" s="24" t="s">
        <v>35</v>
      </c>
      <c r="C5" s="9" t="s">
        <v>33</v>
      </c>
      <c r="D5" s="28">
        <f>_xlfn.XLOOKUP(B5, '[2]Bad Data'!$B:$B, '[2]Bad Data'!$D:$D)</f>
        <v>2.4000000000000001E-4</v>
      </c>
      <c r="E5" s="55"/>
    </row>
    <row r="6" spans="1:5" ht="15">
      <c r="A6" s="3">
        <v>4</v>
      </c>
      <c r="B6" s="24" t="s">
        <v>36</v>
      </c>
      <c r="C6" s="9" t="s">
        <v>33</v>
      </c>
      <c r="D6" s="28">
        <f>_xlfn.XLOOKUP(B6, '[2]Bad Data'!$B:$B, '[2]Bad Data'!$D:$D)</f>
        <v>1.07E-3</v>
      </c>
      <c r="E6" s="55"/>
    </row>
    <row r="7" spans="1:5" ht="15">
      <c r="A7" s="3">
        <v>5</v>
      </c>
      <c r="B7" s="24" t="s">
        <v>37</v>
      </c>
      <c r="C7" s="9" t="s">
        <v>33</v>
      </c>
      <c r="D7" s="28">
        <f>_xlfn.XLOOKUP(B7, '[2]Bad Data'!$B:$B, '[2]Bad Data'!$D:$D)</f>
        <v>1.3699999999999999E-3</v>
      </c>
      <c r="E7" s="55"/>
    </row>
    <row r="8" spans="1:5" ht="15">
      <c r="A8" s="3">
        <v>6</v>
      </c>
      <c r="B8" s="24" t="s">
        <v>38</v>
      </c>
      <c r="C8" s="9" t="s">
        <v>33</v>
      </c>
      <c r="D8" s="28">
        <f>_xlfn.XLOOKUP(B8, '[2]Bad Data'!$B:$B, '[2]Bad Data'!$D:$D)</f>
        <v>1.6999999999999999E-3</v>
      </c>
      <c r="E8" s="55"/>
    </row>
    <row r="9" spans="1:5" ht="15">
      <c r="A9" s="3">
        <v>7</v>
      </c>
      <c r="B9" s="24" t="s">
        <v>39</v>
      </c>
      <c r="C9" s="9" t="s">
        <v>33</v>
      </c>
      <c r="D9" s="28">
        <f>_xlfn.XLOOKUP(B9, '[2]Bad Data'!$B:$B, '[2]Bad Data'!$D:$D)</f>
        <v>1.14E-3</v>
      </c>
      <c r="E9" s="55"/>
    </row>
    <row r="10" spans="1:5" ht="15">
      <c r="A10" s="3">
        <v>8</v>
      </c>
      <c r="B10" s="24" t="s">
        <v>40</v>
      </c>
      <c r="C10" s="9" t="s">
        <v>33</v>
      </c>
      <c r="D10" s="28">
        <f>_xlfn.XLOOKUP(B10, '[2]Bad Data'!$B:$B, '[2]Bad Data'!$D:$D)</f>
        <v>6.2E-4</v>
      </c>
      <c r="E10" s="55"/>
    </row>
    <row r="11" spans="1:5" ht="15">
      <c r="A11" s="3">
        <v>9</v>
      </c>
      <c r="B11" s="25" t="s">
        <v>41</v>
      </c>
      <c r="C11" s="9" t="s">
        <v>33</v>
      </c>
      <c r="D11" s="28">
        <f>_xlfn.XLOOKUP(B11, '[2]Bad Data'!$B:$B, '[2]Bad Data'!$D:$D)</f>
        <v>6.7000000000000002E-4</v>
      </c>
      <c r="E11" s="55"/>
    </row>
    <row r="12" spans="1:5" ht="15">
      <c r="A12" s="3">
        <v>10</v>
      </c>
      <c r="B12" s="24" t="s">
        <v>42</v>
      </c>
      <c r="C12" s="9" t="s">
        <v>33</v>
      </c>
      <c r="D12" s="28">
        <f>_xlfn.XLOOKUP(B12, '[2]Bad Data'!$B:$B, '[2]Bad Data'!$D:$D)</f>
        <v>3.5E-4</v>
      </c>
      <c r="E12" s="55"/>
    </row>
    <row r="13" spans="1:5" ht="15">
      <c r="A13" s="3">
        <v>11</v>
      </c>
      <c r="B13" s="24" t="s">
        <v>43</v>
      </c>
      <c r="C13" s="9" t="s">
        <v>33</v>
      </c>
      <c r="D13" s="28">
        <f>_xlfn.XLOOKUP(B13, '[2]Bad Data'!$B:$B, '[2]Bad Data'!$D:$D)</f>
        <v>3.0000000000000001E-5</v>
      </c>
      <c r="E13" s="56"/>
    </row>
    <row r="14" spans="1:5" ht="15">
      <c r="A14" s="3">
        <v>12</v>
      </c>
      <c r="B14" s="24" t="s">
        <v>44</v>
      </c>
      <c r="C14" s="9" t="s">
        <v>45</v>
      </c>
      <c r="D14" s="28">
        <f>_xlfn.XLOOKUP(B14, '[2]Bad Data'!$B:$B, '[2]Bad Data'!$D:$D)</f>
        <v>7.6000000000000004E-4</v>
      </c>
      <c r="E14" s="54">
        <f>AVERAGE(D14:D24)</f>
        <v>7.9727272727272709E-4</v>
      </c>
    </row>
    <row r="15" spans="1:5" ht="15">
      <c r="A15" s="3">
        <v>13</v>
      </c>
      <c r="B15" s="24" t="s">
        <v>46</v>
      </c>
      <c r="C15" s="9" t="s">
        <v>45</v>
      </c>
      <c r="D15" s="28">
        <f>_xlfn.XLOOKUP(B15, '[2]Bad Data'!$B:$B, '[2]Bad Data'!$D:$D)</f>
        <v>1.8400000000000001E-3</v>
      </c>
      <c r="E15" s="55"/>
    </row>
    <row r="16" spans="1:5" ht="15">
      <c r="A16" s="3">
        <v>14</v>
      </c>
      <c r="B16" s="24" t="s">
        <v>47</v>
      </c>
      <c r="C16" s="9" t="s">
        <v>45</v>
      </c>
      <c r="D16" s="28">
        <f>_xlfn.XLOOKUP(B16, '[2]Bad Data'!$B:$B, '[2]Bad Data'!$D:$D)</f>
        <v>7.2000000000000005E-4</v>
      </c>
      <c r="E16" s="55"/>
    </row>
    <row r="17" spans="1:5" ht="15">
      <c r="A17" s="3">
        <v>15</v>
      </c>
      <c r="B17" s="24" t="s">
        <v>48</v>
      </c>
      <c r="C17" s="9" t="s">
        <v>45</v>
      </c>
      <c r="D17" s="28">
        <f>_xlfn.XLOOKUP(B17, '[2]Bad Data'!$B:$B, '[2]Bad Data'!$D:$D)</f>
        <v>8.1999999999999998E-4</v>
      </c>
      <c r="E17" s="55"/>
    </row>
    <row r="18" spans="1:5" ht="15">
      <c r="A18" s="3">
        <v>16</v>
      </c>
      <c r="B18" s="24" t="s">
        <v>49</v>
      </c>
      <c r="C18" s="9" t="s">
        <v>45</v>
      </c>
      <c r="D18" s="28">
        <f>_xlfn.XLOOKUP(B18, '[2]Bad Data'!$B:$B, '[2]Bad Data'!$D:$D)</f>
        <v>1.9000000000000001E-4</v>
      </c>
      <c r="E18" s="55"/>
    </row>
    <row r="19" spans="1:5" ht="15">
      <c r="A19" s="3">
        <v>17</v>
      </c>
      <c r="B19" s="24" t="s">
        <v>50</v>
      </c>
      <c r="C19" s="9" t="s">
        <v>45</v>
      </c>
      <c r="D19" s="28">
        <f>_xlfn.XLOOKUP(B19, '[2]Bad Data'!$B:$B, '[2]Bad Data'!$D:$D)</f>
        <v>1E-3</v>
      </c>
      <c r="E19" s="55"/>
    </row>
    <row r="20" spans="1:5" ht="15">
      <c r="A20" s="3">
        <v>18</v>
      </c>
      <c r="B20" s="24" t="s">
        <v>51</v>
      </c>
      <c r="C20" s="9" t="s">
        <v>45</v>
      </c>
      <c r="D20" s="28">
        <f>_xlfn.XLOOKUP(B20, '[2]Bad Data'!$B:$B, '[2]Bad Data'!$D:$D)</f>
        <v>8.7000000000000001E-4</v>
      </c>
      <c r="E20" s="55"/>
    </row>
    <row r="21" spans="1:5" ht="15">
      <c r="A21" s="3">
        <v>19</v>
      </c>
      <c r="B21" s="24" t="s">
        <v>52</v>
      </c>
      <c r="C21" s="9" t="s">
        <v>45</v>
      </c>
      <c r="D21" s="28">
        <f>_xlfn.XLOOKUP(B21, '[2]Bad Data'!$B:$B, '[2]Bad Data'!$D:$D)</f>
        <v>2.9999999999999997E-4</v>
      </c>
      <c r="E21" s="55"/>
    </row>
    <row r="22" spans="1:5" ht="15">
      <c r="A22" s="3">
        <v>20</v>
      </c>
      <c r="B22" s="24" t="s">
        <v>53</v>
      </c>
      <c r="C22" s="9" t="s">
        <v>45</v>
      </c>
      <c r="D22" s="28">
        <f>_xlfn.XLOOKUP(B22, '[2]Bad Data'!$B:$B, '[2]Bad Data'!$D:$D)</f>
        <v>6.8999999999999997E-4</v>
      </c>
      <c r="E22" s="55"/>
    </row>
    <row r="23" spans="1:5" ht="15">
      <c r="A23" s="3">
        <v>21</v>
      </c>
      <c r="B23" s="24" t="s">
        <v>54</v>
      </c>
      <c r="C23" s="9" t="s">
        <v>45</v>
      </c>
      <c r="D23" s="28">
        <f>_xlfn.XLOOKUP(B23, '[2]Bad Data'!$B:$B, '[2]Bad Data'!$D:$D)</f>
        <v>7.2000000000000005E-4</v>
      </c>
      <c r="E23" s="55"/>
    </row>
    <row r="24" spans="1:5" ht="15">
      <c r="A24" s="3">
        <v>22</v>
      </c>
      <c r="B24" s="24" t="s">
        <v>55</v>
      </c>
      <c r="C24" s="9" t="s">
        <v>45</v>
      </c>
      <c r="D24" s="28">
        <f>_xlfn.XLOOKUP(B24, '[2]Bad Data'!$B:$B, '[2]Bad Data'!$D:$D)</f>
        <v>8.5999999999999998E-4</v>
      </c>
      <c r="E24" s="56"/>
    </row>
    <row r="25" spans="1:5" ht="15"/>
  </sheetData>
  <autoFilter ref="B2:D2" xr:uid="{A94FBD84-5D1A-4337-99EB-B0C267B6544E}">
    <sortState xmlns:xlrd2="http://schemas.microsoft.com/office/spreadsheetml/2017/richdata2" ref="B3:D24">
      <sortCondition ref="C2"/>
    </sortState>
  </autoFilter>
  <mergeCells count="3">
    <mergeCell ref="D1:E1"/>
    <mergeCell ref="E3:E13"/>
    <mergeCell ref="E14:E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27</v>
      </c>
      <c r="B1" s="4" t="s">
        <v>28</v>
      </c>
      <c r="C1" s="4" t="s">
        <v>29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</row>
    <row r="2" spans="1:9">
      <c r="A2" s="3">
        <v>1</v>
      </c>
      <c r="B2" s="1" t="s">
        <v>66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67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68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69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70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71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72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73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74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75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76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77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78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79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80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81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82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83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84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85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86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87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88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89</v>
      </c>
      <c r="C25" s="3"/>
      <c r="D25" s="3"/>
      <c r="E25" s="3"/>
      <c r="F25" s="3"/>
      <c r="G25" s="3"/>
      <c r="H25" s="3"/>
      <c r="I25" s="3"/>
    </row>
    <row r="27" spans="1:9">
      <c r="B27" s="5" t="s">
        <v>90</v>
      </c>
    </row>
    <row r="28" spans="1:9">
      <c r="B28" s="5" t="s">
        <v>91</v>
      </c>
    </row>
    <row r="29" spans="1:9">
      <c r="B29" s="6" t="s">
        <v>92</v>
      </c>
    </row>
    <row r="31" spans="1:9">
      <c r="B31" t="s">
        <v>93</v>
      </c>
    </row>
    <row r="32" spans="1:9">
      <c r="B32" t="s">
        <v>94</v>
      </c>
    </row>
    <row r="33" spans="2:2">
      <c r="B33" t="s">
        <v>95</v>
      </c>
    </row>
    <row r="34" spans="2:2">
      <c r="B34" t="s">
        <v>96</v>
      </c>
    </row>
    <row r="35" spans="2:2">
      <c r="B35" t="s">
        <v>97</v>
      </c>
    </row>
    <row r="36" spans="2:2">
      <c r="B36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H15" sqref="H15"/>
    </sheetView>
  </sheetViews>
  <sheetFormatPr defaultRowHeight="14.45"/>
  <cols>
    <col min="1" max="1" width="3.5703125" bestFit="1" customWidth="1"/>
    <col min="2" max="2" width="25.85546875" customWidth="1"/>
    <col min="3" max="3" width="19.5703125" bestFit="1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7" t="s">
        <v>27</v>
      </c>
      <c r="B1" s="57" t="s">
        <v>28</v>
      </c>
      <c r="C1" s="57" t="s">
        <v>29</v>
      </c>
      <c r="D1" s="57" t="s">
        <v>99</v>
      </c>
      <c r="E1" s="57" t="s">
        <v>62</v>
      </c>
      <c r="F1" s="57" t="s">
        <v>65</v>
      </c>
    </row>
    <row r="2" spans="1:6" s="7" customFormat="1">
      <c r="A2" s="58"/>
      <c r="B2" s="58"/>
      <c r="C2" s="58"/>
      <c r="D2" s="58"/>
      <c r="E2" s="58"/>
      <c r="F2" s="58"/>
    </row>
    <row r="3" spans="1:6">
      <c r="A3" s="3">
        <v>1</v>
      </c>
      <c r="B3" s="1" t="s">
        <v>41</v>
      </c>
      <c r="C3" s="3" t="s">
        <v>33</v>
      </c>
      <c r="D3" s="17">
        <v>46282</v>
      </c>
      <c r="E3" s="3"/>
      <c r="F3" s="3"/>
    </row>
    <row r="4" spans="1:6">
      <c r="A4" s="3">
        <v>2</v>
      </c>
      <c r="B4" s="1" t="s">
        <v>55</v>
      </c>
      <c r="C4" s="3" t="s">
        <v>45</v>
      </c>
      <c r="D4" s="17">
        <v>46283</v>
      </c>
      <c r="E4" s="3"/>
      <c r="F4" s="3"/>
    </row>
    <row r="5" spans="1:6">
      <c r="A5" s="3">
        <v>3</v>
      </c>
      <c r="B5" s="1" t="s">
        <v>57</v>
      </c>
      <c r="C5" s="3" t="s">
        <v>45</v>
      </c>
      <c r="D5" s="17">
        <v>46286</v>
      </c>
      <c r="E5" s="3"/>
      <c r="F5" s="3"/>
    </row>
    <row r="6" spans="1:6">
      <c r="A6" s="3">
        <v>4</v>
      </c>
      <c r="B6" s="1" t="s">
        <v>52</v>
      </c>
      <c r="C6" s="3" t="s">
        <v>45</v>
      </c>
      <c r="D6" s="17">
        <v>46287</v>
      </c>
      <c r="E6" s="3"/>
      <c r="F6" s="3"/>
    </row>
    <row r="7" spans="1:6">
      <c r="A7" s="3">
        <v>5</v>
      </c>
      <c r="B7" s="1" t="s">
        <v>43</v>
      </c>
      <c r="C7" s="3" t="s">
        <v>33</v>
      </c>
      <c r="D7" s="17">
        <v>46288</v>
      </c>
      <c r="E7" s="3"/>
      <c r="F7" s="3"/>
    </row>
    <row r="8" spans="1:6">
      <c r="A8" s="3">
        <v>6</v>
      </c>
      <c r="B8" s="1" t="s">
        <v>58</v>
      </c>
      <c r="C8" s="3" t="s">
        <v>33</v>
      </c>
      <c r="D8" s="17">
        <v>46289</v>
      </c>
      <c r="E8" s="3"/>
      <c r="F8" s="3"/>
    </row>
    <row r="9" spans="1:6">
      <c r="A9" s="3">
        <v>7</v>
      </c>
      <c r="B9" s="1" t="s">
        <v>35</v>
      </c>
      <c r="C9" s="3" t="s">
        <v>33</v>
      </c>
      <c r="D9" s="3" t="s">
        <v>100</v>
      </c>
      <c r="E9" s="3"/>
      <c r="F9" s="3"/>
    </row>
    <row r="10" spans="1:6">
      <c r="A10" s="3">
        <v>8</v>
      </c>
      <c r="B10" s="1" t="s">
        <v>34</v>
      </c>
      <c r="C10" s="3" t="s">
        <v>33</v>
      </c>
      <c r="D10" s="3" t="s">
        <v>101</v>
      </c>
      <c r="E10" s="3"/>
      <c r="F10" s="3"/>
    </row>
    <row r="11" spans="1:6">
      <c r="A11" s="3">
        <v>9</v>
      </c>
      <c r="B11" s="1" t="s">
        <v>40</v>
      </c>
      <c r="C11" s="3" t="s">
        <v>33</v>
      </c>
      <c r="D11" s="3" t="s">
        <v>102</v>
      </c>
      <c r="E11" s="3"/>
      <c r="F11" s="3"/>
    </row>
    <row r="12" spans="1:6">
      <c r="A12" s="3">
        <v>10</v>
      </c>
      <c r="B12" s="1" t="s">
        <v>37</v>
      </c>
      <c r="C12" s="3" t="s">
        <v>33</v>
      </c>
      <c r="D12" s="3" t="s">
        <v>103</v>
      </c>
      <c r="E12" s="3"/>
      <c r="F12" s="3"/>
    </row>
    <row r="13" spans="1:6">
      <c r="A13" s="3">
        <v>11</v>
      </c>
      <c r="B13" s="1" t="s">
        <v>49</v>
      </c>
      <c r="C13" s="3" t="s">
        <v>45</v>
      </c>
      <c r="D13" s="3" t="s">
        <v>104</v>
      </c>
      <c r="E13" s="3"/>
      <c r="F13" s="3"/>
    </row>
    <row r="14" spans="1:6">
      <c r="A14" s="3">
        <v>12</v>
      </c>
      <c r="B14" s="1" t="s">
        <v>48</v>
      </c>
      <c r="C14" s="3" t="s">
        <v>45</v>
      </c>
      <c r="D14" s="3" t="s">
        <v>105</v>
      </c>
      <c r="E14" s="3"/>
      <c r="F14" s="3"/>
    </row>
    <row r="15" spans="1:6">
      <c r="A15" s="3">
        <v>13</v>
      </c>
      <c r="B15" s="1" t="s">
        <v>47</v>
      </c>
      <c r="C15" s="3" t="s">
        <v>45</v>
      </c>
      <c r="D15" s="3" t="s">
        <v>106</v>
      </c>
      <c r="E15" s="3"/>
      <c r="F15" s="3"/>
    </row>
    <row r="16" spans="1:6">
      <c r="A16" s="3">
        <v>14</v>
      </c>
      <c r="B16" s="1" t="s">
        <v>50</v>
      </c>
      <c r="C16" s="3" t="s">
        <v>45</v>
      </c>
      <c r="D16" s="3" t="s">
        <v>107</v>
      </c>
      <c r="E16" s="3"/>
      <c r="F16" s="3"/>
    </row>
    <row r="17" spans="1:6">
      <c r="A17" s="3">
        <v>15</v>
      </c>
      <c r="B17" s="2" t="s">
        <v>46</v>
      </c>
      <c r="C17" s="3" t="s">
        <v>45</v>
      </c>
      <c r="D17" s="3" t="s">
        <v>108</v>
      </c>
      <c r="E17" s="3"/>
      <c r="F17" s="3"/>
    </row>
    <row r="18" spans="1:6">
      <c r="A18" s="3">
        <v>16</v>
      </c>
      <c r="B18" s="1" t="s">
        <v>53</v>
      </c>
      <c r="C18" s="3" t="s">
        <v>45</v>
      </c>
      <c r="D18" s="3" t="s">
        <v>109</v>
      </c>
      <c r="E18" s="3"/>
      <c r="F18" s="3"/>
    </row>
    <row r="19" spans="1:6">
      <c r="A19" s="3">
        <v>17</v>
      </c>
      <c r="B19" s="1" t="s">
        <v>54</v>
      </c>
      <c r="C19" s="3" t="s">
        <v>45</v>
      </c>
      <c r="D19" s="3" t="s">
        <v>110</v>
      </c>
      <c r="E19" s="3"/>
      <c r="F19" s="3"/>
    </row>
    <row r="20" spans="1:6">
      <c r="A20" s="3">
        <v>18</v>
      </c>
      <c r="B20" s="1" t="s">
        <v>44</v>
      </c>
      <c r="C20" s="3" t="s">
        <v>45</v>
      </c>
      <c r="D20" s="3" t="s">
        <v>111</v>
      </c>
      <c r="E20" s="3"/>
      <c r="F20" s="3"/>
    </row>
    <row r="21" spans="1:6">
      <c r="A21" s="3">
        <v>19</v>
      </c>
      <c r="B21" s="1" t="s">
        <v>39</v>
      </c>
      <c r="C21" s="3" t="s">
        <v>33</v>
      </c>
      <c r="D21" s="3" t="s">
        <v>112</v>
      </c>
      <c r="E21" s="3"/>
      <c r="F21" s="3"/>
    </row>
    <row r="22" spans="1:6">
      <c r="A22" s="3">
        <v>20</v>
      </c>
      <c r="B22" s="1" t="s">
        <v>38</v>
      </c>
      <c r="C22" s="3" t="s">
        <v>33</v>
      </c>
      <c r="D22" s="3" t="s">
        <v>113</v>
      </c>
      <c r="E22" s="3"/>
      <c r="F22" s="3"/>
    </row>
    <row r="23" spans="1:6">
      <c r="A23" s="3">
        <v>21</v>
      </c>
      <c r="B23" s="1" t="s">
        <v>32</v>
      </c>
      <c r="C23" s="3" t="s">
        <v>33</v>
      </c>
      <c r="D23" s="3" t="s">
        <v>114</v>
      </c>
      <c r="E23" s="3"/>
      <c r="F23" s="3"/>
    </row>
    <row r="24" spans="1:6">
      <c r="A24" s="3">
        <v>22</v>
      </c>
      <c r="B24" s="1" t="s">
        <v>36</v>
      </c>
      <c r="C24" s="3" t="s">
        <v>33</v>
      </c>
      <c r="D24" s="3" t="s">
        <v>115</v>
      </c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90</v>
      </c>
    </row>
    <row r="30" spans="1:6">
      <c r="B30" s="5" t="s">
        <v>91</v>
      </c>
    </row>
    <row r="31" spans="1:6">
      <c r="B31" s="6" t="s">
        <v>116</v>
      </c>
    </row>
    <row r="34" spans="2:2">
      <c r="B34" t="s">
        <v>93</v>
      </c>
    </row>
    <row r="35" spans="2:2">
      <c r="B35" t="s">
        <v>94</v>
      </c>
    </row>
    <row r="36" spans="2:2">
      <c r="B36" t="s">
        <v>95</v>
      </c>
    </row>
    <row r="37" spans="2:2">
      <c r="B37" t="s">
        <v>96</v>
      </c>
    </row>
    <row r="38" spans="2:2">
      <c r="B38" t="s">
        <v>117</v>
      </c>
    </row>
    <row r="39" spans="2:2">
      <c r="B39" t="s">
        <v>118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6B19-45F7-4C6B-8840-A13D4296DD99}">
  <dimension ref="A1:H24"/>
  <sheetViews>
    <sheetView topLeftCell="A7" workbookViewId="0">
      <selection activeCell="F24" sqref="F24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 ht="15">
      <c r="A1" s="18" t="s">
        <v>27</v>
      </c>
      <c r="B1" s="18" t="s">
        <v>28</v>
      </c>
      <c r="C1" s="18" t="s">
        <v>29</v>
      </c>
      <c r="D1" s="18" t="s">
        <v>119</v>
      </c>
      <c r="E1" s="18" t="s">
        <v>119</v>
      </c>
      <c r="F1" s="18" t="s">
        <v>120</v>
      </c>
    </row>
    <row r="2" spans="1:8" ht="14.45" customHeight="1">
      <c r="A2" s="9">
        <v>1</v>
      </c>
      <c r="B2" s="22" t="s">
        <v>121</v>
      </c>
      <c r="C2" s="9" t="s">
        <v>33</v>
      </c>
      <c r="D2" s="19">
        <v>7.8073041809316317</v>
      </c>
      <c r="E2" s="59">
        <f>AVERAGE(D1:D12)</f>
        <v>7.7925650995988569</v>
      </c>
      <c r="F2" s="60" t="s">
        <v>122</v>
      </c>
      <c r="G2" s="20"/>
      <c r="H2" s="20"/>
    </row>
    <row r="3" spans="1:8" ht="14.45" customHeight="1">
      <c r="A3" s="9">
        <v>2</v>
      </c>
      <c r="B3" s="22" t="s">
        <v>123</v>
      </c>
      <c r="C3" s="9" t="s">
        <v>33</v>
      </c>
      <c r="D3" s="19">
        <v>8.1432094376212021</v>
      </c>
      <c r="E3" s="59"/>
      <c r="F3" s="60"/>
      <c r="G3" s="20"/>
      <c r="H3" s="20"/>
    </row>
    <row r="4" spans="1:8" ht="14.45" customHeight="1">
      <c r="A4" s="9">
        <v>5</v>
      </c>
      <c r="B4" s="22" t="s">
        <v>124</v>
      </c>
      <c r="C4" s="9" t="s">
        <v>33</v>
      </c>
      <c r="D4" s="19">
        <v>6.8352297956219523</v>
      </c>
      <c r="E4" s="59"/>
      <c r="F4" s="60"/>
      <c r="G4" s="20"/>
      <c r="H4" s="20"/>
    </row>
    <row r="5" spans="1:8" ht="14.45" customHeight="1">
      <c r="A5" s="9">
        <v>8</v>
      </c>
      <c r="B5" s="22" t="s">
        <v>125</v>
      </c>
      <c r="C5" s="9" t="s">
        <v>33</v>
      </c>
      <c r="D5" s="19">
        <v>8.2681637897324176</v>
      </c>
      <c r="E5" s="59"/>
      <c r="F5" s="60"/>
      <c r="G5" s="20"/>
      <c r="H5" s="20"/>
    </row>
    <row r="6" spans="1:8" ht="14.45" customHeight="1">
      <c r="A6" s="9">
        <v>10</v>
      </c>
      <c r="B6" s="22" t="s">
        <v>126</v>
      </c>
      <c r="C6" s="9" t="s">
        <v>33</v>
      </c>
      <c r="D6" s="19">
        <v>7.8292078654823758</v>
      </c>
      <c r="E6" s="59"/>
      <c r="F6" s="60"/>
      <c r="G6" s="20"/>
      <c r="H6" s="20"/>
    </row>
    <row r="7" spans="1:8" ht="14.45" customHeight="1">
      <c r="A7" s="9">
        <v>11</v>
      </c>
      <c r="B7" s="22" t="s">
        <v>127</v>
      </c>
      <c r="C7" s="9" t="s">
        <v>33</v>
      </c>
      <c r="D7" s="19">
        <v>6.1682927754435104</v>
      </c>
      <c r="E7" s="59"/>
      <c r="F7" s="60"/>
      <c r="G7" s="20"/>
      <c r="H7" s="20"/>
    </row>
    <row r="8" spans="1:8" ht="14.45" customHeight="1">
      <c r="A8" s="9">
        <v>12</v>
      </c>
      <c r="B8" s="22" t="s">
        <v>128</v>
      </c>
      <c r="C8" s="9" t="s">
        <v>33</v>
      </c>
      <c r="D8" s="19">
        <v>5.4314842165822563</v>
      </c>
      <c r="E8" s="59"/>
      <c r="F8" s="60"/>
      <c r="G8" s="20"/>
      <c r="H8" s="20"/>
    </row>
    <row r="9" spans="1:8" ht="14.45" customHeight="1">
      <c r="A9" s="9">
        <v>14</v>
      </c>
      <c r="B9" s="23" t="s">
        <v>129</v>
      </c>
      <c r="C9" s="9" t="s">
        <v>33</v>
      </c>
      <c r="D9" s="19">
        <v>9.683393385844365</v>
      </c>
      <c r="E9" s="59"/>
      <c r="F9" s="60"/>
      <c r="G9" s="20"/>
      <c r="H9" s="20"/>
    </row>
    <row r="10" spans="1:8" ht="14.45" customHeight="1">
      <c r="A10" s="9">
        <v>15</v>
      </c>
      <c r="B10" s="9" t="s">
        <v>130</v>
      </c>
      <c r="C10" s="9" t="s">
        <v>33</v>
      </c>
      <c r="D10" s="19">
        <v>8.1651144688644699</v>
      </c>
      <c r="E10" s="59"/>
      <c r="F10" s="60"/>
      <c r="G10" s="20"/>
      <c r="H10" s="20"/>
    </row>
    <row r="11" spans="1:8" ht="14.45" customHeight="1">
      <c r="A11" s="9">
        <v>17</v>
      </c>
      <c r="B11" s="9" t="s">
        <v>131</v>
      </c>
      <c r="C11" s="9" t="s">
        <v>33</v>
      </c>
      <c r="D11" s="19">
        <v>8.6450500371088594</v>
      </c>
      <c r="E11" s="59"/>
      <c r="F11" s="60"/>
      <c r="G11" s="20"/>
      <c r="H11" s="20"/>
    </row>
    <row r="12" spans="1:8" ht="14.45" customHeight="1">
      <c r="A12" s="9">
        <v>19</v>
      </c>
      <c r="B12" s="9" t="s">
        <v>132</v>
      </c>
      <c r="C12" s="9" t="s">
        <v>33</v>
      </c>
      <c r="D12" s="19">
        <v>8.7417661423543773</v>
      </c>
      <c r="E12" s="59"/>
      <c r="F12" s="60"/>
      <c r="G12" s="20"/>
      <c r="H12" s="20"/>
    </row>
    <row r="13" spans="1:8" ht="14.45" customHeight="1">
      <c r="A13" s="9">
        <v>3</v>
      </c>
      <c r="B13" s="22" t="s">
        <v>133</v>
      </c>
      <c r="C13" s="9" t="s">
        <v>45</v>
      </c>
      <c r="D13" s="19">
        <v>9.1903861865258918</v>
      </c>
      <c r="E13" s="59">
        <f>AVERAGE(D12:D23)</f>
        <v>8.2668625417716495</v>
      </c>
      <c r="F13" s="60" t="s">
        <v>134</v>
      </c>
      <c r="G13" s="20"/>
      <c r="H13" s="20"/>
    </row>
    <row r="14" spans="1:8" ht="14.45" customHeight="1">
      <c r="A14" s="9">
        <v>4</v>
      </c>
      <c r="B14" s="22" t="s">
        <v>135</v>
      </c>
      <c r="C14" s="9" t="s">
        <v>45</v>
      </c>
      <c r="D14" s="19">
        <v>7.9548757900596136</v>
      </c>
      <c r="E14" s="59"/>
      <c r="F14" s="60"/>
      <c r="G14" s="20"/>
      <c r="H14" s="20"/>
    </row>
    <row r="15" spans="1:8" ht="14.45" customHeight="1">
      <c r="A15" s="9">
        <v>6</v>
      </c>
      <c r="B15" s="22" t="s">
        <v>136</v>
      </c>
      <c r="C15" s="9" t="s">
        <v>45</v>
      </c>
      <c r="D15" s="19">
        <v>9.7651388888888881</v>
      </c>
      <c r="E15" s="59"/>
      <c r="F15" s="60"/>
      <c r="G15" s="20"/>
      <c r="H15" s="20"/>
    </row>
    <row r="16" spans="1:8" ht="14.45" customHeight="1">
      <c r="A16" s="9">
        <v>7</v>
      </c>
      <c r="B16" s="22" t="s">
        <v>137</v>
      </c>
      <c r="C16" s="9" t="s">
        <v>45</v>
      </c>
      <c r="D16" s="19">
        <v>7.0683309392132925</v>
      </c>
      <c r="E16" s="59"/>
      <c r="F16" s="60"/>
    </row>
    <row r="17" spans="1:6" ht="14.45" customHeight="1">
      <c r="A17" s="9">
        <v>9</v>
      </c>
      <c r="B17" s="22" t="s">
        <v>138</v>
      </c>
      <c r="C17" s="9" t="s">
        <v>45</v>
      </c>
      <c r="D17" s="19">
        <v>9.3502547343723812</v>
      </c>
      <c r="E17" s="59"/>
      <c r="F17" s="60"/>
    </row>
    <row r="18" spans="1:6" ht="14.45" customHeight="1">
      <c r="A18" s="9">
        <v>13</v>
      </c>
      <c r="B18" s="22" t="s">
        <v>139</v>
      </c>
      <c r="C18" s="9" t="s">
        <v>45</v>
      </c>
      <c r="D18" s="19">
        <v>7.4823026646556059</v>
      </c>
      <c r="E18" s="59"/>
      <c r="F18" s="60"/>
    </row>
    <row r="19" spans="1:6" ht="14.45" customHeight="1">
      <c r="A19" s="9">
        <v>16</v>
      </c>
      <c r="B19" s="9" t="s">
        <v>140</v>
      </c>
      <c r="C19" s="9" t="s">
        <v>45</v>
      </c>
      <c r="D19" s="19">
        <v>8.5660303893637231</v>
      </c>
      <c r="E19" s="59"/>
      <c r="F19" s="60"/>
    </row>
    <row r="20" spans="1:6" ht="14.45" customHeight="1">
      <c r="A20" s="9">
        <v>18</v>
      </c>
      <c r="B20" s="9" t="s">
        <v>141</v>
      </c>
      <c r="C20" s="9" t="s">
        <v>45</v>
      </c>
      <c r="D20" s="19">
        <v>9.1138707085398281</v>
      </c>
      <c r="E20" s="59"/>
      <c r="F20" s="60"/>
    </row>
    <row r="21" spans="1:6" ht="14.45" customHeight="1">
      <c r="A21" s="9">
        <v>20</v>
      </c>
      <c r="B21" s="9" t="s">
        <v>142</v>
      </c>
      <c r="C21" s="9" t="s">
        <v>45</v>
      </c>
      <c r="D21" s="19">
        <v>8.3742338416848217</v>
      </c>
      <c r="E21" s="59"/>
      <c r="F21" s="60"/>
    </row>
    <row r="22" spans="1:6" ht="14.45" customHeight="1">
      <c r="A22" s="9">
        <v>21</v>
      </c>
      <c r="B22" s="9" t="s">
        <v>143</v>
      </c>
      <c r="C22" s="9" t="s">
        <v>45</v>
      </c>
      <c r="D22" s="19">
        <v>6.2182811306340717</v>
      </c>
      <c r="E22" s="59"/>
      <c r="F22" s="60"/>
    </row>
    <row r="23" spans="1:6" ht="14.45" customHeight="1">
      <c r="A23" s="9">
        <v>22</v>
      </c>
      <c r="B23" s="9" t="s">
        <v>144</v>
      </c>
      <c r="C23" s="9" t="s">
        <v>45</v>
      </c>
      <c r="D23" s="19">
        <v>7.37687908496732</v>
      </c>
      <c r="E23" s="59"/>
      <c r="F23" s="60"/>
    </row>
    <row r="24" spans="1:6" ht="15"/>
  </sheetData>
  <autoFilter ref="A1:D1" xr:uid="{FD9A7B95-F124-4CE6-993C-88740F8340E7}">
    <sortState xmlns:xlrd2="http://schemas.microsoft.com/office/spreadsheetml/2017/richdata2" ref="A2:D23">
      <sortCondition ref="C1"/>
    </sortState>
  </autoFilter>
  <mergeCells count="4">
    <mergeCell ref="E2:E12"/>
    <mergeCell ref="E13:E23"/>
    <mergeCell ref="F2:F12"/>
    <mergeCell ref="F1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8B36-B01D-439C-A8E4-550C831BF16D}">
  <dimension ref="A1:H24"/>
  <sheetViews>
    <sheetView workbookViewId="0">
      <selection activeCell="F24" sqref="F24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 ht="15">
      <c r="A1" s="18" t="s">
        <v>27</v>
      </c>
      <c r="B1" s="18" t="s">
        <v>28</v>
      </c>
      <c r="C1" s="18" t="s">
        <v>29</v>
      </c>
      <c r="D1" s="18" t="s">
        <v>145</v>
      </c>
      <c r="E1" s="18" t="s">
        <v>146</v>
      </c>
      <c r="F1" s="18" t="s">
        <v>147</v>
      </c>
    </row>
    <row r="2" spans="1:8" ht="14.45" customHeight="1">
      <c r="A2" s="9">
        <v>1</v>
      </c>
      <c r="B2" s="22" t="s">
        <v>121</v>
      </c>
      <c r="C2" s="9" t="s">
        <v>33</v>
      </c>
      <c r="D2" s="31">
        <v>5.196152422706632</v>
      </c>
      <c r="E2" s="59">
        <f>AVERAGE(D1:D12)</f>
        <v>5.371594319411936</v>
      </c>
      <c r="F2" s="60" t="s">
        <v>148</v>
      </c>
      <c r="G2" s="20"/>
      <c r="H2" s="20"/>
    </row>
    <row r="3" spans="1:8" ht="14.45" customHeight="1">
      <c r="A3" s="9">
        <v>2</v>
      </c>
      <c r="B3" s="22" t="s">
        <v>123</v>
      </c>
      <c r="C3" s="9" t="s">
        <v>33</v>
      </c>
      <c r="D3" s="31">
        <v>6.2048368229954276</v>
      </c>
      <c r="E3" s="59"/>
      <c r="F3" s="60"/>
      <c r="G3" s="20"/>
      <c r="H3" s="20"/>
    </row>
    <row r="4" spans="1:8" ht="14.45" customHeight="1">
      <c r="A4" s="9">
        <v>5</v>
      </c>
      <c r="B4" s="22" t="s">
        <v>124</v>
      </c>
      <c r="C4" s="9" t="s">
        <v>33</v>
      </c>
      <c r="D4" s="31">
        <v>5.7008771254956896</v>
      </c>
      <c r="E4" s="59"/>
      <c r="F4" s="60"/>
      <c r="G4" s="20"/>
      <c r="H4" s="20"/>
    </row>
    <row r="5" spans="1:8" ht="14.45" customHeight="1">
      <c r="A5" s="9">
        <v>8</v>
      </c>
      <c r="B5" s="22" t="s">
        <v>125</v>
      </c>
      <c r="C5" s="9" t="s">
        <v>33</v>
      </c>
      <c r="D5" s="31">
        <v>5.2915026221291814</v>
      </c>
      <c r="E5" s="59"/>
      <c r="F5" s="60"/>
      <c r="G5" s="20"/>
      <c r="H5" s="20"/>
    </row>
    <row r="6" spans="1:8" ht="14.45" customHeight="1">
      <c r="A6" s="9">
        <v>10</v>
      </c>
      <c r="B6" s="22" t="s">
        <v>126</v>
      </c>
      <c r="C6" s="9" t="s">
        <v>33</v>
      </c>
      <c r="D6" s="31">
        <v>5.7445626465380286</v>
      </c>
      <c r="E6" s="59"/>
      <c r="F6" s="60"/>
      <c r="G6" s="20"/>
      <c r="H6" s="20"/>
    </row>
    <row r="7" spans="1:8" ht="14.45" customHeight="1">
      <c r="A7" s="9">
        <v>11</v>
      </c>
      <c r="B7" s="22" t="s">
        <v>127</v>
      </c>
      <c r="C7" s="9" t="s">
        <v>33</v>
      </c>
      <c r="D7" s="31">
        <v>4.9749371855330997</v>
      </c>
      <c r="E7" s="59"/>
      <c r="F7" s="60"/>
      <c r="G7" s="20"/>
      <c r="H7" s="20"/>
    </row>
    <row r="8" spans="1:8" ht="14.45" customHeight="1">
      <c r="A8" s="9">
        <v>12</v>
      </c>
      <c r="B8" s="22" t="s">
        <v>128</v>
      </c>
      <c r="C8" s="9" t="s">
        <v>33</v>
      </c>
      <c r="D8" s="31">
        <v>4.6904157598234297</v>
      </c>
      <c r="E8" s="59"/>
      <c r="F8" s="60"/>
      <c r="G8" s="20"/>
      <c r="H8" s="20"/>
    </row>
    <row r="9" spans="1:8" ht="14.45" customHeight="1">
      <c r="A9" s="9">
        <v>14</v>
      </c>
      <c r="B9" s="23" t="s">
        <v>129</v>
      </c>
      <c r="C9" s="9" t="s">
        <v>33</v>
      </c>
      <c r="D9" s="31">
        <v>5.9791303715506992</v>
      </c>
      <c r="E9" s="59"/>
      <c r="F9" s="60"/>
      <c r="G9" s="20"/>
      <c r="H9" s="20"/>
    </row>
    <row r="10" spans="1:8" ht="14.45" customHeight="1">
      <c r="A10" s="9">
        <v>15</v>
      </c>
      <c r="B10" s="9" t="s">
        <v>130</v>
      </c>
      <c r="C10" s="9" t="s">
        <v>33</v>
      </c>
      <c r="D10" s="31">
        <v>5.9791303715506992</v>
      </c>
      <c r="E10" s="59"/>
      <c r="F10" s="60"/>
      <c r="G10" s="20"/>
      <c r="H10" s="20"/>
    </row>
    <row r="11" spans="1:8" ht="14.45" customHeight="1">
      <c r="A11" s="9">
        <v>17</v>
      </c>
      <c r="B11" s="9" t="s">
        <v>131</v>
      </c>
      <c r="C11" s="9" t="s">
        <v>33</v>
      </c>
      <c r="D11" s="31">
        <v>4.5825756949558398</v>
      </c>
      <c r="E11" s="59"/>
      <c r="F11" s="60"/>
      <c r="G11" s="20"/>
      <c r="H11" s="20"/>
    </row>
    <row r="12" spans="1:8" ht="14.45" customHeight="1">
      <c r="A12" s="9">
        <v>19</v>
      </c>
      <c r="B12" s="9" t="s">
        <v>132</v>
      </c>
      <c r="C12" s="9" t="s">
        <v>33</v>
      </c>
      <c r="D12" s="31">
        <v>4.7434164902525691</v>
      </c>
      <c r="E12" s="59"/>
      <c r="F12" s="60"/>
      <c r="G12" s="20"/>
      <c r="H12" s="20"/>
    </row>
    <row r="13" spans="1:8" ht="14.45" customHeight="1">
      <c r="A13" s="9">
        <v>3</v>
      </c>
      <c r="B13" s="22" t="s">
        <v>133</v>
      </c>
      <c r="C13" s="9" t="s">
        <v>45</v>
      </c>
      <c r="D13" s="31">
        <v>5</v>
      </c>
      <c r="E13" s="59">
        <f>AVERAGE(D12:D23)</f>
        <v>4.9714701814220925</v>
      </c>
      <c r="F13" s="60" t="s">
        <v>148</v>
      </c>
      <c r="G13" s="20"/>
      <c r="H13" s="20"/>
    </row>
    <row r="14" spans="1:8" ht="14.45" customHeight="1">
      <c r="A14" s="9">
        <v>4</v>
      </c>
      <c r="B14" s="22" t="s">
        <v>135</v>
      </c>
      <c r="C14" s="9" t="s">
        <v>45</v>
      </c>
      <c r="D14" s="31">
        <v>4.3874821936960613</v>
      </c>
      <c r="E14" s="59"/>
      <c r="F14" s="60"/>
      <c r="G14" s="20"/>
      <c r="H14" s="20"/>
    </row>
    <row r="15" spans="1:8" ht="14.45" customHeight="1">
      <c r="A15" s="9">
        <v>6</v>
      </c>
      <c r="B15" s="22" t="s">
        <v>136</v>
      </c>
      <c r="C15" s="9" t="s">
        <v>45</v>
      </c>
      <c r="D15" s="31">
        <v>5.4083269131959844</v>
      </c>
      <c r="E15" s="59"/>
      <c r="F15" s="60"/>
      <c r="G15" s="20"/>
      <c r="H15" s="20"/>
    </row>
    <row r="16" spans="1:8" ht="14.45" customHeight="1">
      <c r="A16" s="9">
        <v>7</v>
      </c>
      <c r="B16" s="22" t="s">
        <v>137</v>
      </c>
      <c r="C16" s="9" t="s">
        <v>45</v>
      </c>
      <c r="D16" s="31">
        <v>5.0990195135927836</v>
      </c>
      <c r="E16" s="59"/>
      <c r="F16" s="60"/>
    </row>
    <row r="17" spans="1:6" ht="14.45" customHeight="1">
      <c r="A17" s="9">
        <v>9</v>
      </c>
      <c r="B17" s="22" t="s">
        <v>138</v>
      </c>
      <c r="C17" s="9" t="s">
        <v>45</v>
      </c>
      <c r="D17" s="31">
        <v>4.2426406871192848</v>
      </c>
      <c r="E17" s="59"/>
      <c r="F17" s="60"/>
    </row>
    <row r="18" spans="1:6" ht="14.45" customHeight="1">
      <c r="A18" s="9">
        <v>13</v>
      </c>
      <c r="B18" s="22" t="s">
        <v>139</v>
      </c>
      <c r="C18" s="9" t="s">
        <v>45</v>
      </c>
      <c r="D18" s="31">
        <v>5.9791303715506992</v>
      </c>
      <c r="E18" s="59"/>
      <c r="F18" s="60"/>
    </row>
    <row r="19" spans="1:6" ht="14.45" customHeight="1">
      <c r="A19" s="9">
        <v>16</v>
      </c>
      <c r="B19" s="9" t="s">
        <v>140</v>
      </c>
      <c r="C19" s="9" t="s">
        <v>45</v>
      </c>
      <c r="D19" s="31">
        <v>5.196152422706632</v>
      </c>
      <c r="E19" s="59"/>
      <c r="F19" s="60"/>
    </row>
    <row r="20" spans="1:6" ht="14.45" customHeight="1">
      <c r="A20" s="9">
        <v>18</v>
      </c>
      <c r="B20" s="9" t="s">
        <v>141</v>
      </c>
      <c r="C20" s="9" t="s">
        <v>45</v>
      </c>
      <c r="D20" s="31">
        <v>4.7434164902525691</v>
      </c>
      <c r="E20" s="59"/>
      <c r="F20" s="60"/>
    </row>
    <row r="21" spans="1:6" ht="14.45" customHeight="1">
      <c r="A21" s="9">
        <v>20</v>
      </c>
      <c r="B21" s="9" t="s">
        <v>142</v>
      </c>
      <c r="C21" s="9" t="s">
        <v>45</v>
      </c>
      <c r="D21" s="31">
        <v>4.6904157598234297</v>
      </c>
      <c r="E21" s="59"/>
      <c r="F21" s="60"/>
    </row>
    <row r="22" spans="1:6" ht="14.45" customHeight="1">
      <c r="A22" s="9">
        <v>21</v>
      </c>
      <c r="B22" s="9" t="s">
        <v>143</v>
      </c>
      <c r="C22" s="9" t="s">
        <v>45</v>
      </c>
      <c r="D22" s="31">
        <v>4.6904157598234297</v>
      </c>
      <c r="E22" s="59"/>
      <c r="F22" s="60"/>
    </row>
    <row r="23" spans="1:6" ht="14.45" customHeight="1">
      <c r="A23" s="9">
        <v>22</v>
      </c>
      <c r="B23" s="9" t="s">
        <v>144</v>
      </c>
      <c r="C23" s="9" t="s">
        <v>45</v>
      </c>
      <c r="D23" s="31">
        <v>5.4772255750516612</v>
      </c>
      <c r="E23" s="59"/>
      <c r="F23" s="60"/>
    </row>
    <row r="24" spans="1:6" ht="15"/>
  </sheetData>
  <autoFilter ref="A1:D1" xr:uid="{F294EAD7-2207-4EA2-A633-F6E085B1F34F}">
    <sortState xmlns:xlrd2="http://schemas.microsoft.com/office/spreadsheetml/2017/richdata2" ref="A2:D23">
      <sortCondition ref="C1"/>
    </sortState>
  </autoFilter>
  <mergeCells count="4">
    <mergeCell ref="E2:E12"/>
    <mergeCell ref="E13:E23"/>
    <mergeCell ref="F2:F12"/>
    <mergeCell ref="F13:F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2E51-D4A8-4F39-A9E0-90D047AAEDB0}">
  <dimension ref="A1:H24"/>
  <sheetViews>
    <sheetView topLeftCell="A6" workbookViewId="0">
      <selection activeCell="C15" sqref="C15"/>
    </sheetView>
  </sheetViews>
  <sheetFormatPr defaultRowHeight="14.45"/>
  <cols>
    <col min="1" max="1" width="4.140625" bestFit="1" customWidth="1"/>
    <col min="2" max="2" width="29.28515625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 ht="15">
      <c r="A1" s="18" t="s">
        <v>27</v>
      </c>
      <c r="B1" s="18" t="s">
        <v>28</v>
      </c>
      <c r="C1" s="18" t="s">
        <v>29</v>
      </c>
      <c r="D1" s="18" t="s">
        <v>149</v>
      </c>
      <c r="E1" s="18" t="s">
        <v>150</v>
      </c>
      <c r="F1" s="18" t="s">
        <v>151</v>
      </c>
    </row>
    <row r="2" spans="1:8" ht="14.45" customHeight="1">
      <c r="A2" s="9">
        <v>1</v>
      </c>
      <c r="B2" s="22" t="s">
        <v>121</v>
      </c>
      <c r="C2" s="9" t="s">
        <v>33</v>
      </c>
      <c r="D2" s="30">
        <v>6.875</v>
      </c>
      <c r="E2" s="61">
        <f>AVERAGE(D1:D12)</f>
        <v>6.9659090909090908</v>
      </c>
      <c r="F2" s="60" t="s">
        <v>152</v>
      </c>
      <c r="G2" s="20"/>
      <c r="H2" s="20"/>
    </row>
    <row r="3" spans="1:8" ht="14.45" customHeight="1">
      <c r="A3" s="9">
        <v>2</v>
      </c>
      <c r="B3" s="22" t="s">
        <v>123</v>
      </c>
      <c r="C3" s="9" t="s">
        <v>33</v>
      </c>
      <c r="D3" s="30">
        <v>6.875</v>
      </c>
      <c r="E3" s="62"/>
      <c r="F3" s="60"/>
      <c r="G3" s="20"/>
      <c r="H3" s="20"/>
    </row>
    <row r="4" spans="1:8" ht="14.45" customHeight="1">
      <c r="A4" s="9">
        <v>5</v>
      </c>
      <c r="B4" s="22" t="s">
        <v>124</v>
      </c>
      <c r="C4" s="9" t="s">
        <v>33</v>
      </c>
      <c r="D4" s="30">
        <v>7.375</v>
      </c>
      <c r="E4" s="62"/>
      <c r="F4" s="60"/>
      <c r="G4" s="20"/>
      <c r="H4" s="20"/>
    </row>
    <row r="5" spans="1:8" ht="14.45" customHeight="1">
      <c r="A5" s="9">
        <v>8</v>
      </c>
      <c r="B5" s="22" t="s">
        <v>125</v>
      </c>
      <c r="C5" s="9" t="s">
        <v>33</v>
      </c>
      <c r="D5" s="30">
        <v>5.875</v>
      </c>
      <c r="E5" s="62"/>
      <c r="F5" s="60"/>
      <c r="G5" s="20"/>
      <c r="H5" s="20"/>
    </row>
    <row r="6" spans="1:8" ht="14.45" customHeight="1">
      <c r="A6" s="9">
        <v>10</v>
      </c>
      <c r="B6" s="22" t="s">
        <v>126</v>
      </c>
      <c r="C6" s="9" t="s">
        <v>33</v>
      </c>
      <c r="D6" s="30">
        <v>6.375</v>
      </c>
      <c r="E6" s="62"/>
      <c r="F6" s="60"/>
      <c r="G6" s="20"/>
      <c r="H6" s="20"/>
    </row>
    <row r="7" spans="1:8" ht="14.45" customHeight="1">
      <c r="A7" s="9">
        <v>11</v>
      </c>
      <c r="B7" s="22" t="s">
        <v>127</v>
      </c>
      <c r="C7" s="9" t="s">
        <v>33</v>
      </c>
      <c r="D7" s="30">
        <v>7.375</v>
      </c>
      <c r="E7" s="62"/>
      <c r="F7" s="60"/>
      <c r="G7" s="20"/>
      <c r="H7" s="20"/>
    </row>
    <row r="8" spans="1:8" ht="14.45" customHeight="1">
      <c r="A8" s="9">
        <v>12</v>
      </c>
      <c r="B8" s="22" t="s">
        <v>128</v>
      </c>
      <c r="C8" s="9" t="s">
        <v>33</v>
      </c>
      <c r="D8" s="30">
        <v>6.375</v>
      </c>
      <c r="E8" s="62"/>
      <c r="F8" s="60"/>
      <c r="G8" s="20"/>
      <c r="H8" s="20"/>
    </row>
    <row r="9" spans="1:8" ht="14.45" customHeight="1">
      <c r="A9" s="9">
        <v>14</v>
      </c>
      <c r="B9" s="23" t="s">
        <v>129</v>
      </c>
      <c r="C9" s="9" t="s">
        <v>33</v>
      </c>
      <c r="D9" s="30">
        <v>7.375</v>
      </c>
      <c r="E9" s="62"/>
      <c r="F9" s="60"/>
      <c r="G9" s="20"/>
      <c r="H9" s="20"/>
    </row>
    <row r="10" spans="1:8" ht="14.45" customHeight="1">
      <c r="A10" s="9">
        <v>15</v>
      </c>
      <c r="B10" s="9" t="s">
        <v>130</v>
      </c>
      <c r="C10" s="9" t="s">
        <v>33</v>
      </c>
      <c r="D10" s="30">
        <v>7.375</v>
      </c>
      <c r="E10" s="62"/>
      <c r="F10" s="60"/>
      <c r="G10" s="20"/>
      <c r="H10" s="20"/>
    </row>
    <row r="11" spans="1:8" ht="14.45" customHeight="1">
      <c r="A11" s="9">
        <v>17</v>
      </c>
      <c r="B11" s="9" t="s">
        <v>131</v>
      </c>
      <c r="C11" s="9" t="s">
        <v>33</v>
      </c>
      <c r="D11" s="30">
        <v>7.375</v>
      </c>
      <c r="E11" s="62"/>
      <c r="F11" s="60"/>
      <c r="G11" s="20"/>
      <c r="H11" s="20"/>
    </row>
    <row r="12" spans="1:8" ht="14.45" customHeight="1">
      <c r="A12" s="9">
        <v>19</v>
      </c>
      <c r="B12" s="9" t="s">
        <v>132</v>
      </c>
      <c r="C12" s="9" t="s">
        <v>33</v>
      </c>
      <c r="D12" s="30">
        <v>7.375</v>
      </c>
      <c r="E12" s="63"/>
      <c r="F12" s="60"/>
      <c r="G12" s="20"/>
      <c r="H12" s="20"/>
    </row>
    <row r="13" spans="1:8" ht="14.45" customHeight="1">
      <c r="A13" s="9">
        <v>3</v>
      </c>
      <c r="B13" s="22" t="s">
        <v>133</v>
      </c>
      <c r="C13" s="9" t="s">
        <v>45</v>
      </c>
      <c r="D13" s="30">
        <v>6.875</v>
      </c>
      <c r="E13" s="61">
        <f>AVERAGE(D12:D23)</f>
        <v>7.020833333333333</v>
      </c>
      <c r="F13" s="60" t="s">
        <v>122</v>
      </c>
      <c r="G13" s="20"/>
      <c r="H13" s="20"/>
    </row>
    <row r="14" spans="1:8" ht="14.45" customHeight="1">
      <c r="A14" s="9">
        <v>4</v>
      </c>
      <c r="B14" s="22" t="s">
        <v>135</v>
      </c>
      <c r="C14" s="9" t="s">
        <v>45</v>
      </c>
      <c r="D14" s="30">
        <v>6.375</v>
      </c>
      <c r="E14" s="62"/>
      <c r="F14" s="60"/>
      <c r="G14" s="20"/>
      <c r="H14" s="20"/>
    </row>
    <row r="15" spans="1:8" ht="14.45" customHeight="1">
      <c r="A15" s="9">
        <v>6</v>
      </c>
      <c r="B15" s="22" t="s">
        <v>136</v>
      </c>
      <c r="C15" s="9" t="s">
        <v>45</v>
      </c>
      <c r="D15" s="30">
        <v>6.875</v>
      </c>
      <c r="E15" s="62"/>
      <c r="F15" s="60"/>
      <c r="G15" s="20"/>
      <c r="H15" s="20"/>
    </row>
    <row r="16" spans="1:8" ht="14.45" customHeight="1">
      <c r="A16" s="9">
        <v>7</v>
      </c>
      <c r="B16" s="22" t="s">
        <v>137</v>
      </c>
      <c r="C16" s="9" t="s">
        <v>45</v>
      </c>
      <c r="D16" s="30">
        <v>7.375</v>
      </c>
      <c r="E16" s="62"/>
      <c r="F16" s="60"/>
    </row>
    <row r="17" spans="1:6" ht="14.45" customHeight="1">
      <c r="A17" s="9">
        <v>9</v>
      </c>
      <c r="B17" s="22" t="s">
        <v>138</v>
      </c>
      <c r="C17" s="9" t="s">
        <v>45</v>
      </c>
      <c r="D17" s="30">
        <v>7.375</v>
      </c>
      <c r="E17" s="62"/>
      <c r="F17" s="60"/>
    </row>
    <row r="18" spans="1:6" ht="14.45" customHeight="1">
      <c r="A18" s="9">
        <v>13</v>
      </c>
      <c r="B18" s="22" t="s">
        <v>139</v>
      </c>
      <c r="C18" s="9" t="s">
        <v>45</v>
      </c>
      <c r="D18" s="30">
        <v>6.875</v>
      </c>
      <c r="E18" s="62"/>
      <c r="F18" s="60"/>
    </row>
    <row r="19" spans="1:6" ht="14.45" customHeight="1">
      <c r="A19" s="9">
        <v>16</v>
      </c>
      <c r="B19" s="9" t="s">
        <v>140</v>
      </c>
      <c r="C19" s="9" t="s">
        <v>45</v>
      </c>
      <c r="D19" s="30">
        <v>8.125</v>
      </c>
      <c r="E19" s="62"/>
      <c r="F19" s="60"/>
    </row>
    <row r="20" spans="1:6" ht="14.45" customHeight="1">
      <c r="A20" s="9">
        <v>18</v>
      </c>
      <c r="B20" s="9" t="s">
        <v>141</v>
      </c>
      <c r="C20" s="9" t="s">
        <v>45</v>
      </c>
      <c r="D20" s="30">
        <v>7.375</v>
      </c>
      <c r="E20" s="62"/>
      <c r="F20" s="60"/>
    </row>
    <row r="21" spans="1:6" ht="14.45" customHeight="1">
      <c r="A21" s="9">
        <v>20</v>
      </c>
      <c r="B21" s="9" t="s">
        <v>142</v>
      </c>
      <c r="C21" s="9" t="s">
        <v>45</v>
      </c>
      <c r="D21" s="30">
        <v>5.875</v>
      </c>
      <c r="E21" s="62"/>
      <c r="F21" s="60"/>
    </row>
    <row r="22" spans="1:6" ht="14.45" customHeight="1">
      <c r="A22" s="9">
        <v>21</v>
      </c>
      <c r="B22" s="9" t="s">
        <v>143</v>
      </c>
      <c r="C22" s="9" t="s">
        <v>45</v>
      </c>
      <c r="D22" s="30">
        <v>7.375</v>
      </c>
      <c r="E22" s="62"/>
      <c r="F22" s="60"/>
    </row>
    <row r="23" spans="1:6" ht="14.45" customHeight="1">
      <c r="A23" s="9">
        <v>22</v>
      </c>
      <c r="B23" s="9" t="s">
        <v>144</v>
      </c>
      <c r="C23" s="9" t="s">
        <v>45</v>
      </c>
      <c r="D23" s="30">
        <v>6.375</v>
      </c>
      <c r="E23" s="63"/>
      <c r="F23" s="60"/>
    </row>
    <row r="24" spans="1:6" ht="15"/>
  </sheetData>
  <autoFilter ref="A1:D1" xr:uid="{6981F627-9C8A-440F-9117-C65AEBF04DD7}">
    <sortState xmlns:xlrd2="http://schemas.microsoft.com/office/spreadsheetml/2017/richdata2" ref="A2:D23">
      <sortCondition ref="C1"/>
    </sortState>
  </autoFilter>
  <mergeCells count="4">
    <mergeCell ref="E2:E12"/>
    <mergeCell ref="E13:E23"/>
    <mergeCell ref="F2:F12"/>
    <mergeCell ref="F13:F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5416-95DC-4B6D-9E38-E88780458FF4}">
  <dimension ref="A2:O15"/>
  <sheetViews>
    <sheetView workbookViewId="0">
      <selection activeCell="F7" sqref="F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8" t="s">
        <v>153</v>
      </c>
      <c r="B2" s="48" t="s">
        <v>154</v>
      </c>
      <c r="C2" s="49" t="s">
        <v>33</v>
      </c>
      <c r="D2" s="49"/>
      <c r="E2" s="49"/>
      <c r="F2" s="49" t="s">
        <v>45</v>
      </c>
      <c r="G2" s="49"/>
      <c r="H2" s="49"/>
    </row>
    <row r="3" spans="1:15">
      <c r="A3" s="48"/>
      <c r="B3" s="48"/>
      <c r="C3" s="32" t="s">
        <v>155</v>
      </c>
      <c r="D3" s="32" t="s">
        <v>156</v>
      </c>
      <c r="E3" s="32" t="s">
        <v>157</v>
      </c>
      <c r="F3" s="32" t="s">
        <v>155</v>
      </c>
      <c r="G3" s="32" t="s">
        <v>156</v>
      </c>
      <c r="H3" s="32" t="s">
        <v>157</v>
      </c>
    </row>
    <row r="4" spans="1:15">
      <c r="A4" s="33">
        <v>1</v>
      </c>
      <c r="B4" s="34" t="s">
        <v>158</v>
      </c>
      <c r="C4" s="35">
        <f>IFERROR(COUNTIFS(STR!$V:$V, Overview!C$2, STR!$X:$X, "TRUE")/COUNTIFS(STR!$V:$V, Overview!C2), 0)</f>
        <v>1</v>
      </c>
      <c r="D4" s="36">
        <v>0.15</v>
      </c>
      <c r="E4" s="35">
        <f>D4*C4</f>
        <v>0.15</v>
      </c>
      <c r="F4" s="35">
        <f>IFERROR(COUNTIFS(STR!$V:$V, Overview!F$2, STR!$X:$X, "TRUE")/COUNTIFS(STR!$V:$V, Overview!F2), 0)</f>
        <v>1</v>
      </c>
      <c r="G4" s="36">
        <v>0.15</v>
      </c>
      <c r="H4" s="37">
        <f>G4*F4</f>
        <v>0.15</v>
      </c>
    </row>
    <row r="5" spans="1:15">
      <c r="A5" s="33">
        <v>2</v>
      </c>
      <c r="B5" s="34" t="s">
        <v>159</v>
      </c>
      <c r="C5" s="35">
        <f>1-AVERAGEIF('Bad Data'!$C:$C, Overview!C$2, 'Bad Data'!$D:$D)</f>
        <v>0.99900909090909096</v>
      </c>
      <c r="D5" s="36">
        <v>0.1</v>
      </c>
      <c r="E5" s="35">
        <f t="shared" ref="E5:E14" si="0">D5*C5</f>
        <v>9.9900909090909096E-2</v>
      </c>
      <c r="F5" s="35">
        <f>1-AVERAGEIF('Bad Data'!$C:$C, Overview!F$2, 'Bad Data'!$D:$D)</f>
        <v>0.9992027272727273</v>
      </c>
      <c r="G5" s="36">
        <v>0.1</v>
      </c>
      <c r="H5" s="37">
        <f t="shared" ref="H5:H14" si="1">G5*F5</f>
        <v>9.9920272727272733E-2</v>
      </c>
    </row>
    <row r="6" spans="1:15">
      <c r="A6" s="33">
        <v>3</v>
      </c>
      <c r="B6" s="34" t="s">
        <v>160</v>
      </c>
      <c r="C6" s="35">
        <f>AVERAGEIF('Pengkinian Data'!$C:$C, Overview!C$2, 'Pengkinian Data'!$D:$D)</f>
        <v>1</v>
      </c>
      <c r="D6" s="36">
        <v>0.1</v>
      </c>
      <c r="E6" s="35">
        <f t="shared" si="0"/>
        <v>0.1</v>
      </c>
      <c r="F6" s="35">
        <f>AVERAGEIF('Pengkinian Data'!$C:$C, Overview!F$2, 'Pengkinian Data'!$D:$D)</f>
        <v>1</v>
      </c>
      <c r="G6" s="36">
        <v>0.1</v>
      </c>
      <c r="H6" s="37">
        <f t="shared" si="1"/>
        <v>0.1</v>
      </c>
      <c r="O6" t="s">
        <v>24</v>
      </c>
    </row>
    <row r="7" spans="1:15">
      <c r="A7" s="33">
        <v>4</v>
      </c>
      <c r="B7" s="34" t="s">
        <v>161</v>
      </c>
      <c r="C7" s="35" cm="1">
        <f t="array" ref="C7">IFERROR(SUMPRODUCT(--('[1]Uji Petik'!$E$3:$E$73&lt;&gt;""), --('[1]Uji Petik'!$C$3:$C$73=C2)) / SUMPRODUCT(--('[1]Uji Petik'!$C$3:$C$73=C2)), 0)</f>
        <v>0</v>
      </c>
      <c r="D7" s="36">
        <v>0</v>
      </c>
      <c r="E7" s="35">
        <f t="shared" si="0"/>
        <v>0</v>
      </c>
      <c r="F7" s="35" cm="1">
        <f t="array" ref="F7">IFERROR(SUMPRODUCT(--('[1]Uji Petik'!$E$3:$E$73&lt;&gt;""), --('[1]Uji Petik'!$C$3:$C$73=C2)) / SUMPRODUCT(--('[1]Uji Petik'!$C$3:$C$73=C2)), 0)</f>
        <v>0</v>
      </c>
      <c r="G7" s="36">
        <v>0</v>
      </c>
      <c r="H7" s="37">
        <f t="shared" si="1"/>
        <v>0</v>
      </c>
    </row>
    <row r="8" spans="1:15">
      <c r="A8" s="33">
        <v>5</v>
      </c>
      <c r="B8" s="34" t="s">
        <v>162</v>
      </c>
      <c r="C8" s="38" cm="1">
        <f t="array" ref="C8">IFERROR(AVERAGE(IF([2]Sosialisasi!$C$1:$C$10000=C2, [2]Sosialisasi!$D$1:$D$10000)), 0)</f>
        <v>0.18181818181818182</v>
      </c>
      <c r="D8" s="36">
        <v>0.15</v>
      </c>
      <c r="E8" s="35">
        <f t="shared" si="0"/>
        <v>2.7272727272727271E-2</v>
      </c>
      <c r="F8" s="38" cm="1">
        <f t="array" ref="F8">IFERROR(AVERAGE(IF([2]Sosialisasi!$C$1:$C$10000=F2, [2]Sosialisasi!$D$1:$D$10000)), 0)</f>
        <v>0</v>
      </c>
      <c r="G8" s="36">
        <v>0.15</v>
      </c>
      <c r="H8" s="37">
        <f t="shared" si="1"/>
        <v>0</v>
      </c>
    </row>
    <row r="9" spans="1:15">
      <c r="A9" s="33">
        <v>6</v>
      </c>
      <c r="B9" s="34" t="s">
        <v>163</v>
      </c>
      <c r="C9" s="35">
        <f>AVERAGEIF('EDD PEP PPATK'!$C:$C, Overview!C$2, 'EDD PEP PPATK'!$D:$D)</f>
        <v>0.97928746152237423</v>
      </c>
      <c r="D9" s="36">
        <v>0.1</v>
      </c>
      <c r="E9" s="35">
        <f t="shared" si="0"/>
        <v>9.7928746152237428E-2</v>
      </c>
      <c r="F9" s="35">
        <f>AVERAGEIF('EDD PEP PPATK'!$C:$C, Overview!F$2, 'EDD PEP PPATK'!$D:$D)</f>
        <v>0.98749337263227155</v>
      </c>
      <c r="G9" s="36">
        <v>0.1</v>
      </c>
      <c r="H9" s="37">
        <f t="shared" si="1"/>
        <v>9.8749337263227155E-2</v>
      </c>
    </row>
    <row r="10" spans="1:15">
      <c r="A10" s="33">
        <v>7</v>
      </c>
      <c r="B10" s="34" t="s">
        <v>164</v>
      </c>
      <c r="C10" s="35" cm="1">
        <f t="array" ref="C10">IF(IFERROR(AVERAGE(IF('[2]Sheet2 (2)'!$C$1:$C$10000=C$2, '[2]Sheet2 (2)'!$D$1:$D$10000)), 0)&gt;0.9, 1, IFERROR(AVERAGE(IF('[2]Sheet2 (2)'!$C$1:$C$10000=C$2, '[2]Sheet2 (2)'!$D$1:$D$10000)), 0))</f>
        <v>1</v>
      </c>
      <c r="D10" s="36">
        <v>0.05</v>
      </c>
      <c r="E10" s="35">
        <f t="shared" si="0"/>
        <v>0.05</v>
      </c>
      <c r="F10" s="35" cm="1">
        <f t="array" ref="F10">IF(IFERROR(AVERAGE(IF('[2]Sheet2 (2)'!$C$1:$C$10000=F$2, '[2]Sheet2 (2)'!$D$1:$D$10000)), 0)&gt;0.9, 1, IFERROR(AVERAGE(IF('[2]Sheet2 (2)'!$C$1:$C$10000=F$2, '[2]Sheet2 (2)'!$D$1:$D$10000)), 0))</f>
        <v>1</v>
      </c>
      <c r="G10" s="36">
        <v>0.05</v>
      </c>
      <c r="H10" s="37">
        <f t="shared" si="1"/>
        <v>0.05</v>
      </c>
    </row>
    <row r="11" spans="1:15">
      <c r="A11" s="33">
        <v>8</v>
      </c>
      <c r="B11" s="34" t="s">
        <v>165</v>
      </c>
      <c r="C11" s="35" cm="1">
        <f t="array" ref="C11">IF(IFERROR(AVERAGE(IF('[2]Sheet2 (3)'!$C$1:$C$10000=C2, '[2]Sheet2 (3)'!$D$1:$D$10000)), 0)&gt;90, 1, IFERROR(AVERAGE(IF('[2]Sheet2 (3)'!$C$1:$C$10000=C2, '[2]Sheet2 (3)'!$D$1:$D$10000)), 0)/90)</f>
        <v>1</v>
      </c>
      <c r="D11" s="36">
        <v>0.05</v>
      </c>
      <c r="E11" s="35">
        <f t="shared" si="0"/>
        <v>0.05</v>
      </c>
      <c r="F11" s="35" cm="1">
        <f t="array" ref="F11">IF(IFERROR(AVERAGE(IF('[2]Sheet2 (3)'!$C$1:$C$10000=F2, '[2]Sheet2 (3)'!$D$1:$D$10000)), 0)&gt;90, 1, IFERROR(AVERAGE(IF('[2]Sheet2 (3)'!$C$1:$C$10000=F2, '[2]Sheet2 (3)'!$D$1:$D$10000)), 0)/90)</f>
        <v>1</v>
      </c>
      <c r="G11" s="36">
        <v>0.05</v>
      </c>
      <c r="H11" s="37">
        <f t="shared" si="1"/>
        <v>0.05</v>
      </c>
    </row>
    <row r="12" spans="1:15">
      <c r="A12" s="33">
        <v>9</v>
      </c>
      <c r="B12" s="34" t="s">
        <v>166</v>
      </c>
      <c r="C12" s="35">
        <f>IF(AVERAGEIF('Nilai Maturitas'!$C:$C, Overview!C2, 'Nilai Maturitas'!$D:$D) &gt; 8, 110%, AVERAGEIF('Nilai Maturitas'!$C:$C, Overview!C2, 'Nilai Maturitas'!$D:$D)/8*100%)</f>
        <v>0.97407063744985711</v>
      </c>
      <c r="D12" s="36">
        <v>0.1</v>
      </c>
      <c r="E12" s="35">
        <f t="shared" si="0"/>
        <v>9.7407063744985714E-2</v>
      </c>
      <c r="F12" s="35">
        <f>IF(AVERAGEIF('Nilai Maturitas'!$C:$C, Overview!F2, 'Nilai Maturitas'!$D:$D) &gt; 8, 110%, AVERAGEIF('Nilai Maturitas'!$C:$C, Overview!F2, 'Nilai Maturitas'!$D:$D)/8*100%)</f>
        <v>1.1000000000000001</v>
      </c>
      <c r="G12" s="36">
        <v>0.1</v>
      </c>
      <c r="H12" s="37">
        <f t="shared" si="1"/>
        <v>0.11000000000000001</v>
      </c>
    </row>
    <row r="13" spans="1:15">
      <c r="A13" s="33">
        <v>10</v>
      </c>
      <c r="B13" s="34" t="s">
        <v>167</v>
      </c>
      <c r="C13" s="35">
        <f>IF(AVERAGEIF('Maturitas Dashboard'!$C:$C, Overview!C$2, 'Maturitas Dashboard'!$D:$D) &gt; 8, 110%, AVERAGEIF('Maturitas Dashboard'!$C:$C, Overview!C$2, 'Maturitas Dashboard'!$D:$D)/8*100%)</f>
        <v>0.87073863636363635</v>
      </c>
      <c r="D13" s="36">
        <v>0.1</v>
      </c>
      <c r="E13" s="35">
        <f t="shared" si="0"/>
        <v>8.7073863636363644E-2</v>
      </c>
      <c r="F13" s="35">
        <f>IF(AVERAGEIF('Maturitas Dashboard'!$C:$C, Overview!F$2, 'Maturitas Dashboard'!$D:$D) &gt; 8, 110%, AVERAGEIF('Maturitas Dashboard'!$C:$C, Overview!F$2, 'Maturitas Dashboard'!$D:$D)/8*100%)</f>
        <v>0.87357954545454541</v>
      </c>
      <c r="G13" s="36">
        <v>0.1</v>
      </c>
      <c r="H13" s="37">
        <f t="shared" si="1"/>
        <v>8.7357954545454544E-2</v>
      </c>
    </row>
    <row r="14" spans="1:15">
      <c r="A14" s="39">
        <v>11</v>
      </c>
      <c r="B14" s="40" t="s">
        <v>168</v>
      </c>
      <c r="C14" s="41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2">
        <v>0.1</v>
      </c>
      <c r="E14" s="41">
        <f t="shared" si="0"/>
        <v>0.11000000000000001</v>
      </c>
      <c r="F14" s="41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42">
        <v>0.1</v>
      </c>
      <c r="H14" s="43">
        <f t="shared" si="1"/>
        <v>0.11000000000000001</v>
      </c>
    </row>
    <row r="15" spans="1:15">
      <c r="A15" s="44"/>
      <c r="B15" s="44"/>
      <c r="C15" s="50" t="s">
        <v>169</v>
      </c>
      <c r="D15" s="51"/>
      <c r="E15" s="45">
        <f>SUM(E4:E14)</f>
        <v>0.86958330989722321</v>
      </c>
      <c r="F15" s="50" t="s">
        <v>169</v>
      </c>
      <c r="G15" s="51"/>
      <c r="H15" s="45">
        <f>SUM(H4:H14)</f>
        <v>0.85602756453595452</v>
      </c>
    </row>
  </sheetData>
  <mergeCells count="6"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AC97-524D-4B03-A3A3-8878A452FFC2}">
  <dimension ref="A2:O15"/>
  <sheetViews>
    <sheetView workbookViewId="0">
      <selection activeCell="F7" sqref="F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8" t="s">
        <v>153</v>
      </c>
      <c r="B2" s="48" t="s">
        <v>154</v>
      </c>
      <c r="C2" s="49" t="s">
        <v>33</v>
      </c>
      <c r="D2" s="49"/>
      <c r="E2" s="49"/>
      <c r="F2" s="49" t="s">
        <v>45</v>
      </c>
      <c r="G2" s="49"/>
      <c r="H2" s="49"/>
    </row>
    <row r="3" spans="1:15">
      <c r="A3" s="48"/>
      <c r="B3" s="48"/>
      <c r="C3" s="32" t="s">
        <v>155</v>
      </c>
      <c r="D3" s="32" t="s">
        <v>156</v>
      </c>
      <c r="E3" s="32" t="s">
        <v>157</v>
      </c>
      <c r="F3" s="32" t="s">
        <v>155</v>
      </c>
      <c r="G3" s="32" t="s">
        <v>156</v>
      </c>
      <c r="H3" s="32" t="s">
        <v>157</v>
      </c>
    </row>
    <row r="4" spans="1:15">
      <c r="A4" s="33">
        <v>1</v>
      </c>
      <c r="B4" s="34" t="s">
        <v>158</v>
      </c>
      <c r="C4" s="35">
        <f>IFERROR(COUNTIFS(STR!$V:$V, 'Overview tanpa KPI'!C$2, STR!$X:$X, "TRUE")/COUNTIFS(STR!$V:$V, 'Overview tanpa KPI'!C2), 0)</f>
        <v>1</v>
      </c>
      <c r="D4" s="36">
        <v>0.15</v>
      </c>
      <c r="E4" s="35">
        <f>D4*C4</f>
        <v>0.15</v>
      </c>
      <c r="F4" s="35">
        <f>IFERROR(COUNTIFS(STR!$V:$V, 'Overview tanpa KPI'!F$2, STR!$X:$X, "TRUE")/COUNTIFS(STR!$V:$V, 'Overview tanpa KPI'!F2), 0)</f>
        <v>1</v>
      </c>
      <c r="G4" s="36">
        <v>0.15</v>
      </c>
      <c r="H4" s="37">
        <f>G4*F4</f>
        <v>0.15</v>
      </c>
    </row>
    <row r="5" spans="1:15">
      <c r="A5" s="33">
        <v>2</v>
      </c>
      <c r="B5" s="34" t="s">
        <v>159</v>
      </c>
      <c r="C5" s="35">
        <f>1-AVERAGEIF('Bad Data'!$C:$C, 'Overview tanpa KPI'!C$2, 'Bad Data'!$D:$D)</f>
        <v>0.99900909090909096</v>
      </c>
      <c r="D5" s="36">
        <v>0.1</v>
      </c>
      <c r="E5" s="35">
        <f t="shared" ref="E5:E14" si="0">D5*C5</f>
        <v>9.9900909090909096E-2</v>
      </c>
      <c r="F5" s="35">
        <f>1-AVERAGEIF('Bad Data'!$C:$C, 'Overview tanpa KPI'!F$2, 'Bad Data'!$D:$D)</f>
        <v>0.9992027272727273</v>
      </c>
      <c r="G5" s="36">
        <v>0.1</v>
      </c>
      <c r="H5" s="37">
        <f t="shared" ref="H5:H14" si="1">G5*F5</f>
        <v>9.9920272727272733E-2</v>
      </c>
    </row>
    <row r="6" spans="1:15">
      <c r="A6" s="33">
        <v>3</v>
      </c>
      <c r="B6" s="34" t="s">
        <v>160</v>
      </c>
      <c r="C6" s="35">
        <f>AVERAGEIF('Pengkinian Data'!$C:$C, 'Overview tanpa KPI'!C$2, 'Pengkinian Data'!$D:$D)</f>
        <v>1</v>
      </c>
      <c r="D6" s="36">
        <v>0.1</v>
      </c>
      <c r="E6" s="35">
        <f t="shared" si="0"/>
        <v>0.1</v>
      </c>
      <c r="F6" s="35">
        <f>AVERAGEIF('Pengkinian Data'!$C:$C, 'Overview tanpa KPI'!F$2, 'Pengkinian Data'!$D:$D)</f>
        <v>1</v>
      </c>
      <c r="G6" s="36">
        <v>0.1</v>
      </c>
      <c r="H6" s="37">
        <f t="shared" si="1"/>
        <v>0.1</v>
      </c>
      <c r="O6" t="s">
        <v>24</v>
      </c>
    </row>
    <row r="7" spans="1:15">
      <c r="A7" s="33">
        <v>4</v>
      </c>
      <c r="B7" s="34" t="s">
        <v>161</v>
      </c>
      <c r="C7" s="35" cm="1">
        <f t="array" ref="C7">IFERROR(SUMPRODUCT(--('[1]Uji Petik'!$E$3:$E$73&lt;&gt;""), --('[1]Uji Petik'!$C$3:$C$73=C2)) / SUMPRODUCT(--('[1]Uji Petik'!$C$3:$C$73=C2)), 0)</f>
        <v>0</v>
      </c>
      <c r="D7" s="36">
        <v>0</v>
      </c>
      <c r="E7" s="35">
        <f t="shared" si="0"/>
        <v>0</v>
      </c>
      <c r="F7" s="35" cm="1">
        <f t="array" ref="F7">IFERROR(SUMPRODUCT(--('[1]Uji Petik'!$E$3:$E$73&lt;&gt;""), --('[1]Uji Petik'!$C$3:$C$73=C2)) / SUMPRODUCT(--('[1]Uji Petik'!$C$3:$C$73=C2)), 0)</f>
        <v>0</v>
      </c>
      <c r="G7" s="36">
        <v>0</v>
      </c>
      <c r="H7" s="37">
        <f t="shared" si="1"/>
        <v>0</v>
      </c>
    </row>
    <row r="8" spans="1:15">
      <c r="A8" s="33">
        <v>5</v>
      </c>
      <c r="B8" s="34" t="s">
        <v>162</v>
      </c>
      <c r="C8" s="38" cm="1">
        <f t="array" ref="C8">IFERROR(AVERAGE(IF([2]Sosialisasi!$C$1:$C$10000=C2, [2]Sosialisasi!$D$1:$D$10000)), 0)</f>
        <v>0.18181818181818182</v>
      </c>
      <c r="D8" s="36">
        <v>0.15</v>
      </c>
      <c r="E8" s="35">
        <f t="shared" si="0"/>
        <v>2.7272727272727271E-2</v>
      </c>
      <c r="F8" s="38" cm="1">
        <f t="array" ref="F8">IFERROR(AVERAGE(IF([2]Sosialisasi!$C$1:$C$10000=F2, [2]Sosialisasi!$D$1:$D$10000)), 0)</f>
        <v>0</v>
      </c>
      <c r="G8" s="36">
        <v>0.15</v>
      </c>
      <c r="H8" s="37">
        <f t="shared" si="1"/>
        <v>0</v>
      </c>
    </row>
    <row r="9" spans="1:15">
      <c r="A9" s="33">
        <v>6</v>
      </c>
      <c r="B9" s="34" t="s">
        <v>163</v>
      </c>
      <c r="C9" s="35">
        <f>AVERAGEIF('EDD PEP PPATK'!$C:$C, 'Overview tanpa KPI'!C$2, 'EDD PEP PPATK'!$D:$D)</f>
        <v>0.97928746152237423</v>
      </c>
      <c r="D9" s="36">
        <v>0.1</v>
      </c>
      <c r="E9" s="35">
        <f t="shared" si="0"/>
        <v>9.7928746152237428E-2</v>
      </c>
      <c r="F9" s="35">
        <f>AVERAGEIF('EDD PEP PPATK'!$C:$C, 'Overview tanpa KPI'!F$2, 'EDD PEP PPATK'!$D:$D)</f>
        <v>0.98749337263227155</v>
      </c>
      <c r="G9" s="36">
        <v>0.1</v>
      </c>
      <c r="H9" s="37">
        <f t="shared" si="1"/>
        <v>9.8749337263227155E-2</v>
      </c>
    </row>
    <row r="10" spans="1:15">
      <c r="A10" s="33">
        <v>7</v>
      </c>
      <c r="B10" s="34" t="s">
        <v>164</v>
      </c>
      <c r="C10" s="35" cm="1">
        <f t="array" ref="C10">IFERROR(AVERAGE(IF('[2]Sheet2 (2)'!$C$1:$C$10000=C$2, '[2]Sheet2 (2)'!$D$1:$D$10000)), 0)</f>
        <v>0.96100036883907725</v>
      </c>
      <c r="D10" s="36">
        <v>0.05</v>
      </c>
      <c r="E10" s="35">
        <f t="shared" si="0"/>
        <v>4.8050018441953862E-2</v>
      </c>
      <c r="F10" s="35" cm="1">
        <f t="array" ref="F10">IFERROR(AVERAGE(IF('[2]Sheet2 (2)'!$C$1:$C$10000=F$2, '[2]Sheet2 (2)'!$D$1:$D$10000)), 0)</f>
        <v>0.93452660063739046</v>
      </c>
      <c r="G10" s="36">
        <v>0.05</v>
      </c>
      <c r="H10" s="37">
        <f t="shared" si="1"/>
        <v>4.6726330031869524E-2</v>
      </c>
    </row>
    <row r="11" spans="1:15">
      <c r="A11" s="33">
        <v>8</v>
      </c>
      <c r="B11" s="34" t="s">
        <v>165</v>
      </c>
      <c r="C11" s="35" cm="1">
        <f t="array" ref="C11">IFERROR(AVERAGE(IF('[2]Sheet2 (3)'!$C$1:$C$10000=C2, '[2]Sheet2 (3)'!$D$1:$D$10000)), 0)</f>
        <v>97.599748585454549</v>
      </c>
      <c r="D11" s="36">
        <v>0.05</v>
      </c>
      <c r="E11" s="35">
        <f t="shared" si="0"/>
        <v>4.8799874292727274</v>
      </c>
      <c r="F11" s="35" cm="1">
        <f t="array" ref="F11">IFERROR(AVERAGE(IF('[2]Sheet2 (3)'!$C$1:$C$10000=F2, '[2]Sheet2 (3)'!$D$1:$D$10000)), 0)</f>
        <v>97.546192720000008</v>
      </c>
      <c r="G11" s="36">
        <v>0.05</v>
      </c>
      <c r="H11" s="37">
        <f t="shared" si="1"/>
        <v>4.8773096360000006</v>
      </c>
    </row>
    <row r="12" spans="1:15">
      <c r="A12" s="33">
        <v>9</v>
      </c>
      <c r="B12" s="34" t="s">
        <v>166</v>
      </c>
      <c r="C12" s="35">
        <f>AVERAGEIF('Nilai Maturitas'!$C:$C, 'Overview tanpa KPI'!C2, 'Nilai Maturitas'!$D:$D)</f>
        <v>7.7925650995988569</v>
      </c>
      <c r="D12" s="36">
        <v>0.1</v>
      </c>
      <c r="E12" s="35">
        <f t="shared" si="0"/>
        <v>0.77925650995988571</v>
      </c>
      <c r="F12" s="35">
        <f>AVERAGEIF('Nilai Maturitas'!$C:$C, 'Overview tanpa KPI'!F2, 'Nilai Maturitas'!$D:$D)</f>
        <v>8.2236894871732211</v>
      </c>
      <c r="G12" s="36">
        <v>0.1</v>
      </c>
      <c r="H12" s="37">
        <f t="shared" si="1"/>
        <v>0.82236894871732213</v>
      </c>
    </row>
    <row r="13" spans="1:15">
      <c r="A13" s="33">
        <v>10</v>
      </c>
      <c r="B13" s="34" t="s">
        <v>167</v>
      </c>
      <c r="C13" s="35">
        <f>AVERAGEIF('Maturitas Dashboard'!$C:$C, 'Overview tanpa KPI'!C$2, 'Maturitas Dashboard'!$D:$D)</f>
        <v>6.9659090909090908</v>
      </c>
      <c r="D13" s="36">
        <v>0.1</v>
      </c>
      <c r="E13" s="35">
        <f t="shared" si="0"/>
        <v>0.69659090909090915</v>
      </c>
      <c r="F13" s="35">
        <f>AVERAGEIF('Maturitas Dashboard'!$C:$C, 'Overview tanpa KPI'!F$2, 'Maturitas Dashboard'!$D:$D)</f>
        <v>6.9886363636363633</v>
      </c>
      <c r="G13" s="36">
        <v>0.1</v>
      </c>
      <c r="H13" s="37">
        <f t="shared" si="1"/>
        <v>0.69886363636363635</v>
      </c>
    </row>
    <row r="14" spans="1:15">
      <c r="A14" s="39">
        <v>11</v>
      </c>
      <c r="B14" s="40" t="s">
        <v>168</v>
      </c>
      <c r="C14" s="41">
        <f>AVERAGEIF('Penilaian Resiko'!$C:$C, 'Overview tanpa KPI'!C$2, 'Penilaian Resiko'!$D:$D)</f>
        <v>5.371594319411936</v>
      </c>
      <c r="D14" s="42">
        <v>0.1</v>
      </c>
      <c r="E14" s="41">
        <f t="shared" si="0"/>
        <v>0.53715943194119364</v>
      </c>
      <c r="F14" s="41">
        <f>AVERAGEIF('Penilaian Resiko'!$C:$C, 'Overview tanpa KPI'!F$2, 'Penilaian Resiko'!$D:$D)</f>
        <v>4.9922023351647766</v>
      </c>
      <c r="G14" s="42">
        <v>0.1</v>
      </c>
      <c r="H14" s="43">
        <f t="shared" si="1"/>
        <v>0.49922023351647771</v>
      </c>
    </row>
    <row r="15" spans="1:15">
      <c r="A15" s="44"/>
      <c r="B15" s="44"/>
      <c r="C15" s="50" t="s">
        <v>169</v>
      </c>
      <c r="D15" s="51"/>
      <c r="E15" s="45">
        <f>SUM(E4:E14)</f>
        <v>7.4161466812225436</v>
      </c>
      <c r="F15" s="50" t="s">
        <v>169</v>
      </c>
      <c r="G15" s="51"/>
      <c r="H15" s="45">
        <f>SUM(H4:H14)</f>
        <v>7.3931583946198067</v>
      </c>
    </row>
  </sheetData>
  <mergeCells count="6">
    <mergeCell ref="A2:A3"/>
    <mergeCell ref="B2:B3"/>
    <mergeCell ref="C2:E2"/>
    <mergeCell ref="F2:H2"/>
    <mergeCell ref="C15:D15"/>
    <mergeCell ref="F15:G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8B25-0CB2-4521-B8F7-84B0A2AB6E21}">
  <dimension ref="A2:O16"/>
  <sheetViews>
    <sheetView tabSelected="1" workbookViewId="0">
      <selection activeCell="L16" sqref="L16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8" t="s">
        <v>153</v>
      </c>
      <c r="B2" s="48" t="s">
        <v>154</v>
      </c>
      <c r="C2" s="49" t="s">
        <v>33</v>
      </c>
      <c r="D2" s="49"/>
      <c r="E2" s="49"/>
      <c r="F2" s="49" t="s">
        <v>45</v>
      </c>
      <c r="G2" s="49"/>
      <c r="H2" s="49"/>
    </row>
    <row r="3" spans="1:15">
      <c r="A3" s="48"/>
      <c r="B3" s="48"/>
      <c r="C3" s="32" t="s">
        <v>155</v>
      </c>
      <c r="D3" s="32" t="s">
        <v>156</v>
      </c>
      <c r="E3" s="32" t="s">
        <v>157</v>
      </c>
      <c r="F3" s="32" t="s">
        <v>155</v>
      </c>
      <c r="G3" s="32" t="s">
        <v>156</v>
      </c>
      <c r="H3" s="32" t="s">
        <v>157</v>
      </c>
    </row>
    <row r="4" spans="1:15">
      <c r="A4" s="33">
        <v>1</v>
      </c>
      <c r="B4" s="34" t="s">
        <v>158</v>
      </c>
      <c r="C4" s="35">
        <f>IFERROR(COUNTIFS(STR!$V:$V, 'Overview KPI'!C$2, STR!$X:$X, "TRUE")/COUNTIFS(STR!$V:$V, 'Overview KPI'!C2), 0)</f>
        <v>1</v>
      </c>
      <c r="D4" s="46">
        <v>0.05</v>
      </c>
      <c r="E4" s="35">
        <f>D4*C4</f>
        <v>0.05</v>
      </c>
      <c r="F4" s="35">
        <f>IFERROR(COUNTIFS(STR!$V:$V, 'Overview KPI'!F$2, STR!$X:$X, "TRUE")/COUNTIFS(STR!$V:$V, 'Overview KPI'!F2), 0)</f>
        <v>1</v>
      </c>
      <c r="G4" s="46">
        <v>0.05</v>
      </c>
      <c r="H4" s="37">
        <f>G4*F4</f>
        <v>0.05</v>
      </c>
    </row>
    <row r="5" spans="1:15">
      <c r="A5" s="33">
        <v>2</v>
      </c>
      <c r="B5" s="34" t="s">
        <v>170</v>
      </c>
      <c r="C5" s="35">
        <f>IFERROR(AVERAGEIF(STR!$V:$V, 'Overview KPI'!C2, STR!$Y:$Y), 0)/4</f>
        <v>0.59252232142857153</v>
      </c>
      <c r="D5" s="46">
        <v>0.15</v>
      </c>
      <c r="E5" s="35">
        <f>D5*C5</f>
        <v>8.8878348214285724E-2</v>
      </c>
      <c r="F5" s="35">
        <f>IFERROR(AVERAGEIF(STR!$V:$V, 'Overview KPI'!C2, STR!$Y:$Y), 0)/4</f>
        <v>0.59252232142857153</v>
      </c>
      <c r="G5" s="46">
        <v>0.15</v>
      </c>
      <c r="H5" s="37">
        <f>G5*F5</f>
        <v>8.8878348214285724E-2</v>
      </c>
    </row>
    <row r="6" spans="1:15">
      <c r="A6" s="33">
        <v>3</v>
      </c>
      <c r="B6" s="34" t="s">
        <v>159</v>
      </c>
      <c r="C6" s="35">
        <f>1-AVERAGEIF('Bad Data'!$C:$C, 'Overview KPI'!C$2, 'Bad Data'!$D:$D)</f>
        <v>0.99900909090909096</v>
      </c>
      <c r="D6" s="46">
        <v>0.1</v>
      </c>
      <c r="E6" s="35">
        <f t="shared" ref="E6:E15" si="0">D6*C6</f>
        <v>9.9900909090909096E-2</v>
      </c>
      <c r="F6" s="35">
        <f>1-AVERAGEIF('Bad Data'!$C:$C, 'Overview KPI'!F$2, 'Bad Data'!$D:$D)</f>
        <v>0.9992027272727273</v>
      </c>
      <c r="G6" s="46">
        <v>0.1</v>
      </c>
      <c r="H6" s="37">
        <f t="shared" ref="H6:H15" si="1">G6*F6</f>
        <v>9.9920272727272733E-2</v>
      </c>
    </row>
    <row r="7" spans="1:15">
      <c r="A7" s="33">
        <v>4</v>
      </c>
      <c r="B7" s="34" t="s">
        <v>160</v>
      </c>
      <c r="C7" s="35">
        <f>AVERAGEIF('Pengkinian Data'!$C:$C, 'Overview KPI'!C$2, 'Pengkinian Data'!$D:$D)</f>
        <v>1</v>
      </c>
      <c r="D7" s="46">
        <v>0.1</v>
      </c>
      <c r="E7" s="35">
        <f t="shared" si="0"/>
        <v>0.1</v>
      </c>
      <c r="F7" s="35">
        <f>AVERAGEIF('Pengkinian Data'!$C:$C, 'Overview KPI'!F$2, 'Pengkinian Data'!$D:$D)</f>
        <v>1</v>
      </c>
      <c r="G7" s="46">
        <v>0.1</v>
      </c>
      <c r="H7" s="37">
        <f t="shared" si="1"/>
        <v>0.1</v>
      </c>
      <c r="O7" t="s">
        <v>24</v>
      </c>
    </row>
    <row r="8" spans="1:15">
      <c r="A8" s="33">
        <v>5</v>
      </c>
      <c r="B8" s="34" t="s">
        <v>161</v>
      </c>
      <c r="C8" s="35" cm="1">
        <f t="array" ref="C8">IFERROR(SUMPRODUCT(--('[1]Uji Petik'!$E$3:$E$73&lt;&gt;""), --('[1]Uji Petik'!$C$3:$C$73=C2)) / SUMPRODUCT(--('[1]Uji Petik'!$C$3:$C$73=C2)), 0)</f>
        <v>0</v>
      </c>
      <c r="D8" s="46">
        <v>7.4999999999999997E-2</v>
      </c>
      <c r="E8" s="35">
        <f t="shared" si="0"/>
        <v>0</v>
      </c>
      <c r="F8" s="35" cm="1">
        <f t="array" ref="F8">IFERROR(SUMPRODUCT(--('[1]Uji Petik'!$E$3:$E$73&lt;&gt;""), --('[1]Uji Petik'!$C$3:$C$73=C2)) / SUMPRODUCT(--('[1]Uji Petik'!$C$3:$C$73=C2)), 0)</f>
        <v>0</v>
      </c>
      <c r="G8" s="46">
        <v>7.4999999999999997E-2</v>
      </c>
      <c r="H8" s="37">
        <f t="shared" si="1"/>
        <v>0</v>
      </c>
    </row>
    <row r="9" spans="1:15">
      <c r="A9" s="33">
        <v>6</v>
      </c>
      <c r="B9" s="34" t="s">
        <v>162</v>
      </c>
      <c r="C9" s="38" cm="1">
        <f t="array" ref="C9">IFERROR(AVERAGE(IF([2]Sosialisasi!$C$1:$C$10000=C2, [2]Sosialisasi!$D$1:$D$10000)), 0)</f>
        <v>0.18181818181818182</v>
      </c>
      <c r="D9" s="46">
        <v>7.4999999999999997E-2</v>
      </c>
      <c r="E9" s="35">
        <f t="shared" si="0"/>
        <v>1.3636363636363636E-2</v>
      </c>
      <c r="F9" s="38" cm="1">
        <f t="array" ref="F9">IFERROR(AVERAGE(IF([2]Sosialisasi!$C$1:$C$10000=F2, [2]Sosialisasi!$D$1:$D$10000)), 0)</f>
        <v>0</v>
      </c>
      <c r="G9" s="46">
        <v>7.4999999999999997E-2</v>
      </c>
      <c r="H9" s="37">
        <f t="shared" si="1"/>
        <v>0</v>
      </c>
    </row>
    <row r="10" spans="1:15">
      <c r="A10" s="33">
        <v>7</v>
      </c>
      <c r="B10" s="34" t="s">
        <v>163</v>
      </c>
      <c r="C10" s="35">
        <f>AVERAGEIF('EDD PEP PPATK'!$C:$C, 'Overview KPI'!C$2, 'EDD PEP PPATK'!$D:$D)</f>
        <v>0.97928746152237423</v>
      </c>
      <c r="D10" s="46">
        <v>0.1</v>
      </c>
      <c r="E10" s="35">
        <f t="shared" si="0"/>
        <v>9.7928746152237428E-2</v>
      </c>
      <c r="F10" s="35">
        <f>AVERAGEIF('EDD PEP PPATK'!$C:$C, 'Overview KPI'!F$2, 'EDD PEP PPATK'!$D:$D)</f>
        <v>0.98749337263227155</v>
      </c>
      <c r="G10" s="46">
        <v>0.1</v>
      </c>
      <c r="H10" s="37">
        <f t="shared" si="1"/>
        <v>9.8749337263227155E-2</v>
      </c>
    </row>
    <row r="11" spans="1:15">
      <c r="A11" s="33">
        <v>8</v>
      </c>
      <c r="B11" s="34" t="s">
        <v>164</v>
      </c>
      <c r="C11" s="35" cm="1">
        <f t="array" ref="C11">IF(IFERROR(AVERAGE(IF('[2]Sheet2 (2)'!$C$1:$C$10000=C$2, '[2]Sheet2 (2)'!$D$1:$D$10000)), 0)&gt;0.9, 1, IFERROR(AVERAGE(IF('[2]Sheet2 (2)'!$C$1:$C$10000=C$2, '[2]Sheet2 (2)'!$D$1:$D$10000)), 0))</f>
        <v>1</v>
      </c>
      <c r="D11" s="46">
        <v>2.5000000000000001E-2</v>
      </c>
      <c r="E11" s="35">
        <f t="shared" si="0"/>
        <v>2.5000000000000001E-2</v>
      </c>
      <c r="F11" s="35" cm="1">
        <f t="array" ref="F11">IF(IFERROR(AVERAGE(IF('[2]Sheet2 (2)'!$C$1:$C$10000=F$2, '[2]Sheet2 (2)'!$D$1:$D$10000)), 0)&gt;0.9, 1, IFERROR(AVERAGE(IF('[2]Sheet2 (2)'!$C$1:$C$10000=F$2, '[2]Sheet2 (2)'!$D$1:$D$10000)), 0))</f>
        <v>1</v>
      </c>
      <c r="G11" s="46">
        <v>2.5000000000000001E-2</v>
      </c>
      <c r="H11" s="37">
        <f t="shared" si="1"/>
        <v>2.5000000000000001E-2</v>
      </c>
    </row>
    <row r="12" spans="1:15">
      <c r="A12" s="33">
        <v>9</v>
      </c>
      <c r="B12" s="34" t="s">
        <v>165</v>
      </c>
      <c r="C12" s="35" cm="1">
        <f t="array" ref="C12">IF(IFERROR(AVERAGE(IF('[2]Sheet2 (3)'!$C$1:$C$10000=C2, '[2]Sheet2 (3)'!$D$1:$D$10000)), 0)&gt;90, 1, IFERROR(AVERAGE(IF('[2]Sheet2 (3)'!$C$1:$C$10000=C2, '[2]Sheet2 (3)'!$D$1:$D$10000)), 0)/90)</f>
        <v>1</v>
      </c>
      <c r="D12" s="46">
        <v>2.5000000000000001E-2</v>
      </c>
      <c r="E12" s="35">
        <f t="shared" si="0"/>
        <v>2.5000000000000001E-2</v>
      </c>
      <c r="F12" s="35" cm="1">
        <f t="array" ref="F12">IF(IFERROR(AVERAGE(IF('[2]Sheet2 (3)'!$C$1:$C$10000=F2, '[2]Sheet2 (3)'!$D$1:$D$10000)), 0)&gt;90, 1, IFERROR(AVERAGE(IF('[2]Sheet2 (3)'!$C$1:$C$10000=F2, '[2]Sheet2 (3)'!$D$1:$D$10000)), 0)/90)</f>
        <v>1</v>
      </c>
      <c r="G12" s="46">
        <v>2.5000000000000001E-2</v>
      </c>
      <c r="H12" s="37">
        <f t="shared" si="1"/>
        <v>2.5000000000000001E-2</v>
      </c>
    </row>
    <row r="13" spans="1:15">
      <c r="A13" s="33">
        <v>10</v>
      </c>
      <c r="B13" s="34" t="s">
        <v>166</v>
      </c>
      <c r="C13" s="35">
        <f>IF(AVERAGEIF('Nilai Maturitas'!$C:$C, 'Overview KPI'!C2, 'Nilai Maturitas'!$D:$D) &gt; 8, 110%, AVERAGEIF('Nilai Maturitas'!$C:$C, 'Overview KPI'!C2, 'Nilai Maturitas'!$D:$D)/8*100%)</f>
        <v>0.97407063744985711</v>
      </c>
      <c r="D13" s="46">
        <v>0.1</v>
      </c>
      <c r="E13" s="35">
        <f t="shared" si="0"/>
        <v>9.7407063744985714E-2</v>
      </c>
      <c r="F13" s="35">
        <f>IF(AVERAGEIF('Nilai Maturitas'!$C:$C, 'Overview KPI'!F2, 'Nilai Maturitas'!$D:$D) &gt; 8, 110%, AVERAGEIF('Nilai Maturitas'!$C:$C, 'Overview KPI'!F2, 'Nilai Maturitas'!$D:$D)/8*100%)</f>
        <v>1.1000000000000001</v>
      </c>
      <c r="G13" s="46">
        <v>0.1</v>
      </c>
      <c r="H13" s="37">
        <f t="shared" si="1"/>
        <v>0.11000000000000001</v>
      </c>
    </row>
    <row r="14" spans="1:15">
      <c r="A14" s="33">
        <v>11</v>
      </c>
      <c r="B14" s="34" t="s">
        <v>167</v>
      </c>
      <c r="C14" s="35">
        <f>IF(AVERAGEIF('Maturitas Dashboard'!$C:$C, 'Overview KPI'!C$2, 'Maturitas Dashboard'!$D:$D) &gt; 8, 110%, AVERAGEIF('Maturitas Dashboard'!$C:$C, 'Overview KPI'!C$2, 'Maturitas Dashboard'!$D:$D)/8*100%)</f>
        <v>0.87073863636363635</v>
      </c>
      <c r="D14" s="46">
        <v>0.1</v>
      </c>
      <c r="E14" s="35">
        <f t="shared" si="0"/>
        <v>8.7073863636363644E-2</v>
      </c>
      <c r="F14" s="35">
        <f>IF(AVERAGEIF('Maturitas Dashboard'!$C:$C, 'Overview KPI'!F$2, 'Maturitas Dashboard'!$D:$D) &gt; 8, 110%, AVERAGEIF('Maturitas Dashboard'!$C:$C, 'Overview KPI'!F$2, 'Maturitas Dashboard'!$D:$D)/8*100%)</f>
        <v>0.87357954545454541</v>
      </c>
      <c r="G14" s="46">
        <v>0.1</v>
      </c>
      <c r="H14" s="37">
        <f t="shared" si="1"/>
        <v>8.7357954545454544E-2</v>
      </c>
    </row>
    <row r="15" spans="1:15">
      <c r="A15" s="33">
        <v>12</v>
      </c>
      <c r="B15" s="40" t="s">
        <v>168</v>
      </c>
      <c r="C15" s="41">
        <f>IF(AVERAGEIF('Penilaian Resiko'!$C:$C, 'Overview KPI'!C$2, 'Penilaian Resiko'!$D:$D) &lt; 5.8, 110%, IF(AVERAGEIF('Penilaian Resiko'!$C:$C, 'Overview KPI'!C$2, 'Penilaian Resiko'!$D:$D) &lt;7.4, 3/4*100%, 3/5*100%))</f>
        <v>1.1000000000000001</v>
      </c>
      <c r="D15" s="47">
        <v>0.1</v>
      </c>
      <c r="E15" s="41">
        <f t="shared" si="0"/>
        <v>0.11000000000000001</v>
      </c>
      <c r="F15" s="41">
        <f>IF(AVERAGEIF('Penilaian Resiko'!$C:$C, 'Overview KPI'!F$2, 'Penilaian Resiko'!$D:$D) &lt; 5.8, 110%, IF(AVERAGEIF('Penilaian Resiko'!$C:$C, 'Overview KPI'!F$2, 'Penilaian Resiko'!$D:$D) &lt;7.4, 3/4*100%, 3/5*100%))</f>
        <v>1.1000000000000001</v>
      </c>
      <c r="G15" s="47">
        <v>0.1</v>
      </c>
      <c r="H15" s="43">
        <f t="shared" si="1"/>
        <v>0.11000000000000001</v>
      </c>
    </row>
    <row r="16" spans="1:15">
      <c r="A16" s="44"/>
      <c r="B16" s="44"/>
      <c r="C16" s="50" t="s">
        <v>169</v>
      </c>
      <c r="D16" s="51"/>
      <c r="E16" s="45">
        <f>SUM(E4:E15)</f>
        <v>0.79482529447514527</v>
      </c>
      <c r="F16" s="50" t="s">
        <v>169</v>
      </c>
      <c r="G16" s="51"/>
      <c r="H16" s="45">
        <f>SUM(H4:H15)</f>
        <v>0.79490591275024025</v>
      </c>
    </row>
  </sheetData>
  <mergeCells count="6">
    <mergeCell ref="A2:A3"/>
    <mergeCell ref="B2:B3"/>
    <mergeCell ref="C2:E2"/>
    <mergeCell ref="F2:H2"/>
    <mergeCell ref="C16:D16"/>
    <mergeCell ref="F16:G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2026-10-01T00:08:52Z</dcterms:modified>
  <cp:category/>
  <cp:contentStatus/>
</cp:coreProperties>
</file>