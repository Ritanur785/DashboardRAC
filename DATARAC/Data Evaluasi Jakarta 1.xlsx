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updateLinks="always"/>
  <mc:AlternateContent xmlns:mc="http://schemas.openxmlformats.org/markup-compatibility/2006">
    <mc:Choice Requires="x15">
      <x15ac:absPath xmlns:x15ac="http://schemas.microsoft.com/office/spreadsheetml/2010/11/ac" url="https://bri2-my.sharepoint.com/personal/00136153_hq_bri_co_id/Documents/Assurance Team/RAC Team/Moneva Update/"/>
    </mc:Choice>
  </mc:AlternateContent>
  <xr:revisionPtr revIDLastSave="476" documentId="8_{CBB978E0-DA6C-437E-96CC-89A4C9D131CC}" xr6:coauthVersionLast="47" xr6:coauthVersionMax="47" xr10:uidLastSave="{9F5493F7-CA90-425A-B154-28817C704753}"/>
  <bookViews>
    <workbookView xWindow="-96" yWindow="0" windowWidth="11712" windowHeight="12336" firstSheet="10" activeTab="10" xr2:uid="{28B6D053-1D7F-4EEF-8978-633F77751EF4}"/>
  </bookViews>
  <sheets>
    <sheet name="STR" sheetId="5" r:id="rId1"/>
    <sheet name="EDD PEP PPATK" sheetId="1" r:id="rId2"/>
    <sheet name="Bad Data" sheetId="9" r:id="rId3"/>
    <sheet name="Sosialisasi" sheetId="3" state="hidden" r:id="rId4"/>
    <sheet name="Pengkinian Data" sheetId="2" r:id="rId5"/>
    <sheet name="Uji Petik" sheetId="4" r:id="rId6"/>
    <sheet name="Nilai Maturitas" sheetId="6" r:id="rId7"/>
    <sheet name="Penilaian Resiko" sheetId="7" r:id="rId8"/>
    <sheet name="Maturitas Dashboard" sheetId="8" r:id="rId9"/>
    <sheet name="Overview" sheetId="10" r:id="rId10"/>
    <sheet name="Overview tanpa KPI" sheetId="11" r:id="rId11"/>
  </sheets>
  <externalReferences>
    <externalReference r:id="rId12"/>
    <externalReference r:id="rId13"/>
  </externalReferences>
  <definedNames>
    <definedName name="_xlnm._FilterDatabase" localSheetId="0" hidden="1">STR!$A$1:$X$146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11" l="1" a="1"/>
  <c r="C7" i="11"/>
  <c r="C7" i="10" a="1"/>
  <c r="C7" i="10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C9" i="10"/>
  <c r="E9" i="10" s="1"/>
  <c r="D10" i="9"/>
  <c r="D4" i="9"/>
  <c r="D5" i="9"/>
  <c r="D6" i="9"/>
  <c r="D7" i="9"/>
  <c r="D8" i="9"/>
  <c r="D9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3" i="9"/>
  <c r="D10" i="2"/>
  <c r="D4" i="2"/>
  <c r="D5" i="2"/>
  <c r="D6" i="2"/>
  <c r="D7" i="2"/>
  <c r="D8" i="2"/>
  <c r="D9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3" i="2"/>
  <c r="X4" i="5"/>
  <c r="X3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2" i="5"/>
  <c r="C12" i="11"/>
  <c r="C13" i="11"/>
  <c r="C14" i="11"/>
  <c r="C4" i="11"/>
  <c r="C5" i="11"/>
  <c r="C9" i="11"/>
  <c r="E14" i="11"/>
  <c r="E13" i="11"/>
  <c r="E12" i="11"/>
  <c r="C11" i="11" a="1"/>
  <c r="C11" i="11" s="1"/>
  <c r="E11" i="11" s="1"/>
  <c r="C10" i="11" a="1"/>
  <c r="C10" i="11" s="1"/>
  <c r="E10" i="11" s="1"/>
  <c r="E9" i="11"/>
  <c r="C8" i="11" a="1"/>
  <c r="C8" i="11" s="1"/>
  <c r="E8" i="11" s="1"/>
  <c r="E7" i="11"/>
  <c r="E5" i="11"/>
  <c r="E4" i="11"/>
  <c r="C12" i="10"/>
  <c r="C13" i="10"/>
  <c r="C14" i="10"/>
  <c r="C4" i="10"/>
  <c r="C5" i="10"/>
  <c r="C6" i="10"/>
  <c r="E6" i="10" s="1"/>
  <c r="E14" i="10"/>
  <c r="E13" i="10"/>
  <c r="E12" i="10"/>
  <c r="C11" i="10" a="1"/>
  <c r="C11" i="10" s="1"/>
  <c r="E11" i="10" s="1"/>
  <c r="C10" i="10" a="1"/>
  <c r="C10" i="10" s="1"/>
  <c r="E10" i="10" s="1"/>
  <c r="C8" i="10" a="1"/>
  <c r="C8" i="10" s="1"/>
  <c r="E8" i="10" s="1"/>
  <c r="E7" i="10"/>
  <c r="E5" i="10"/>
  <c r="E4" i="10"/>
  <c r="E2" i="8"/>
  <c r="E2" i="7"/>
  <c r="E2" i="6"/>
  <c r="C6" i="11" l="1"/>
  <c r="E6" i="11" s="1"/>
  <c r="E15" i="10"/>
  <c r="E15" i="11"/>
  <c r="E3" i="9"/>
  <c r="E3" i="2"/>
  <c r="E3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<sst xmlns="http://schemas.openxmlformats.org/spreadsheetml/2006/main" count="1269" uniqueCount="343">
  <si>
    <t>POSISI</t>
  </si>
  <si>
    <t>NAMA</t>
  </si>
  <si>
    <t>CIF</t>
  </si>
  <si>
    <t>No Rek/ Kartu Kredit</t>
  </si>
  <si>
    <t>RESIKO</t>
  </si>
  <si>
    <t>BRILINK</t>
  </si>
  <si>
    <t>STATUS PEKERJA</t>
  </si>
  <si>
    <t>DIGITAL SAVING</t>
  </si>
  <si>
    <t>SKENARIO</t>
  </si>
  <si>
    <t>SCORING</t>
  </si>
  <si>
    <t>INFO PARAM</t>
  </si>
  <si>
    <t>KATEGORI</t>
  </si>
  <si>
    <t>UNIT KERJA</t>
  </si>
  <si>
    <t>KANTOR CABANG</t>
  </si>
  <si>
    <t>KANTOR KANWIL</t>
  </si>
  <si>
    <t>REKOMENDASI UKER</t>
  </si>
  <si>
    <t>REKOMENDASI UKK</t>
  </si>
  <si>
    <t>STATUS UKER</t>
  </si>
  <si>
    <t>STATUS</t>
  </si>
  <si>
    <t>DISPOSISI</t>
  </si>
  <si>
    <t>INFO LAINNYA</t>
  </si>
  <si>
    <t>Disposisi RAC</t>
  </si>
  <si>
    <t>Tanggal</t>
  </si>
  <si>
    <t>Status TL</t>
  </si>
  <si>
    <t xml:space="preserve">AMAM SUKRIYANTO                         </t>
  </si>
  <si>
    <t>A564673</t>
  </si>
  <si>
    <t>TINGGI</t>
  </si>
  <si>
    <t>Private or Priority Customer Investment</t>
  </si>
  <si>
    <t>Pasar Modal</t>
  </si>
  <si>
    <t xml:space="preserve">Jkt KCK                                 </t>
  </si>
  <si>
    <t xml:space="preserve">DKI                                     </t>
  </si>
  <si>
    <t>Indra Jantana</t>
  </si>
  <si>
    <t>ADHIBALARAJA INTERNATIONAL INDUSTRIAL PA</t>
  </si>
  <si>
    <t>ADEWK77</t>
  </si>
  <si>
    <t>Perpajakan</t>
  </si>
  <si>
    <t xml:space="preserve">KC Jakarta Tanah Abang                  </t>
  </si>
  <si>
    <t xml:space="preserve">ASTRA SEDAYA FINANCE                    </t>
  </si>
  <si>
    <t>ANM7907</t>
  </si>
  <si>
    <t>SEDANG</t>
  </si>
  <si>
    <t xml:space="preserve">ADITYA PASHA ZULQA                      </t>
  </si>
  <si>
    <t>AWNB686</t>
  </si>
  <si>
    <t>Jual Beli Rekening - E channel Trx</t>
  </si>
  <si>
    <t>Narkotika/Judi Online/Penipuan</t>
  </si>
  <si>
    <t xml:space="preserve">KCP Cikini                              </t>
  </si>
  <si>
    <t xml:space="preserve">KC Jakarta Cut Mutiah                   </t>
  </si>
  <si>
    <t>.</t>
  </si>
  <si>
    <t xml:space="preserve">AWAL BROS BANJAR                        </t>
  </si>
  <si>
    <t>AXSY028</t>
  </si>
  <si>
    <t xml:space="preserve">KC Jakarta Cempaka Mas                  </t>
  </si>
  <si>
    <t xml:space="preserve">PERUM BULOG                             </t>
  </si>
  <si>
    <t>B157179</t>
  </si>
  <si>
    <t xml:space="preserve">KC SUDIRMAN SEMANGGI                    </t>
  </si>
  <si>
    <t xml:space="preserve">BINA ARTHA VENTURA                      </t>
  </si>
  <si>
    <t>BH83647</t>
  </si>
  <si>
    <t xml:space="preserve">BINTANG CEMERLANG UTAMA                 </t>
  </si>
  <si>
    <t>BL68970</t>
  </si>
  <si>
    <t xml:space="preserve">KC Jakarta Krekot                       </t>
  </si>
  <si>
    <t xml:space="preserve">DARWOTO                                 </t>
  </si>
  <si>
    <t>DBB2983</t>
  </si>
  <si>
    <t>Narkotika - Area Lapas</t>
  </si>
  <si>
    <t>Narkotika</t>
  </si>
  <si>
    <t>KC Jakarta Jatinegara</t>
  </si>
  <si>
    <t>DKI</t>
  </si>
  <si>
    <t xml:space="preserve">ELIN MONICA                             </t>
  </si>
  <si>
    <t>EAS1429</t>
  </si>
  <si>
    <t xml:space="preserve">UNIT SEMPER SUKAPURA                    </t>
  </si>
  <si>
    <t xml:space="preserve">KC Jakarta Tanjung Priok                </t>
  </si>
  <si>
    <t xml:space="preserve">FADLAN HERDIANSYAH                      </t>
  </si>
  <si>
    <t>FTT7313</t>
  </si>
  <si>
    <t xml:space="preserve">UNIT PONDOK KOPI                        </t>
  </si>
  <si>
    <t xml:space="preserve">KC JAKARTA KALIMALANG                   </t>
  </si>
  <si>
    <t xml:space="preserve">FIERIS LIFESTYLES GROUP                 </t>
  </si>
  <si>
    <t>FTW9475</t>
  </si>
  <si>
    <t xml:space="preserve">KC Jakarta Jatinegara                   </t>
  </si>
  <si>
    <t xml:space="preserve">GAMETRACO TUNGGAL                       </t>
  </si>
  <si>
    <t>GM04878</t>
  </si>
  <si>
    <t xml:space="preserve">KC JAKARTA RAWAMANGUN                   </t>
  </si>
  <si>
    <t xml:space="preserve">GERAKAN EKONOMI DAN BUDAYA MINANG       </t>
  </si>
  <si>
    <t>GQ07290</t>
  </si>
  <si>
    <t xml:space="preserve">HERMANTO SIREGAR                        </t>
  </si>
  <si>
    <t>HU22329</t>
  </si>
  <si>
    <t xml:space="preserve">HARKATJAYA BUMIPERSADA                  </t>
  </si>
  <si>
    <t>HYJ5136</t>
  </si>
  <si>
    <t xml:space="preserve">IMAM SAFI'I                             </t>
  </si>
  <si>
    <t>ICE8152</t>
  </si>
  <si>
    <t>Pencurian Rekening</t>
  </si>
  <si>
    <t>Perbankan</t>
  </si>
  <si>
    <t xml:space="preserve">KC JAKARTA ROXI                         </t>
  </si>
  <si>
    <t xml:space="preserve">JESSINDO PRAKARSA                       </t>
  </si>
  <si>
    <t>JKU6322</t>
  </si>
  <si>
    <t xml:space="preserve">KC Jakarta Kramat Jati                  </t>
  </si>
  <si>
    <t xml:space="preserve">JIMMY FRANCISCUS SAMANTHA               </t>
  </si>
  <si>
    <t>JO76160</t>
  </si>
  <si>
    <t xml:space="preserve">KC JAKARTA KEMAYORAN                    </t>
  </si>
  <si>
    <t xml:space="preserve">KUSUMANDARU                             </t>
  </si>
  <si>
    <t>KB88688</t>
  </si>
  <si>
    <t xml:space="preserve">KODIN NASARUDIN                         </t>
  </si>
  <si>
    <t>KBGB987</t>
  </si>
  <si>
    <t xml:space="preserve">KIMIA FARMA APOTEK                      </t>
  </si>
  <si>
    <t>KIT7044</t>
  </si>
  <si>
    <t xml:space="preserve">KC Jakarta Veteran                      </t>
  </si>
  <si>
    <t xml:space="preserve">KENCANA JAYA BANGUNAN                   </t>
  </si>
  <si>
    <t>KYK5816</t>
  </si>
  <si>
    <t xml:space="preserve">KOPEGTEL KANTOR DIVRE III               </t>
  </si>
  <si>
    <t>KZK2192</t>
  </si>
  <si>
    <t xml:space="preserve">KCP TASPEN                              </t>
  </si>
  <si>
    <t xml:space="preserve">MUHAMMAD FADHEL AZHARI                  </t>
  </si>
  <si>
    <t>MEDMW14</t>
  </si>
  <si>
    <t xml:space="preserve">UNIT PONDOK BAMBU                       </t>
  </si>
  <si>
    <t xml:space="preserve">PT NIAGA NUSA ABADI                     </t>
  </si>
  <si>
    <t>PCH8695</t>
  </si>
  <si>
    <t xml:space="preserve">PT KHARISMA MAJU ABADI                  </t>
  </si>
  <si>
    <t>PGN2660</t>
  </si>
  <si>
    <t xml:space="preserve">KCP KEMENTRIAN BUMN                     </t>
  </si>
  <si>
    <t xml:space="preserve">PT SEKAR SARIDANA                       </t>
  </si>
  <si>
    <t>PGN2671</t>
  </si>
  <si>
    <t xml:space="preserve">PT GADING ADIPERMAI                     </t>
  </si>
  <si>
    <t>PGN2683</t>
  </si>
  <si>
    <t xml:space="preserve">PT KARTIKA INSANI RAYA                  </t>
  </si>
  <si>
    <t>PGN3129</t>
  </si>
  <si>
    <t xml:space="preserve">PT LIA ANUGRAH SEMESTA                  </t>
  </si>
  <si>
    <t>PGU0899</t>
  </si>
  <si>
    <t xml:space="preserve">PERTAMINA PATRA NIAGA BRI AREA 2        </t>
  </si>
  <si>
    <t>PHR9328</t>
  </si>
  <si>
    <t xml:space="preserve">PERKUMPULAN PARSIBONA INDONESIA RAYA    </t>
  </si>
  <si>
    <t>PLL4124</t>
  </si>
  <si>
    <t xml:space="preserve">PT RAGAMURTI INTIBOGA ARTO              </t>
  </si>
  <si>
    <t>PMT8115</t>
  </si>
  <si>
    <t xml:space="preserve">PT MNJ MENJAGA INDO                     </t>
  </si>
  <si>
    <t>POH1722</t>
  </si>
  <si>
    <t xml:space="preserve">PILAR MEDIKA SELARAS                    </t>
  </si>
  <si>
    <t>POM7563</t>
  </si>
  <si>
    <t xml:space="preserve">RIZKI SUBAKTI                           </t>
  </si>
  <si>
    <t>RQGX488</t>
  </si>
  <si>
    <t xml:space="preserve">KCP DELTA MAS JAKARTA                   </t>
  </si>
  <si>
    <t xml:space="preserve">KC Jakarta Pluit                        </t>
  </si>
  <si>
    <t xml:space="preserve">RIAN SANJAYA                            </t>
  </si>
  <si>
    <t>RRV9763</t>
  </si>
  <si>
    <t xml:space="preserve">SALIYAH                                 </t>
  </si>
  <si>
    <t>SKDVR44</t>
  </si>
  <si>
    <t xml:space="preserve">UNIT PISANGAN LAMA                      </t>
  </si>
  <si>
    <t xml:space="preserve">KC JAKARTA OTISTA                       </t>
  </si>
  <si>
    <t xml:space="preserve">SABAR GANDA L SITORUS                   </t>
  </si>
  <si>
    <t>SLBD091</t>
  </si>
  <si>
    <t xml:space="preserve">SEHAT DIGITAL SUKSES                    </t>
  </si>
  <si>
    <t>SLFSC56</t>
  </si>
  <si>
    <t xml:space="preserve">KC  Jakarta Kelapa Gading               </t>
  </si>
  <si>
    <t xml:space="preserve">UTON RAMLI                              </t>
  </si>
  <si>
    <t>UR05214</t>
  </si>
  <si>
    <t xml:space="preserve">UNIT PULOGADUNG                         </t>
  </si>
  <si>
    <t xml:space="preserve">VENUS RAYNALDY                          </t>
  </si>
  <si>
    <t>VG43993</t>
  </si>
  <si>
    <t>VICTOR DUA TIGA MEGA DELAPAN SEMBILAN HD</t>
  </si>
  <si>
    <t>VH84393</t>
  </si>
  <si>
    <t xml:space="preserve">KC Jakarta Artha Gading                 </t>
  </si>
  <si>
    <t xml:space="preserve">WIWIT PURNAMASARI                       </t>
  </si>
  <si>
    <t>WMJ7701</t>
  </si>
  <si>
    <t xml:space="preserve">KCP ARUNDINA                            </t>
  </si>
  <si>
    <t xml:space="preserve">WAHYU SUGIONO                           </t>
  </si>
  <si>
    <t>WMY6384</t>
  </si>
  <si>
    <t xml:space="preserve">KCP MEESTER                             </t>
  </si>
  <si>
    <t xml:space="preserve">YUSIKA BR. PURBA                        </t>
  </si>
  <si>
    <t>YFG9340</t>
  </si>
  <si>
    <t xml:space="preserve">YAYASAN MEUTIA HATTA SWASONO            </t>
  </si>
  <si>
    <t>YTC3651</t>
  </si>
  <si>
    <t xml:space="preserve">UNIT WARAKAS                            </t>
  </si>
  <si>
    <t xml:space="preserve">ABDUL ROCHIM                            </t>
  </si>
  <si>
    <t>APK0017</t>
  </si>
  <si>
    <t xml:space="preserve">UNIT KRAMAT JATI INDUK                  </t>
  </si>
  <si>
    <t xml:space="preserve">IR ARENA PRIMA                          </t>
  </si>
  <si>
    <t>AHL0811</t>
  </si>
  <si>
    <t xml:space="preserve">BENNY HUTAHAYAN DAN REKAN               </t>
  </si>
  <si>
    <t>BIX3150</t>
  </si>
  <si>
    <t xml:space="preserve">CHERRY FRUIT                            </t>
  </si>
  <si>
    <t>CI83176</t>
  </si>
  <si>
    <t xml:space="preserve">CITRA KARYA JABAR TOL                   </t>
  </si>
  <si>
    <t>CC05417</t>
  </si>
  <si>
    <t xml:space="preserve">KAKU PASPAMPRES                         </t>
  </si>
  <si>
    <t>KZU9829</t>
  </si>
  <si>
    <t xml:space="preserve">MAJU TERUS JAYA                         </t>
  </si>
  <si>
    <t>MAVVG72</t>
  </si>
  <si>
    <t xml:space="preserve">INDAH NUANSA PERTIWI                    </t>
  </si>
  <si>
    <t>IWJ9380</t>
  </si>
  <si>
    <t xml:space="preserve">IVAN BUAH                               </t>
  </si>
  <si>
    <t>IOT5728</t>
  </si>
  <si>
    <t xml:space="preserve">GAYA SASTRA INDAH                       </t>
  </si>
  <si>
    <t>GO88861</t>
  </si>
  <si>
    <t xml:space="preserve">GRIYA PRATAMA SOLUSI                    </t>
  </si>
  <si>
    <t>GN97422</t>
  </si>
  <si>
    <t xml:space="preserve">FEDERAL INTERNATIONAL FINANCE           </t>
  </si>
  <si>
    <t>F041168</t>
  </si>
  <si>
    <t xml:space="preserve">YAYASAN CHONDRO KIRONO SETUNGGAL        </t>
  </si>
  <si>
    <t>YQW7659</t>
  </si>
  <si>
    <t xml:space="preserve">YAYASAN SWADAYA                         </t>
  </si>
  <si>
    <t>YRU4051</t>
  </si>
  <si>
    <t xml:space="preserve">KCP PONDOK KELAPA                       </t>
  </si>
  <si>
    <t xml:space="preserve">SUWONO                                  </t>
  </si>
  <si>
    <t>SXA1682</t>
  </si>
  <si>
    <t>KC Jakarta Veteran</t>
  </si>
  <si>
    <t xml:space="preserve">YATTY SRIYATI SH MM MHUM                </t>
  </si>
  <si>
    <t>Y133516</t>
  </si>
  <si>
    <t xml:space="preserve">SINARMAS DISTRIBUSI NUSANTARA           </t>
  </si>
  <si>
    <t>SDFHR40</t>
  </si>
  <si>
    <t xml:space="preserve">MAKMUR ABADI SELALU                     </t>
  </si>
  <si>
    <t>MQGD741</t>
  </si>
  <si>
    <t xml:space="preserve">MONETA PEMBAYARAN TEKNOLOGI             </t>
  </si>
  <si>
    <t>MSSR364</t>
  </si>
  <si>
    <t xml:space="preserve">NUSA ENERGI SOLUSI                      </t>
  </si>
  <si>
    <t>NHYT601</t>
  </si>
  <si>
    <t xml:space="preserve">MUSTIKA EKA UNGGUL                      </t>
  </si>
  <si>
    <t>MDMQS43</t>
  </si>
  <si>
    <t>MDMYV88</t>
  </si>
  <si>
    <t xml:space="preserve">RKK DITJEN PERBENDAHARAAN               </t>
  </si>
  <si>
    <t>RBZW189</t>
  </si>
  <si>
    <t xml:space="preserve">ERWIN SUDJONO                           </t>
  </si>
  <si>
    <t>E634416</t>
  </si>
  <si>
    <t xml:space="preserve">ELLEN PATRICIA S.SASIANG                </t>
  </si>
  <si>
    <t>EEM5210</t>
  </si>
  <si>
    <t>Perikanan dan Kelautan</t>
  </si>
  <si>
    <t xml:space="preserve">KCP CIJANTUNG                           </t>
  </si>
  <si>
    <t xml:space="preserve">HADRIANSAH                              </t>
  </si>
  <si>
    <t>HEB9825</t>
  </si>
  <si>
    <t>KCP PASAR INDUK KRAMAT JATI</t>
  </si>
  <si>
    <t>KC Jakarta Kramat Jati</t>
  </si>
  <si>
    <t xml:space="preserve">AGUS NOORSANTO                          </t>
  </si>
  <si>
    <t>ACV6370</t>
  </si>
  <si>
    <t xml:space="preserve">AHMAD SOLICHIN L                        </t>
  </si>
  <si>
    <t>AG60014</t>
  </si>
  <si>
    <t xml:space="preserve">BADAN GIZI NASIONAL                     </t>
  </si>
  <si>
    <t>BHT5586</t>
  </si>
  <si>
    <t>KC SUDIRMAN SEMANGGI</t>
  </si>
  <si>
    <t xml:space="preserve">YOSEP BAMBANG SETIAWAN                  </t>
  </si>
  <si>
    <t>Y385431</t>
  </si>
  <si>
    <t xml:space="preserve">SRIADI PRIHANDOYO PRABOWO               </t>
  </si>
  <si>
    <t>SMJG456</t>
  </si>
  <si>
    <t xml:space="preserve">PT PEGADAIAN                            </t>
  </si>
  <si>
    <t>P003770</t>
  </si>
  <si>
    <t>KC Jakarta Kramat</t>
  </si>
  <si>
    <t xml:space="preserve">PEMBAYARAN LINTAS USAHA SUKSES          </t>
  </si>
  <si>
    <t>PT79609</t>
  </si>
  <si>
    <t xml:space="preserve">PENERIMAAN NEGARA TERPUSAT AN SUBDIT PN </t>
  </si>
  <si>
    <t>PQ01869</t>
  </si>
  <si>
    <t xml:space="preserve">RA. NURANIYAH, SH                       </t>
  </si>
  <si>
    <t>N129313</t>
  </si>
  <si>
    <t>No.</t>
  </si>
  <si>
    <t>Unit Kerja</t>
  </si>
  <si>
    <t>PIC RAC</t>
  </si>
  <si>
    <t>%PEP TL Done</t>
  </si>
  <si>
    <t>Average</t>
  </si>
  <si>
    <t>KC Jakarta Artha Gading</t>
  </si>
  <si>
    <t>KC Jakarta Cempaka Mas</t>
  </si>
  <si>
    <t>KC Jakarta Cut Mutiah</t>
  </si>
  <si>
    <t>KC Jakarta Gading Boulevard</t>
  </si>
  <si>
    <t>KC Jakarta Gunung Sahari</t>
  </si>
  <si>
    <t>KC Jakarta Kelapa Gading</t>
  </si>
  <si>
    <t>KC Jakarta Krekot</t>
  </si>
  <si>
    <t>KC Jakarta Mangga Dua</t>
  </si>
  <si>
    <t>KC Jakarta Pluit</t>
  </si>
  <si>
    <t>KC Jakarta Segitiga Senen</t>
  </si>
  <si>
    <t>KC Jakarta Tanah Abang</t>
  </si>
  <si>
    <t>KC Jakarta Sunter</t>
  </si>
  <si>
    <t>KC Jakarta Roxi</t>
  </si>
  <si>
    <t>KC Sudirman Semanggi</t>
  </si>
  <si>
    <t>KC Jakarta Kalimalang</t>
  </si>
  <si>
    <t>KC Jakarta Otista</t>
  </si>
  <si>
    <t>KC Jakarta Rawamangun</t>
  </si>
  <si>
    <t>KC Jakarta Tanjung Priok</t>
  </si>
  <si>
    <t>KC Jakarta Kemayoran</t>
  </si>
  <si>
    <t>KC Jakarta Pantai Indah Kapuk</t>
  </si>
  <si>
    <t>%Bad Data</t>
  </si>
  <si>
    <t>Materi*</t>
  </si>
  <si>
    <t>Tanggal Rencana Pelaksanaan</t>
  </si>
  <si>
    <t>Tanggal Pelaksanaan*</t>
  </si>
  <si>
    <t>Jumlah Peserta*</t>
  </si>
  <si>
    <t>Jabatan Peserta*</t>
  </si>
  <si>
    <t>Dokumen Evidence**</t>
  </si>
  <si>
    <t>KC Balige</t>
  </si>
  <si>
    <t>KC Binjai</t>
  </si>
  <si>
    <t>KC Gunung Sitoli</t>
  </si>
  <si>
    <t>KC Kabanjahe</t>
  </si>
  <si>
    <t>KC Kisaran</t>
  </si>
  <si>
    <t>KC Kota Pinang</t>
  </si>
  <si>
    <t>KC Lubuk Pakam</t>
  </si>
  <si>
    <t>KC Medan Gatot Subroto</t>
  </si>
  <si>
    <t>KC Medan Iskandar Muda</t>
  </si>
  <si>
    <t>KC Medan Putri Hijau</t>
  </si>
  <si>
    <t>KC Medan Sisingamangaraja</t>
  </si>
  <si>
    <t>KC Medan Thamrin</t>
  </si>
  <si>
    <t>KC Padang Sidempuan</t>
  </si>
  <si>
    <t>KC Panyabungan</t>
  </si>
  <si>
    <t>KC Pematang Siantar</t>
  </si>
  <si>
    <t>KC Perdagangan</t>
  </si>
  <si>
    <t>KC Rantau Prapat</t>
  </si>
  <si>
    <t>KC Sibolga</t>
  </si>
  <si>
    <t>KC Sibuhuan</t>
  </si>
  <si>
    <t>KC Sidikalang</t>
  </si>
  <si>
    <t>KC Stabat</t>
  </si>
  <si>
    <t>KC Tanjung Balai</t>
  </si>
  <si>
    <t>KC Tarutung</t>
  </si>
  <si>
    <t>KC Tebing Tinggi</t>
  </si>
  <si>
    <t>Keterangan:</t>
  </si>
  <si>
    <t>*Diisi jika telah dilaksanakan</t>
  </si>
  <si>
    <t>**https://bbri.id/MonevaRAC</t>
  </si>
  <si>
    <t>Evidence terdiri dari:</t>
  </si>
  <si>
    <t>1. Dokumentasi Foto</t>
  </si>
  <si>
    <t>2. Berita Acara</t>
  </si>
  <si>
    <t>3. Absensi</t>
  </si>
  <si>
    <t>4. Materi Sosisalisasi</t>
  </si>
  <si>
    <t>5. List Pertanyaan</t>
  </si>
  <si>
    <t>%Pengkinian Data</t>
  </si>
  <si>
    <t>Rencana Pelaksanaan</t>
  </si>
  <si>
    <t>**https://bri2-my.sharepoint.com/:f:/g/personal/00136153_hq_bri_co_id/IgAVXSWEmAfbQ5mg2nHxWg2ZATDMLT5GguXvHObWaU1FcJY?e=tDVEZG</t>
  </si>
  <si>
    <t>4.Kertas Kerja</t>
  </si>
  <si>
    <t>5. Laporan Uji Petik</t>
  </si>
  <si>
    <t>Nilai maturitas</t>
  </si>
  <si>
    <t>Rating maturitas</t>
  </si>
  <si>
    <t>B</t>
  </si>
  <si>
    <t>KC Sunter</t>
  </si>
  <si>
    <t>Nilai Risiko</t>
  </si>
  <si>
    <t>Nilai Risiko PIC</t>
  </si>
  <si>
    <t>Rating Risiko PIC</t>
  </si>
  <si>
    <t>Medium to High</t>
  </si>
  <si>
    <t>Nilai Maturitas</t>
  </si>
  <si>
    <t>Nilai Maturitas PIC</t>
  </si>
  <si>
    <t>Rating Maturitas PIC</t>
  </si>
  <si>
    <t>Baik</t>
  </si>
  <si>
    <t>No</t>
  </si>
  <si>
    <t>Aspek Penilaian</t>
  </si>
  <si>
    <t>Nilai</t>
  </si>
  <si>
    <t>Bobotan</t>
  </si>
  <si>
    <t>Score</t>
  </si>
  <si>
    <t xml:space="preserve">STR </t>
  </si>
  <si>
    <t>Bad Data</t>
  </si>
  <si>
    <t>Pengkinian Data</t>
  </si>
  <si>
    <t>Uji Petik</t>
  </si>
  <si>
    <t>Sosialisasi</t>
  </si>
  <si>
    <t>EDD</t>
  </si>
  <si>
    <t>Self Learning Keikutsertaan</t>
  </si>
  <si>
    <t>Self Learning Score</t>
  </si>
  <si>
    <t>Maturitas</t>
  </si>
  <si>
    <t>Maturitas Dashboard</t>
  </si>
  <si>
    <t>Penilaian Resiko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</si>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</sst>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0"/>
      <name val="Aptos Narrow"/>
      <family val="2"/>
      <scheme val="minor"/>
    </font>
    <font>
      <sz val="10"/>
      <color rgb="FF000000"/>
      <name val="Tahoma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inter"/>
    </font>
    <font>
      <b/>
      <sz val="11"/>
      <color theme="1"/>
      <name val="inte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61">
    <xf numFmtId="0" fontId="0" fillId="0" borderId="0" xfId="0"/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" fontId="4" fillId="0" borderId="0" xfId="0" applyNumberFormat="1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center"/>
    </xf>
    <xf numFmtId="14" fontId="0" fillId="0" borderId="3" xfId="0" applyNumberFormat="1" applyBorder="1"/>
    <xf numFmtId="0" fontId="0" fillId="0" borderId="3" xfId="0" applyBorder="1"/>
    <xf numFmtId="14" fontId="5" fillId="3" borderId="3" xfId="0" applyNumberFormat="1" applyFont="1" applyFill="1" applyBorder="1"/>
    <xf numFmtId="0" fontId="5" fillId="3" borderId="3" xfId="0" applyFont="1" applyFill="1" applyBorder="1"/>
    <xf numFmtId="0" fontId="0" fillId="4" borderId="3" xfId="0" applyFill="1" applyBorder="1"/>
    <xf numFmtId="14" fontId="0" fillId="4" borderId="3" xfId="0" applyNumberFormat="1" applyFill="1" applyBorder="1"/>
    <xf numFmtId="0" fontId="0" fillId="4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4" xfId="0" applyFont="1" applyBorder="1"/>
    <xf numFmtId="0" fontId="6" fillId="0" borderId="5" xfId="0" applyFont="1" applyBorder="1"/>
    <xf numFmtId="0" fontId="7" fillId="0" borderId="0" xfId="0" applyFont="1"/>
    <xf numFmtId="0" fontId="0" fillId="0" borderId="6" xfId="0" applyBorder="1"/>
    <xf numFmtId="0" fontId="1" fillId="2" borderId="3" xfId="0" applyFont="1" applyFill="1" applyBorder="1" applyAlignment="1">
      <alignment horizontal="center"/>
    </xf>
    <xf numFmtId="1" fontId="3" fillId="0" borderId="3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7" fillId="0" borderId="3" xfId="0" applyFont="1" applyBorder="1"/>
    <xf numFmtId="0" fontId="0" fillId="0" borderId="4" xfId="0" applyBorder="1"/>
    <xf numFmtId="0" fontId="1" fillId="2" borderId="7" xfId="0" applyFont="1" applyFill="1" applyBorder="1" applyAlignment="1">
      <alignment horizontal="center"/>
    </xf>
    <xf numFmtId="9" fontId="0" fillId="0" borderId="0" xfId="0" applyNumberFormat="1"/>
    <xf numFmtId="164" fontId="7" fillId="0" borderId="3" xfId="0" applyNumberFormat="1" applyFont="1" applyBorder="1"/>
    <xf numFmtId="164" fontId="0" fillId="0" borderId="3" xfId="0" applyNumberFormat="1" applyBorder="1"/>
    <xf numFmtId="15" fontId="1" fillId="2" borderId="6" xfId="0" applyNumberFormat="1" applyFont="1" applyFill="1" applyBorder="1"/>
    <xf numFmtId="15" fontId="1" fillId="2" borderId="8" xfId="0" applyNumberFormat="1" applyFont="1" applyFill="1" applyBorder="1"/>
    <xf numFmtId="15" fontId="1" fillId="2" borderId="3" xfId="0" applyNumberFormat="1" applyFont="1" applyFill="1" applyBorder="1"/>
    <xf numFmtId="0" fontId="1" fillId="2" borderId="6" xfId="0" applyFont="1" applyFill="1" applyBorder="1" applyAlignment="1">
      <alignment horizontal="center"/>
    </xf>
    <xf numFmtId="10" fontId="8" fillId="0" borderId="3" xfId="1" applyNumberFormat="1" applyFont="1" applyBorder="1" applyAlignment="1">
      <alignment vertical="center"/>
    </xf>
    <xf numFmtId="10" fontId="8" fillId="0" borderId="3" xfId="0" applyNumberFormat="1" applyFont="1" applyBorder="1" applyAlignment="1">
      <alignment vertical="center"/>
    </xf>
    <xf numFmtId="0" fontId="10" fillId="5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left" vertical="center"/>
    </xf>
    <xf numFmtId="164" fontId="10" fillId="0" borderId="3" xfId="0" applyNumberFormat="1" applyFont="1" applyBorder="1" applyAlignment="1">
      <alignment horizontal="center"/>
    </xf>
    <xf numFmtId="9" fontId="10" fillId="0" borderId="3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left" vertical="center"/>
    </xf>
    <xf numFmtId="164" fontId="10" fillId="0" borderId="7" xfId="0" applyNumberFormat="1" applyFont="1" applyBorder="1" applyAlignment="1">
      <alignment horizontal="center"/>
    </xf>
    <xf numFmtId="9" fontId="10" fillId="0" borderId="7" xfId="0" applyNumberFormat="1" applyFont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10" fontId="11" fillId="6" borderId="3" xfId="0" applyNumberFormat="1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/>
    </xf>
    <xf numFmtId="0" fontId="11" fillId="6" borderId="14" xfId="0" applyFont="1" applyFill="1" applyBorder="1" applyAlignment="1">
      <alignment horizontal="center"/>
    </xf>
    <xf numFmtId="15" fontId="1" fillId="2" borderId="0" xfId="0" applyNumberFormat="1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10" fontId="8" fillId="0" borderId="11" xfId="1" applyNumberFormat="1" applyFont="1" applyBorder="1" applyAlignment="1">
      <alignment horizontal="center" vertical="center"/>
    </xf>
    <xf numFmtId="10" fontId="8" fillId="0" borderId="12" xfId="1" applyNumberFormat="1" applyFont="1" applyBorder="1" applyAlignment="1">
      <alignment horizontal="center" vertical="center"/>
    </xf>
    <xf numFmtId="10" fontId="8" fillId="0" borderId="13" xfId="1" applyNumberFormat="1" applyFont="1" applyBorder="1" applyAlignment="1">
      <alignment horizontal="center" vertical="center"/>
    </xf>
    <xf numFmtId="15" fontId="1" fillId="2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C%20Team/Moneva/Region%206%20-%20Jakarta%201/Data%20Evaluasi%20Jakarta%201.xlsx" TargetMode="External"/><Relationship Id="rId2" Type="http://schemas.openxmlformats.org/officeDocument/2006/relationships/externalLinkPath" Target="https://bri2-my.sharepoint.com/personal/00136153_hq_bri_co_id/Documents/Assurance%20Team/RAC%20Team/Moneva/Region%206%20-%20Jakarta%201/Data%20Evaluasi%20Jakarta%201.xlsx" TargetMode="External"/><Relationship Id="rId1" Type="http://schemas.openxmlformats.org/officeDocument/2006/relationships/externalLinkPath" Target="/personal/00136153_hq_bri_co_id/Documents/Assurance%20Team/RAC%20Team/Moneva/Region%206%20-%20Jakarta%201/Data%20Evaluasi%20Jakarta%20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i2-my.sharepoint.com/personal/00136153_hq_bri_co_id/Documents/Assurance%20Team/00%20-%20Data%20RAC/Update/Moneva%20Update/Moneva%20Update%2024%20September/PIC.xlsx" TargetMode="External"/><Relationship Id="rId1" Type="http://schemas.openxmlformats.org/officeDocument/2006/relationships/externalLinkPath" Target="P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R4DGQXMC4PVNDLUEPVGLNPVUHY">
      <xxl21:absoluteUrl r:id="rId2"/>
      <xxl21:relativeUrl r:id="rId3"/>
    </xxl21:alternateUrls>
    <sheetNames>
      <sheetName val="STR"/>
      <sheetName val="EDD PEP PPATK"/>
      <sheetName val="Kualitas Data"/>
      <sheetName val="Sosialisasi"/>
      <sheetName val="Uji Petik"/>
    </sheetNames>
    <sheetDataSet>
      <sheetData sheetId="0">
        <row r="2">
          <cell r="X2" t="b">
            <v>0</v>
          </cell>
        </row>
        <row r="3">
          <cell r="X3" t="b">
            <v>0</v>
          </cell>
        </row>
        <row r="4">
          <cell r="X4" t="b">
            <v>0</v>
          </cell>
        </row>
        <row r="5">
          <cell r="X5" t="b">
            <v>0</v>
          </cell>
        </row>
        <row r="6">
          <cell r="X6" t="b">
            <v>0</v>
          </cell>
        </row>
        <row r="7">
          <cell r="X7" t="b">
            <v>1</v>
          </cell>
        </row>
        <row r="8">
          <cell r="X8" t="b">
            <v>0</v>
          </cell>
        </row>
        <row r="9">
          <cell r="X9" t="b">
            <v>0</v>
          </cell>
        </row>
        <row r="10">
          <cell r="X10" t="b">
            <v>0</v>
          </cell>
        </row>
        <row r="11">
          <cell r="X11" t="b">
            <v>0</v>
          </cell>
        </row>
        <row r="12">
          <cell r="X12" t="b">
            <v>0</v>
          </cell>
        </row>
        <row r="13">
          <cell r="X13" t="b">
            <v>0</v>
          </cell>
        </row>
        <row r="14">
          <cell r="X14" t="b">
            <v>0</v>
          </cell>
        </row>
        <row r="15">
          <cell r="X15" t="b">
            <v>1</v>
          </cell>
        </row>
        <row r="16">
          <cell r="X16" t="b">
            <v>0</v>
          </cell>
        </row>
        <row r="17">
          <cell r="X17" t="b">
            <v>0</v>
          </cell>
        </row>
        <row r="18">
          <cell r="X18" t="b">
            <v>0</v>
          </cell>
        </row>
        <row r="19">
          <cell r="X19" t="b">
            <v>0</v>
          </cell>
        </row>
        <row r="20">
          <cell r="X20" t="b">
            <v>0</v>
          </cell>
        </row>
        <row r="21">
          <cell r="X21" t="b">
            <v>0</v>
          </cell>
        </row>
        <row r="22">
          <cell r="X22" t="b">
            <v>0</v>
          </cell>
        </row>
        <row r="23">
          <cell r="X23" t="b">
            <v>1</v>
          </cell>
        </row>
        <row r="24">
          <cell r="X24" t="b">
            <v>0</v>
          </cell>
        </row>
        <row r="25">
          <cell r="X25" t="b">
            <v>1</v>
          </cell>
        </row>
        <row r="26">
          <cell r="X26" t="b">
            <v>0</v>
          </cell>
        </row>
        <row r="27">
          <cell r="X27" t="b">
            <v>0</v>
          </cell>
        </row>
        <row r="28">
          <cell r="X28" t="b">
            <v>0</v>
          </cell>
        </row>
        <row r="29">
          <cell r="X29" t="b">
            <v>0</v>
          </cell>
        </row>
        <row r="30">
          <cell r="X30" t="b">
            <v>0</v>
          </cell>
        </row>
        <row r="31">
          <cell r="X31" t="b">
            <v>0</v>
          </cell>
        </row>
        <row r="32">
          <cell r="X32" t="b">
            <v>0</v>
          </cell>
        </row>
        <row r="33">
          <cell r="X33" t="b">
            <v>1</v>
          </cell>
        </row>
        <row r="34">
          <cell r="X34" t="b">
            <v>1</v>
          </cell>
        </row>
        <row r="35">
          <cell r="X35" t="b">
            <v>0</v>
          </cell>
        </row>
        <row r="36">
          <cell r="X36" t="b">
            <v>0</v>
          </cell>
        </row>
        <row r="37">
          <cell r="X37" t="b">
            <v>0</v>
          </cell>
        </row>
        <row r="38">
          <cell r="X38" t="b">
            <v>0</v>
          </cell>
        </row>
        <row r="39">
          <cell r="X39" t="b">
            <v>0</v>
          </cell>
        </row>
        <row r="40">
          <cell r="X40" t="b">
            <v>0</v>
          </cell>
        </row>
        <row r="41">
          <cell r="X41" t="b">
            <v>0</v>
          </cell>
        </row>
        <row r="42">
          <cell r="X42" t="b">
            <v>0</v>
          </cell>
        </row>
        <row r="43">
          <cell r="X43" t="b">
            <v>0</v>
          </cell>
        </row>
        <row r="44">
          <cell r="X44" t="b">
            <v>0</v>
          </cell>
        </row>
        <row r="45">
          <cell r="X45" t="b">
            <v>0</v>
          </cell>
        </row>
        <row r="46">
          <cell r="X46" t="b">
            <v>0</v>
          </cell>
        </row>
        <row r="47">
          <cell r="X47" t="b">
            <v>0</v>
          </cell>
        </row>
        <row r="48">
          <cell r="X48" t="b">
            <v>0</v>
          </cell>
        </row>
        <row r="49">
          <cell r="X49" t="b">
            <v>1</v>
          </cell>
        </row>
        <row r="50">
          <cell r="X50" t="b">
            <v>0</v>
          </cell>
        </row>
        <row r="51">
          <cell r="X51" t="b">
            <v>0</v>
          </cell>
        </row>
        <row r="52">
          <cell r="X52" t="b">
            <v>0</v>
          </cell>
        </row>
        <row r="53">
          <cell r="X53" t="b">
            <v>0</v>
          </cell>
        </row>
        <row r="54">
          <cell r="X54" t="b">
            <v>0</v>
          </cell>
        </row>
        <row r="55">
          <cell r="X55" t="b">
            <v>0</v>
          </cell>
        </row>
        <row r="56">
          <cell r="X56" t="b">
            <v>0</v>
          </cell>
        </row>
        <row r="57">
          <cell r="X57" t="b">
            <v>0</v>
          </cell>
        </row>
        <row r="58">
          <cell r="X58" t="b">
            <v>0</v>
          </cell>
        </row>
        <row r="59">
          <cell r="X59" t="b">
            <v>0</v>
          </cell>
        </row>
        <row r="60">
          <cell r="X60" t="b">
            <v>0</v>
          </cell>
        </row>
        <row r="61">
          <cell r="X61" t="b">
            <v>0</v>
          </cell>
        </row>
        <row r="62">
          <cell r="X62" t="b">
            <v>1</v>
          </cell>
        </row>
        <row r="63">
          <cell r="X63" t="b">
            <v>0</v>
          </cell>
        </row>
        <row r="64">
          <cell r="X64" t="b">
            <v>0</v>
          </cell>
        </row>
        <row r="65">
          <cell r="X65" t="b">
            <v>0</v>
          </cell>
        </row>
        <row r="66">
          <cell r="X66" t="b">
            <v>0</v>
          </cell>
        </row>
        <row r="67">
          <cell r="X67" t="b">
            <v>0</v>
          </cell>
        </row>
        <row r="68">
          <cell r="X68" t="b">
            <v>0</v>
          </cell>
        </row>
        <row r="69">
          <cell r="X69" t="b">
            <v>0</v>
          </cell>
        </row>
        <row r="70">
          <cell r="X70" t="b">
            <v>1</v>
          </cell>
        </row>
        <row r="71">
          <cell r="X71" t="b">
            <v>1</v>
          </cell>
        </row>
        <row r="72">
          <cell r="X72" t="b">
            <v>0</v>
          </cell>
        </row>
        <row r="73">
          <cell r="X73" t="b">
            <v>0</v>
          </cell>
        </row>
        <row r="74">
          <cell r="X74" t="b">
            <v>0</v>
          </cell>
        </row>
        <row r="75">
          <cell r="X75" t="b">
            <v>0</v>
          </cell>
        </row>
        <row r="76">
          <cell r="X76" t="b">
            <v>0</v>
          </cell>
        </row>
        <row r="77">
          <cell r="X77" t="b">
            <v>0</v>
          </cell>
        </row>
        <row r="78">
          <cell r="X78" t="b">
            <v>0</v>
          </cell>
        </row>
        <row r="79">
          <cell r="X79" t="b">
            <v>0</v>
          </cell>
        </row>
        <row r="80">
          <cell r="X80" t="b">
            <v>0</v>
          </cell>
        </row>
        <row r="81">
          <cell r="X81" t="b">
            <v>1</v>
          </cell>
        </row>
        <row r="82">
          <cell r="X82" t="b">
            <v>0</v>
          </cell>
        </row>
        <row r="83">
          <cell r="X83" t="b">
            <v>0</v>
          </cell>
        </row>
        <row r="84">
          <cell r="X84" t="b">
            <v>0</v>
          </cell>
        </row>
      </sheetData>
      <sheetData sheetId="1"/>
      <sheetData sheetId="2"/>
      <sheetData sheetId="3"/>
      <sheetData sheetId="4">
        <row r="3">
          <cell r="C3" t="str">
            <v>Indra Jantana</v>
          </cell>
          <cell r="E3"/>
        </row>
        <row r="4">
          <cell r="C4" t="str">
            <v>Indra Jantana</v>
          </cell>
          <cell r="E4"/>
        </row>
        <row r="5">
          <cell r="C5" t="str">
            <v>Indra Jantana</v>
          </cell>
          <cell r="E5"/>
        </row>
        <row r="6">
          <cell r="C6" t="str">
            <v>Indra Jantana</v>
          </cell>
          <cell r="E6"/>
        </row>
        <row r="7">
          <cell r="C7" t="str">
            <v>Indra Jantana</v>
          </cell>
          <cell r="E7"/>
        </row>
        <row r="8">
          <cell r="C8" t="str">
            <v>Indra Jantana</v>
          </cell>
          <cell r="E8"/>
        </row>
        <row r="9">
          <cell r="C9" t="str">
            <v>Indra Jantana</v>
          </cell>
          <cell r="E9"/>
        </row>
        <row r="10">
          <cell r="C10" t="str">
            <v>Indra Jantana</v>
          </cell>
          <cell r="E10"/>
        </row>
        <row r="11">
          <cell r="C11" t="str">
            <v>Indra Jantana</v>
          </cell>
          <cell r="E11"/>
        </row>
        <row r="12">
          <cell r="C12" t="str">
            <v>Indra Jantana</v>
          </cell>
          <cell r="E12"/>
        </row>
        <row r="13">
          <cell r="C13" t="str">
            <v>Indra Jantana</v>
          </cell>
          <cell r="E13"/>
        </row>
        <row r="14">
          <cell r="C14" t="str">
            <v>Indra Jantana</v>
          </cell>
          <cell r="E14"/>
        </row>
        <row r="15">
          <cell r="C15" t="str">
            <v>Indra Jantana</v>
          </cell>
          <cell r="E15"/>
        </row>
        <row r="16">
          <cell r="C16" t="str">
            <v>Indra Jantana</v>
          </cell>
          <cell r="E16"/>
        </row>
        <row r="17">
          <cell r="C17" t="str">
            <v>Indra Jantana</v>
          </cell>
          <cell r="E17"/>
        </row>
        <row r="18">
          <cell r="C18" t="str">
            <v>Indra Jantana</v>
          </cell>
          <cell r="E18"/>
        </row>
        <row r="19">
          <cell r="C19" t="str">
            <v>Indra Jantana</v>
          </cell>
          <cell r="E19"/>
        </row>
        <row r="20">
          <cell r="C20" t="str">
            <v>Indra Jantana</v>
          </cell>
          <cell r="E20"/>
        </row>
        <row r="21">
          <cell r="C21" t="str">
            <v>Indra Jantana</v>
          </cell>
          <cell r="E21"/>
        </row>
        <row r="22">
          <cell r="C22" t="str">
            <v>Indra Jantana</v>
          </cell>
          <cell r="E22"/>
        </row>
        <row r="23">
          <cell r="C23" t="str">
            <v>Indra Jantana</v>
          </cell>
          <cell r="E23"/>
        </row>
        <row r="24">
          <cell r="C24" t="str">
            <v>Indra Jantana</v>
          </cell>
          <cell r="E24"/>
        </row>
        <row r="25">
          <cell r="C25" t="str">
            <v>Indra Jantana</v>
          </cell>
          <cell r="E25"/>
        </row>
        <row r="26">
          <cell r="C26" t="str">
            <v>Indra Jantana</v>
          </cell>
          <cell r="E26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S3VAU7IC6IHFBY4OURAYB6ELAC">
      <xxl21:absoluteUrl r:id="rId2"/>
    </xxl21:alternateUrls>
    <sheetNames>
      <sheetName val="Sosialisasi"/>
      <sheetName val="Nilai Self Learning"/>
      <sheetName val="Sheet4"/>
      <sheetName val="Kepesertaan Self Learning"/>
      <sheetName val="Pengkinian Data"/>
      <sheetName val="Bad Data"/>
      <sheetName val="PEP"/>
      <sheetName val="Sheet3"/>
      <sheetName val="Sheet2 (3)"/>
      <sheetName val="Sheet2 (2)"/>
      <sheetName val="Sheet1"/>
      <sheetName val="Sheet2"/>
    </sheetNames>
    <sheetDataSet>
      <sheetData sheetId="0">
        <row r="2">
          <cell r="C2" t="str">
            <v>Andi Faisal Putra</v>
          </cell>
          <cell r="D2">
            <v>0</v>
          </cell>
        </row>
        <row r="3">
          <cell r="C3" t="str">
            <v>Andi Faisal Putra</v>
          </cell>
          <cell r="D3">
            <v>0</v>
          </cell>
        </row>
        <row r="4">
          <cell r="C4" t="str">
            <v>Andi Faisal Putra</v>
          </cell>
          <cell r="D4">
            <v>0</v>
          </cell>
        </row>
        <row r="5">
          <cell r="C5" t="str">
            <v>Andi Faisal Putra</v>
          </cell>
          <cell r="D5">
            <v>0</v>
          </cell>
        </row>
        <row r="6">
          <cell r="C6" t="str">
            <v>Andi Faisal Putra</v>
          </cell>
          <cell r="D6">
            <v>1</v>
          </cell>
        </row>
        <row r="7">
          <cell r="C7" t="str">
            <v>Andi Faisal Putra</v>
          </cell>
          <cell r="D7">
            <v>0</v>
          </cell>
        </row>
        <row r="8">
          <cell r="C8" t="str">
            <v>Andi Faisal Putra</v>
          </cell>
          <cell r="D8">
            <v>0</v>
          </cell>
        </row>
        <row r="9">
          <cell r="C9" t="str">
            <v>Andi Faisal Putra</v>
          </cell>
          <cell r="D9">
            <v>0</v>
          </cell>
        </row>
        <row r="10">
          <cell r="C10" t="str">
            <v>Andi Faisal Putra</v>
          </cell>
          <cell r="D10">
            <v>0</v>
          </cell>
        </row>
        <row r="11">
          <cell r="C11" t="str">
            <v>Andi Faisal Putra</v>
          </cell>
          <cell r="D11">
            <v>0</v>
          </cell>
        </row>
        <row r="12">
          <cell r="C12" t="str">
            <v>Andi Perkasa</v>
          </cell>
          <cell r="D12">
            <v>0</v>
          </cell>
        </row>
        <row r="13">
          <cell r="C13" t="str">
            <v>Andi Perkasa</v>
          </cell>
          <cell r="D13">
            <v>1</v>
          </cell>
        </row>
        <row r="14">
          <cell r="C14" t="str">
            <v>Andi Perkasa</v>
          </cell>
          <cell r="D14">
            <v>1</v>
          </cell>
        </row>
        <row r="15">
          <cell r="C15" t="str">
            <v>Andi Perkasa</v>
          </cell>
          <cell r="D15">
            <v>0</v>
          </cell>
        </row>
        <row r="16">
          <cell r="C16" t="str">
            <v>Andi Perkasa</v>
          </cell>
          <cell r="D16">
            <v>0</v>
          </cell>
        </row>
        <row r="17">
          <cell r="C17" t="str">
            <v>Andi Perkasa</v>
          </cell>
          <cell r="D17">
            <v>0</v>
          </cell>
        </row>
        <row r="18">
          <cell r="C18" t="str">
            <v>Andi Perkasa</v>
          </cell>
          <cell r="D18">
            <v>0</v>
          </cell>
        </row>
        <row r="19">
          <cell r="C19" t="str">
            <v>Andi Perkasa</v>
          </cell>
          <cell r="D19">
            <v>0</v>
          </cell>
        </row>
        <row r="20">
          <cell r="C20" t="str">
            <v>Andi Perkasa</v>
          </cell>
          <cell r="D20">
            <v>0</v>
          </cell>
        </row>
        <row r="21">
          <cell r="C21" t="str">
            <v>Janse Paburru</v>
          </cell>
          <cell r="D21">
            <v>0</v>
          </cell>
        </row>
        <row r="22">
          <cell r="C22" t="str">
            <v>Janse Paburru</v>
          </cell>
          <cell r="D22">
            <v>1</v>
          </cell>
        </row>
        <row r="23">
          <cell r="C23" t="str">
            <v>Janse Paburru</v>
          </cell>
          <cell r="D23">
            <v>0</v>
          </cell>
        </row>
        <row r="24">
          <cell r="C24" t="str">
            <v>Janse Paburru</v>
          </cell>
          <cell r="D24">
            <v>0</v>
          </cell>
        </row>
        <row r="25">
          <cell r="C25" t="str">
            <v>Janse Paburru</v>
          </cell>
          <cell r="D25">
            <v>0</v>
          </cell>
        </row>
        <row r="26">
          <cell r="C26" t="str">
            <v>Janse Paburru</v>
          </cell>
          <cell r="D26">
            <v>1</v>
          </cell>
        </row>
        <row r="27">
          <cell r="C27" t="str">
            <v>Janse Paburru</v>
          </cell>
          <cell r="D27">
            <v>1</v>
          </cell>
        </row>
        <row r="28">
          <cell r="C28" t="str">
            <v>Janse Paburru</v>
          </cell>
          <cell r="D28">
            <v>0</v>
          </cell>
        </row>
        <row r="29">
          <cell r="C29" t="str">
            <v>M Sardi Rampo</v>
          </cell>
          <cell r="D29">
            <v>0</v>
          </cell>
        </row>
        <row r="30">
          <cell r="C30" t="str">
            <v>M Sardi Rampo</v>
          </cell>
          <cell r="D30">
            <v>0</v>
          </cell>
        </row>
        <row r="31">
          <cell r="C31" t="str">
            <v>M Sardi Rampo</v>
          </cell>
          <cell r="D31">
            <v>0</v>
          </cell>
        </row>
        <row r="32">
          <cell r="C32" t="str">
            <v>M Sardi Rampo</v>
          </cell>
          <cell r="D32">
            <v>0</v>
          </cell>
        </row>
        <row r="33">
          <cell r="C33" t="str">
            <v>M Sardi Rampo</v>
          </cell>
          <cell r="D33">
            <v>0</v>
          </cell>
        </row>
        <row r="34">
          <cell r="C34" t="str">
            <v>M Sardi Rampo</v>
          </cell>
          <cell r="D34">
            <v>0</v>
          </cell>
        </row>
        <row r="35">
          <cell r="C35" t="str">
            <v>M Sardi Rampo</v>
          </cell>
          <cell r="D35">
            <v>0</v>
          </cell>
        </row>
        <row r="36">
          <cell r="C36" t="str">
            <v>M Sardi Rampo</v>
          </cell>
          <cell r="D36">
            <v>0</v>
          </cell>
        </row>
        <row r="37">
          <cell r="C37" t="str">
            <v>M Sardi Rampo</v>
          </cell>
          <cell r="D37">
            <v>0</v>
          </cell>
        </row>
        <row r="38">
          <cell r="C38" t="str">
            <v>M Sardi Rampo</v>
          </cell>
          <cell r="D38">
            <v>0</v>
          </cell>
        </row>
        <row r="39">
          <cell r="C39"/>
          <cell r="D39">
            <v>0</v>
          </cell>
        </row>
        <row r="40">
          <cell r="C40" t="str">
            <v>Ariyanto B</v>
          </cell>
          <cell r="D40">
            <v>0</v>
          </cell>
        </row>
        <row r="41">
          <cell r="C41" t="str">
            <v>Ariyanto B</v>
          </cell>
          <cell r="D41">
            <v>0</v>
          </cell>
        </row>
        <row r="42">
          <cell r="C42" t="str">
            <v>Ariyanto B</v>
          </cell>
          <cell r="D42">
            <v>1</v>
          </cell>
        </row>
        <row r="43">
          <cell r="C43" t="str">
            <v>Ariyanto B</v>
          </cell>
          <cell r="D43">
            <v>0</v>
          </cell>
        </row>
        <row r="44">
          <cell r="C44" t="str">
            <v>Ariyanto B</v>
          </cell>
          <cell r="D44">
            <v>0</v>
          </cell>
        </row>
        <row r="45">
          <cell r="C45" t="str">
            <v>Ariyanto B</v>
          </cell>
          <cell r="D45">
            <v>1</v>
          </cell>
        </row>
        <row r="46">
          <cell r="C46" t="str">
            <v>Ariyanto B</v>
          </cell>
          <cell r="D46">
            <v>0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0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0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</v>
          </cell>
        </row>
        <row r="53">
          <cell r="C53" t="str">
            <v>Ryan Fabella Lisa</v>
          </cell>
          <cell r="D53">
            <v>0</v>
          </cell>
        </row>
        <row r="54">
          <cell r="C54"/>
          <cell r="D54">
            <v>0</v>
          </cell>
        </row>
        <row r="55">
          <cell r="C55" t="str">
            <v>Rinaldi Wicaksana</v>
          </cell>
          <cell r="D55">
            <v>1</v>
          </cell>
        </row>
        <row r="56">
          <cell r="C56" t="str">
            <v>Rinaldi Wicaksana</v>
          </cell>
          <cell r="D56">
            <v>0</v>
          </cell>
        </row>
        <row r="57">
          <cell r="C57" t="str">
            <v>Rinaldi Wicaksana</v>
          </cell>
          <cell r="D57">
            <v>0</v>
          </cell>
        </row>
        <row r="58">
          <cell r="C58" t="str">
            <v>Rinaldi Wicaksana</v>
          </cell>
          <cell r="D58">
            <v>0</v>
          </cell>
        </row>
        <row r="59">
          <cell r="C59" t="str">
            <v>Rinaldi Wicaksana</v>
          </cell>
          <cell r="D59">
            <v>1</v>
          </cell>
        </row>
        <row r="60">
          <cell r="C60" t="str">
            <v>Rinaldi Wicaksana</v>
          </cell>
          <cell r="D60">
            <v>0</v>
          </cell>
        </row>
        <row r="61">
          <cell r="C61" t="str">
            <v>Rinaldi Wicaksana</v>
          </cell>
          <cell r="D61">
            <v>0</v>
          </cell>
        </row>
        <row r="62">
          <cell r="C62" t="str">
            <v>Rinaldi Wicaksana</v>
          </cell>
          <cell r="D62">
            <v>0</v>
          </cell>
        </row>
        <row r="63">
          <cell r="C63" t="str">
            <v>Rinaldi Wicaksana</v>
          </cell>
          <cell r="D63">
            <v>0</v>
          </cell>
        </row>
        <row r="64">
          <cell r="C64" t="str">
            <v>Rinaldi Wicaksana</v>
          </cell>
          <cell r="D64">
            <v>0</v>
          </cell>
        </row>
        <row r="65">
          <cell r="C65" t="str">
            <v>Rinaldi Wicaksana</v>
          </cell>
          <cell r="D65">
            <v>0</v>
          </cell>
        </row>
        <row r="66">
          <cell r="C66" t="str">
            <v>Rinaldi Wicaksana</v>
          </cell>
          <cell r="D66">
            <v>0</v>
          </cell>
        </row>
        <row r="67">
          <cell r="C67" t="str">
            <v>Rinaldi Wicaksana</v>
          </cell>
          <cell r="D67">
            <v>0</v>
          </cell>
        </row>
        <row r="68">
          <cell r="C68"/>
          <cell r="D68">
            <v>0</v>
          </cell>
        </row>
        <row r="69">
          <cell r="C69" t="str">
            <v>Imelda Mayestika P.</v>
          </cell>
          <cell r="D69">
            <v>0</v>
          </cell>
        </row>
        <row r="70">
          <cell r="C70" t="str">
            <v>Imelda Mayestika P.</v>
          </cell>
          <cell r="D70">
            <v>0</v>
          </cell>
        </row>
        <row r="71">
          <cell r="C71" t="str">
            <v>Imelda Mayestika P.</v>
          </cell>
          <cell r="D71">
            <v>0</v>
          </cell>
        </row>
        <row r="72">
          <cell r="C72" t="str">
            <v>Imelda Mayestika P.</v>
          </cell>
          <cell r="D72">
            <v>0</v>
          </cell>
        </row>
        <row r="73">
          <cell r="C73" t="str">
            <v>Imelda Mayestika P.</v>
          </cell>
          <cell r="D73">
            <v>0</v>
          </cell>
        </row>
        <row r="74">
          <cell r="C74" t="str">
            <v>Imelda Mayestika P.</v>
          </cell>
          <cell r="D74">
            <v>0</v>
          </cell>
        </row>
        <row r="75">
          <cell r="C75" t="str">
            <v>Imelda Mayestika P.</v>
          </cell>
          <cell r="D75">
            <v>0</v>
          </cell>
        </row>
        <row r="76">
          <cell r="C76" t="str">
            <v>Imelda Mayestika P.</v>
          </cell>
          <cell r="D76">
            <v>0</v>
          </cell>
        </row>
        <row r="77">
          <cell r="C77" t="str">
            <v>Imelda Mayestika P.</v>
          </cell>
          <cell r="D77">
            <v>0</v>
          </cell>
        </row>
        <row r="78">
          <cell r="C78" t="str">
            <v>Imelda Mayestika P.</v>
          </cell>
          <cell r="D78">
            <v>0</v>
          </cell>
        </row>
        <row r="79">
          <cell r="C79" t="str">
            <v>Imelda Mayestika P.</v>
          </cell>
          <cell r="D79">
            <v>0</v>
          </cell>
        </row>
        <row r="80">
          <cell r="C80" t="str">
            <v>Imelda Mayestika P.</v>
          </cell>
          <cell r="D80">
            <v>0</v>
          </cell>
        </row>
        <row r="81">
          <cell r="C81" t="str">
            <v>Imelda Mayestika P.</v>
          </cell>
          <cell r="D81">
            <v>0</v>
          </cell>
        </row>
        <row r="82">
          <cell r="C82" t="str">
            <v>Imelda Mayestika P.</v>
          </cell>
          <cell r="D82">
            <v>0</v>
          </cell>
        </row>
        <row r="83">
          <cell r="C83" t="str">
            <v>Imelda Mayestika P.</v>
          </cell>
          <cell r="D83">
            <v>0</v>
          </cell>
        </row>
        <row r="84">
          <cell r="C84" t="str">
            <v>Imelda Mayestika P.</v>
          </cell>
          <cell r="D84">
            <v>0</v>
          </cell>
        </row>
        <row r="85">
          <cell r="C85" t="str">
            <v>Imelda Mayestika P.</v>
          </cell>
          <cell r="D85">
            <v>0</v>
          </cell>
        </row>
        <row r="86">
          <cell r="C86" t="str">
            <v>Imelda Mayestika P.</v>
          </cell>
          <cell r="D86">
            <v>0</v>
          </cell>
        </row>
        <row r="87">
          <cell r="C87" t="str">
            <v>Imelda Mayestika P.</v>
          </cell>
          <cell r="D87">
            <v>0</v>
          </cell>
        </row>
        <row r="88">
          <cell r="C88" t="str">
            <v>Imelda Mayestika P.</v>
          </cell>
          <cell r="D88">
            <v>0</v>
          </cell>
        </row>
        <row r="89">
          <cell r="C89" t="str">
            <v>Imelda Mayestika P.</v>
          </cell>
          <cell r="D89">
            <v>0</v>
          </cell>
        </row>
        <row r="90">
          <cell r="C90" t="str">
            <v>Imelda Mayestika P.</v>
          </cell>
          <cell r="D90">
            <v>0</v>
          </cell>
        </row>
        <row r="91">
          <cell r="C91" t="str">
            <v>Imelda Mayestika P.</v>
          </cell>
          <cell r="D91">
            <v>0</v>
          </cell>
        </row>
        <row r="92">
          <cell r="C92" t="str">
            <v>Imelda Mayestika P.</v>
          </cell>
          <cell r="D92">
            <v>0</v>
          </cell>
        </row>
        <row r="93">
          <cell r="C93" t="str">
            <v>Imelda Mayestika P.</v>
          </cell>
          <cell r="D93">
            <v>0</v>
          </cell>
        </row>
        <row r="94">
          <cell r="C94" t="str">
            <v>Imelda Mayestika P.</v>
          </cell>
          <cell r="D94">
            <v>0</v>
          </cell>
        </row>
        <row r="95">
          <cell r="C95" t="str">
            <v>Imelda Mayestika P.</v>
          </cell>
          <cell r="D95">
            <v>0</v>
          </cell>
        </row>
        <row r="96">
          <cell r="C96" t="str">
            <v>Imelda Mayestika P.</v>
          </cell>
          <cell r="D96">
            <v>0</v>
          </cell>
        </row>
        <row r="97">
          <cell r="C97" t="str">
            <v>Imelda Mayestika P.</v>
          </cell>
          <cell r="D97">
            <v>0</v>
          </cell>
        </row>
        <row r="98">
          <cell r="C98" t="str">
            <v>Imelda Mayestika P.</v>
          </cell>
          <cell r="D98">
            <v>0</v>
          </cell>
        </row>
        <row r="99">
          <cell r="C99" t="str">
            <v>Imelda Mayestika P.</v>
          </cell>
          <cell r="D99">
            <v>0</v>
          </cell>
        </row>
        <row r="100">
          <cell r="C100" t="str">
            <v>Imelda Mayestika P.</v>
          </cell>
          <cell r="D100">
            <v>0</v>
          </cell>
        </row>
        <row r="101">
          <cell r="C101"/>
          <cell r="D101">
            <v>0</v>
          </cell>
        </row>
        <row r="102">
          <cell r="C102" t="str">
            <v>Dewa Nyoman Wedana</v>
          </cell>
          <cell r="D102">
            <v>0</v>
          </cell>
        </row>
        <row r="103">
          <cell r="C103" t="str">
            <v>Dewa Nyoman Wedana</v>
          </cell>
          <cell r="D103">
            <v>0</v>
          </cell>
        </row>
        <row r="104">
          <cell r="C104" t="str">
            <v>Dewa Nyoman Wedana</v>
          </cell>
          <cell r="D104">
            <v>0</v>
          </cell>
        </row>
        <row r="105">
          <cell r="C105" t="str">
            <v>Dewa Nyoman Wedana</v>
          </cell>
          <cell r="D105">
            <v>0</v>
          </cell>
        </row>
        <row r="106">
          <cell r="C106" t="str">
            <v>Dewa Nyoman Wedana</v>
          </cell>
          <cell r="D106">
            <v>1</v>
          </cell>
        </row>
        <row r="107">
          <cell r="C107" t="str">
            <v>Dewa Nyoman Wedana</v>
          </cell>
          <cell r="D107">
            <v>0</v>
          </cell>
        </row>
        <row r="108">
          <cell r="C108" t="str">
            <v>Dewa Nyoman Wedana</v>
          </cell>
          <cell r="D108">
            <v>1</v>
          </cell>
        </row>
        <row r="109">
          <cell r="C109" t="str">
            <v>Dewa Nyoman Wedana</v>
          </cell>
          <cell r="D109">
            <v>0</v>
          </cell>
        </row>
        <row r="110">
          <cell r="C110" t="str">
            <v>Dewa Nyoman Wedana</v>
          </cell>
          <cell r="D110">
            <v>0</v>
          </cell>
        </row>
        <row r="111">
          <cell r="C111" t="str">
            <v>Dewa Nyoman Wedana</v>
          </cell>
          <cell r="D111">
            <v>0</v>
          </cell>
        </row>
        <row r="112">
          <cell r="C112" t="str">
            <v>Dewa Nyoman Wedana</v>
          </cell>
          <cell r="D112">
            <v>1</v>
          </cell>
        </row>
        <row r="113">
          <cell r="C113" t="str">
            <v>I Made Budiartha</v>
          </cell>
          <cell r="D113">
            <v>0</v>
          </cell>
        </row>
        <row r="114">
          <cell r="C114" t="str">
            <v>I Made Budiartha</v>
          </cell>
          <cell r="D114">
            <v>0</v>
          </cell>
        </row>
        <row r="115">
          <cell r="C115" t="str">
            <v>I Made Budiartha</v>
          </cell>
          <cell r="D115">
            <v>0</v>
          </cell>
        </row>
        <row r="116">
          <cell r="C116" t="str">
            <v>I Made Budiartha</v>
          </cell>
          <cell r="D116">
            <v>0</v>
          </cell>
        </row>
        <row r="117">
          <cell r="C117" t="str">
            <v>I Made Budiartha</v>
          </cell>
          <cell r="D117">
            <v>0</v>
          </cell>
        </row>
        <row r="118">
          <cell r="C118" t="str">
            <v>I Made Budiartha</v>
          </cell>
          <cell r="D118">
            <v>1</v>
          </cell>
        </row>
        <row r="119">
          <cell r="C119" t="str">
            <v>I Made Budiartha</v>
          </cell>
          <cell r="D119">
            <v>0</v>
          </cell>
        </row>
        <row r="120">
          <cell r="C120" t="str">
            <v>I Made Budiartha</v>
          </cell>
          <cell r="D120">
            <v>0</v>
          </cell>
        </row>
        <row r="121">
          <cell r="C121" t="str">
            <v>I Made Budiartha</v>
          </cell>
          <cell r="D121">
            <v>1</v>
          </cell>
        </row>
        <row r="122">
          <cell r="C122" t="str">
            <v>I Made Budiartha</v>
          </cell>
          <cell r="D122">
            <v>0</v>
          </cell>
        </row>
        <row r="123">
          <cell r="C123" t="str">
            <v>I Made Budiartha</v>
          </cell>
          <cell r="D123">
            <v>0</v>
          </cell>
        </row>
        <row r="124">
          <cell r="C124" t="str">
            <v>I Made Budiartha</v>
          </cell>
          <cell r="D124">
            <v>0</v>
          </cell>
        </row>
        <row r="125">
          <cell r="C125" t="str">
            <v>I Made Budiartha</v>
          </cell>
          <cell r="D125">
            <v>1</v>
          </cell>
        </row>
        <row r="126">
          <cell r="C126" t="str">
            <v>Ida Bagus Pidada Manuaba</v>
          </cell>
          <cell r="D126">
            <v>0</v>
          </cell>
        </row>
        <row r="127">
          <cell r="C127" t="str">
            <v>Ida Bagus Pidada Manuaba</v>
          </cell>
          <cell r="D127">
            <v>1</v>
          </cell>
        </row>
        <row r="128">
          <cell r="C128" t="str">
            <v>Ida Bagus Pidada Manuaba</v>
          </cell>
          <cell r="D128">
            <v>0</v>
          </cell>
        </row>
        <row r="129">
          <cell r="C129" t="str">
            <v>Ida Bagus Pidada Manuaba</v>
          </cell>
          <cell r="D129">
            <v>1</v>
          </cell>
        </row>
        <row r="130">
          <cell r="C130" t="str">
            <v>Ida Bagus Pidada Manuaba</v>
          </cell>
          <cell r="D130">
            <v>0</v>
          </cell>
        </row>
        <row r="131">
          <cell r="C131" t="str">
            <v>Ida Bagus Pidada Manuaba</v>
          </cell>
          <cell r="D131">
            <v>0</v>
          </cell>
        </row>
        <row r="132">
          <cell r="C132" t="str">
            <v>Ida Bagus Pidada Manuaba</v>
          </cell>
          <cell r="D132">
            <v>0</v>
          </cell>
        </row>
        <row r="133">
          <cell r="C133" t="str">
            <v>Ida Bagus Pidada Manuaba</v>
          </cell>
          <cell r="D133">
            <v>0</v>
          </cell>
        </row>
        <row r="134">
          <cell r="C134"/>
          <cell r="D134">
            <v>0</v>
          </cell>
        </row>
        <row r="135">
          <cell r="C135" t="str">
            <v>Boby Sukmawijaya</v>
          </cell>
          <cell r="D135">
            <v>0</v>
          </cell>
        </row>
        <row r="136">
          <cell r="C136" t="str">
            <v>Boby Sukmawijaya</v>
          </cell>
          <cell r="D136">
            <v>0</v>
          </cell>
        </row>
        <row r="137">
          <cell r="C137" t="str">
            <v>Boby Sukmawijaya</v>
          </cell>
          <cell r="D137">
            <v>0</v>
          </cell>
        </row>
        <row r="138">
          <cell r="C138" t="str">
            <v>Boby Sukmawijaya</v>
          </cell>
          <cell r="D138">
            <v>0</v>
          </cell>
        </row>
        <row r="139">
          <cell r="C139" t="str">
            <v>Boby Sukmawijaya</v>
          </cell>
          <cell r="D139">
            <v>0</v>
          </cell>
        </row>
        <row r="140">
          <cell r="C140" t="str">
            <v>Boby Sukmawijaya</v>
          </cell>
          <cell r="D140">
            <v>0</v>
          </cell>
        </row>
        <row r="141">
          <cell r="C141" t="str">
            <v>Boby Sukmawijaya</v>
          </cell>
          <cell r="D141">
            <v>0</v>
          </cell>
        </row>
        <row r="142">
          <cell r="C142" t="str">
            <v>Boby Sukmawijaya</v>
          </cell>
          <cell r="D142">
            <v>0</v>
          </cell>
        </row>
        <row r="143">
          <cell r="C143" t="str">
            <v>Boby Sukmawijaya</v>
          </cell>
          <cell r="D143">
            <v>0</v>
          </cell>
        </row>
        <row r="144">
          <cell r="C144" t="str">
            <v>Boby Sukmawijaya</v>
          </cell>
          <cell r="D144">
            <v>0</v>
          </cell>
        </row>
        <row r="145">
          <cell r="C145" t="str">
            <v>Boby Sukmawijaya</v>
          </cell>
          <cell r="D145">
            <v>0</v>
          </cell>
        </row>
        <row r="146">
          <cell r="C146" t="str">
            <v>Boby Sukmawijaya</v>
          </cell>
          <cell r="D146">
            <v>0</v>
          </cell>
        </row>
        <row r="147">
          <cell r="C147" t="str">
            <v>Boby Sukmawijaya</v>
          </cell>
          <cell r="D147">
            <v>0</v>
          </cell>
        </row>
        <row r="148">
          <cell r="C148" t="str">
            <v>Boby Sukmawijaya</v>
          </cell>
          <cell r="D148">
            <v>0</v>
          </cell>
        </row>
        <row r="149">
          <cell r="C149" t="str">
            <v>Boby Sukmawijaya</v>
          </cell>
          <cell r="D149">
            <v>0</v>
          </cell>
        </row>
        <row r="150">
          <cell r="C150" t="str">
            <v>Boby Sukmawijaya</v>
          </cell>
          <cell r="D150">
            <v>0</v>
          </cell>
        </row>
        <row r="151">
          <cell r="C151" t="str">
            <v>Boby Sukmawijaya</v>
          </cell>
          <cell r="D151">
            <v>0</v>
          </cell>
        </row>
        <row r="152">
          <cell r="C152" t="str">
            <v>Boby Sukmawijaya</v>
          </cell>
          <cell r="D152">
            <v>0</v>
          </cell>
        </row>
        <row r="153">
          <cell r="C153" t="str">
            <v>Boby Sukmawijaya</v>
          </cell>
          <cell r="D153">
            <v>0</v>
          </cell>
        </row>
        <row r="154">
          <cell r="C154" t="str">
            <v>Boby Sukmawijaya</v>
          </cell>
          <cell r="D154">
            <v>0</v>
          </cell>
        </row>
        <row r="155">
          <cell r="C155" t="str">
            <v>Boby Sukmawijaya</v>
          </cell>
          <cell r="D155">
            <v>0</v>
          </cell>
        </row>
        <row r="156">
          <cell r="C156" t="str">
            <v>Boby Sukmawijaya</v>
          </cell>
          <cell r="D156">
            <v>0</v>
          </cell>
        </row>
        <row r="157">
          <cell r="C157" t="str">
            <v>Boby Sukmawijaya</v>
          </cell>
          <cell r="D157">
            <v>0</v>
          </cell>
        </row>
        <row r="158">
          <cell r="C158" t="str">
            <v>Boby Sukmawijaya</v>
          </cell>
          <cell r="D158">
            <v>0</v>
          </cell>
        </row>
        <row r="159">
          <cell r="C159" t="str">
            <v>Boby Sukmawijaya</v>
          </cell>
          <cell r="D159">
            <v>0</v>
          </cell>
        </row>
        <row r="160">
          <cell r="C160" t="str">
            <v>Boby Sukmawijaya</v>
          </cell>
          <cell r="D160">
            <v>0</v>
          </cell>
        </row>
        <row r="161">
          <cell r="C161" t="str">
            <v>Boby Sukmawijaya</v>
          </cell>
          <cell r="D161">
            <v>0</v>
          </cell>
        </row>
        <row r="162">
          <cell r="C162" t="str">
            <v>Boby Sukmawijaya</v>
          </cell>
          <cell r="D162">
            <v>0</v>
          </cell>
        </row>
        <row r="163">
          <cell r="C163" t="str">
            <v>Boby Sukmawijaya</v>
          </cell>
          <cell r="D163">
            <v>0</v>
          </cell>
        </row>
        <row r="164">
          <cell r="C164" t="str">
            <v>Boby Sukmawijaya</v>
          </cell>
          <cell r="D164">
            <v>0</v>
          </cell>
        </row>
        <row r="165">
          <cell r="C165" t="str">
            <v>Boby Sukmawijaya</v>
          </cell>
          <cell r="D165">
            <v>0</v>
          </cell>
        </row>
        <row r="166">
          <cell r="C166" t="str">
            <v>Boby Sukmawijaya</v>
          </cell>
          <cell r="D166">
            <v>0</v>
          </cell>
        </row>
        <row r="167">
          <cell r="C167" t="str">
            <v>Boby Sukmawijaya</v>
          </cell>
          <cell r="D167">
            <v>0</v>
          </cell>
        </row>
        <row r="168">
          <cell r="C168" t="str">
            <v>Boby Sukmawijaya</v>
          </cell>
          <cell r="D168">
            <v>0</v>
          </cell>
        </row>
        <row r="169">
          <cell r="C169" t="str">
            <v>Boby Sukmawijaya</v>
          </cell>
          <cell r="D169">
            <v>0</v>
          </cell>
        </row>
        <row r="170">
          <cell r="C170" t="str">
            <v>Boby Sukmawijaya</v>
          </cell>
          <cell r="D170">
            <v>0</v>
          </cell>
        </row>
        <row r="171">
          <cell r="C171" t="str">
            <v>Boby Sukmawijaya</v>
          </cell>
          <cell r="D171">
            <v>0</v>
          </cell>
        </row>
        <row r="172">
          <cell r="C172" t="str">
            <v>Boby Sukmawijaya</v>
          </cell>
          <cell r="D172">
            <v>0</v>
          </cell>
        </row>
        <row r="173">
          <cell r="C173" t="str">
            <v>Boby Sukmawijaya</v>
          </cell>
          <cell r="D173">
            <v>0</v>
          </cell>
        </row>
        <row r="174">
          <cell r="C174" t="str">
            <v>Boby Sukmawijaya</v>
          </cell>
          <cell r="D174">
            <v>0</v>
          </cell>
        </row>
        <row r="175">
          <cell r="C175"/>
          <cell r="D175">
            <v>0</v>
          </cell>
        </row>
        <row r="176">
          <cell r="C176" t="str">
            <v>Ari</v>
          </cell>
          <cell r="D176">
            <v>0</v>
          </cell>
        </row>
        <row r="177">
          <cell r="C177" t="str">
            <v>Ari</v>
          </cell>
          <cell r="D177">
            <v>0</v>
          </cell>
        </row>
        <row r="178">
          <cell r="C178" t="str">
            <v>Ari</v>
          </cell>
          <cell r="D178">
            <v>0</v>
          </cell>
        </row>
        <row r="179">
          <cell r="C179" t="str">
            <v>Ari</v>
          </cell>
          <cell r="D179">
            <v>0</v>
          </cell>
        </row>
        <row r="180">
          <cell r="C180" t="str">
            <v>Ari</v>
          </cell>
          <cell r="D180">
            <v>0</v>
          </cell>
        </row>
        <row r="181">
          <cell r="C181" t="str">
            <v>Ari</v>
          </cell>
          <cell r="D181">
            <v>0</v>
          </cell>
        </row>
        <row r="182">
          <cell r="C182" t="str">
            <v>Ari</v>
          </cell>
          <cell r="D182">
            <v>1</v>
          </cell>
        </row>
        <row r="183">
          <cell r="C183" t="str">
            <v>Ari</v>
          </cell>
          <cell r="D183">
            <v>1</v>
          </cell>
        </row>
        <row r="184">
          <cell r="C184" t="str">
            <v>Ari</v>
          </cell>
          <cell r="D184">
            <v>0</v>
          </cell>
        </row>
        <row r="185">
          <cell r="C185" t="str">
            <v>Ari</v>
          </cell>
          <cell r="D185">
            <v>0</v>
          </cell>
        </row>
        <row r="186">
          <cell r="C186" t="str">
            <v>Helvi</v>
          </cell>
          <cell r="D186">
            <v>0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</v>
          </cell>
        </row>
        <row r="189">
          <cell r="C189" t="str">
            <v>Helvi</v>
          </cell>
          <cell r="D189">
            <v>0</v>
          </cell>
        </row>
        <row r="190">
          <cell r="C190" t="str">
            <v>Helvi</v>
          </cell>
          <cell r="D190">
            <v>0</v>
          </cell>
        </row>
        <row r="191">
          <cell r="C191" t="str">
            <v>Helvi</v>
          </cell>
          <cell r="D191">
            <v>0</v>
          </cell>
        </row>
        <row r="192">
          <cell r="C192" t="str">
            <v>Helvi</v>
          </cell>
          <cell r="D192">
            <v>0</v>
          </cell>
        </row>
        <row r="193">
          <cell r="C193" t="str">
            <v>Helvi</v>
          </cell>
          <cell r="D193">
            <v>0</v>
          </cell>
        </row>
        <row r="194">
          <cell r="C194" t="str">
            <v>Helvi</v>
          </cell>
          <cell r="D194">
            <v>0</v>
          </cell>
        </row>
        <row r="195">
          <cell r="C195" t="str">
            <v>Helvi</v>
          </cell>
          <cell r="D195">
            <v>0</v>
          </cell>
        </row>
        <row r="196">
          <cell r="C196" t="str">
            <v>Helvi</v>
          </cell>
          <cell r="D196">
            <v>0</v>
          </cell>
        </row>
        <row r="197">
          <cell r="C197"/>
          <cell r="D197">
            <v>0</v>
          </cell>
        </row>
        <row r="198">
          <cell r="C198" t="str">
            <v>Ferdi Setiawan</v>
          </cell>
          <cell r="D198">
            <v>0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</v>
          </cell>
        </row>
        <row r="201">
          <cell r="C201" t="str">
            <v>Ferdi Setiawan</v>
          </cell>
          <cell r="D201">
            <v>0</v>
          </cell>
        </row>
        <row r="202">
          <cell r="C202" t="str">
            <v>Ferdi Setiawan</v>
          </cell>
          <cell r="D202">
            <v>1</v>
          </cell>
        </row>
        <row r="203">
          <cell r="C203" t="str">
            <v>Ferdi Setiawan</v>
          </cell>
          <cell r="D203">
            <v>1</v>
          </cell>
        </row>
        <row r="204">
          <cell r="C204" t="str">
            <v>Ferdi Setiawan</v>
          </cell>
          <cell r="D204">
            <v>0</v>
          </cell>
        </row>
        <row r="205">
          <cell r="C205" t="str">
            <v>Ferdi Setiawan</v>
          </cell>
          <cell r="D205">
            <v>0</v>
          </cell>
        </row>
        <row r="206">
          <cell r="C206" t="str">
            <v>Ferdi Setiawan</v>
          </cell>
          <cell r="D206">
            <v>1</v>
          </cell>
        </row>
        <row r="207">
          <cell r="C207" t="str">
            <v>Ferdi Setiawan</v>
          </cell>
          <cell r="D207">
            <v>0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1</v>
          </cell>
        </row>
        <row r="210">
          <cell r="C210" t="str">
            <v>Ferdi Setiawan</v>
          </cell>
          <cell r="D210">
            <v>1</v>
          </cell>
        </row>
        <row r="211">
          <cell r="C211" t="str">
            <v>Ferdi Setiawan</v>
          </cell>
          <cell r="D211">
            <v>1</v>
          </cell>
        </row>
        <row r="212">
          <cell r="C212"/>
          <cell r="D212">
            <v>0</v>
          </cell>
        </row>
        <row r="213">
          <cell r="C213" t="str">
            <v>Gesang Jumadi</v>
          </cell>
          <cell r="D213">
            <v>1</v>
          </cell>
        </row>
        <row r="214">
          <cell r="C214" t="str">
            <v>Gesang Jumadi</v>
          </cell>
          <cell r="D214">
            <v>1</v>
          </cell>
        </row>
        <row r="215">
          <cell r="C215" t="str">
            <v>Gesang Jumadi</v>
          </cell>
          <cell r="D215">
            <v>1</v>
          </cell>
        </row>
        <row r="216">
          <cell r="C216" t="str">
            <v>Gesang Jumadi</v>
          </cell>
          <cell r="D216">
            <v>1</v>
          </cell>
        </row>
        <row r="217">
          <cell r="C217" t="str">
            <v>Gesang Jumadi</v>
          </cell>
          <cell r="D217">
            <v>0</v>
          </cell>
        </row>
        <row r="218">
          <cell r="C218" t="str">
            <v>Gesang Jumadi</v>
          </cell>
          <cell r="D218">
            <v>0</v>
          </cell>
        </row>
        <row r="219">
          <cell r="C219" t="str">
            <v>Gesang Jumadi</v>
          </cell>
          <cell r="D219">
            <v>0</v>
          </cell>
        </row>
        <row r="220">
          <cell r="C220" t="str">
            <v>Gesang Jumadi</v>
          </cell>
          <cell r="D220">
            <v>0</v>
          </cell>
        </row>
        <row r="221">
          <cell r="C221" t="str">
            <v>Gesang Jumadi</v>
          </cell>
          <cell r="D221">
            <v>0</v>
          </cell>
        </row>
        <row r="222">
          <cell r="C222" t="str">
            <v>Gesang Jumadi</v>
          </cell>
          <cell r="D222">
            <v>0</v>
          </cell>
        </row>
        <row r="223">
          <cell r="C223" t="str">
            <v>Gesang Jumadi</v>
          </cell>
          <cell r="D223">
            <v>0</v>
          </cell>
        </row>
        <row r="224">
          <cell r="C224" t="str">
            <v>Gesang Jumadi</v>
          </cell>
          <cell r="D224">
            <v>0</v>
          </cell>
        </row>
        <row r="225">
          <cell r="C225" t="str">
            <v>Gesang Jumadi</v>
          </cell>
          <cell r="D225">
            <v>0</v>
          </cell>
        </row>
        <row r="226">
          <cell r="C226" t="str">
            <v>Gesang Jumadi</v>
          </cell>
          <cell r="D226">
            <v>1</v>
          </cell>
        </row>
        <row r="227">
          <cell r="C227" t="str">
            <v>Gesang Jumadi</v>
          </cell>
          <cell r="D227">
            <v>0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1</v>
          </cell>
        </row>
        <row r="230">
          <cell r="C230" t="str">
            <v>Gumilar Rudimaya</v>
          </cell>
          <cell r="D230">
            <v>1</v>
          </cell>
        </row>
        <row r="231">
          <cell r="C231" t="str">
            <v>Gumilar Rudimaya</v>
          </cell>
          <cell r="D231">
            <v>1</v>
          </cell>
        </row>
        <row r="232">
          <cell r="C232" t="str">
            <v>Gumilar Rudimaya</v>
          </cell>
          <cell r="D232">
            <v>1</v>
          </cell>
        </row>
        <row r="233">
          <cell r="C233" t="str">
            <v>Gumilar Rudimaya</v>
          </cell>
          <cell r="D233">
            <v>0</v>
          </cell>
        </row>
        <row r="234">
          <cell r="C234" t="str">
            <v>Gumilar Rudimaya</v>
          </cell>
          <cell r="D234">
            <v>1</v>
          </cell>
        </row>
        <row r="235">
          <cell r="C235" t="str">
            <v>Gumilar Rudimaya</v>
          </cell>
          <cell r="D235">
            <v>0</v>
          </cell>
        </row>
        <row r="236">
          <cell r="C236" t="str">
            <v>Gumilar Rudimaya</v>
          </cell>
          <cell r="D236">
            <v>1</v>
          </cell>
        </row>
        <row r="237">
          <cell r="C237" t="str">
            <v>Gumilar Rudimaya</v>
          </cell>
          <cell r="D237">
            <v>1</v>
          </cell>
        </row>
        <row r="238">
          <cell r="C238" t="str">
            <v>Gumilar Rudimaya</v>
          </cell>
          <cell r="D238">
            <v>0</v>
          </cell>
        </row>
        <row r="239">
          <cell r="C239" t="str">
            <v>Gumilar Rudimaya</v>
          </cell>
          <cell r="D239">
            <v>1</v>
          </cell>
        </row>
        <row r="240">
          <cell r="C240" t="str">
            <v>Gumilar Rudimaya</v>
          </cell>
          <cell r="D240">
            <v>1</v>
          </cell>
        </row>
        <row r="241">
          <cell r="C241" t="str">
            <v>Gumilar Rudimaya</v>
          </cell>
          <cell r="D241">
            <v>1</v>
          </cell>
        </row>
        <row r="242">
          <cell r="C242" t="str">
            <v>Gumilar Rudimaya</v>
          </cell>
          <cell r="D242">
            <v>0</v>
          </cell>
        </row>
        <row r="243">
          <cell r="C243"/>
          <cell r="D243">
            <v>0</v>
          </cell>
        </row>
        <row r="244">
          <cell r="C244" t="str">
            <v>Indra Jantana</v>
          </cell>
          <cell r="D244">
            <v>0</v>
          </cell>
        </row>
        <row r="245">
          <cell r="C245" t="str">
            <v>Indra Jantana</v>
          </cell>
          <cell r="D245">
            <v>0</v>
          </cell>
        </row>
        <row r="246">
          <cell r="C246" t="str">
            <v>Indra Jantana</v>
          </cell>
          <cell r="D246">
            <v>0</v>
          </cell>
        </row>
        <row r="247">
          <cell r="C247" t="str">
            <v>Indra Jantana</v>
          </cell>
          <cell r="D247">
            <v>0</v>
          </cell>
        </row>
        <row r="248">
          <cell r="C248" t="str">
            <v>Indra Jantana</v>
          </cell>
          <cell r="D248">
            <v>0</v>
          </cell>
        </row>
        <row r="249">
          <cell r="C249" t="str">
            <v>Indra Jantana</v>
          </cell>
          <cell r="D249">
            <v>0</v>
          </cell>
        </row>
        <row r="250">
          <cell r="C250" t="str">
            <v>Indra Jantana</v>
          </cell>
          <cell r="D250">
            <v>0</v>
          </cell>
        </row>
        <row r="251">
          <cell r="C251" t="str">
            <v>Indra Jantana</v>
          </cell>
          <cell r="D251">
            <v>0</v>
          </cell>
        </row>
        <row r="252">
          <cell r="C252" t="str">
            <v>Indra Jantana</v>
          </cell>
          <cell r="D252">
            <v>0</v>
          </cell>
        </row>
        <row r="253">
          <cell r="C253" t="str">
            <v>Indra Jantana</v>
          </cell>
          <cell r="D253">
            <v>0</v>
          </cell>
        </row>
        <row r="254">
          <cell r="C254" t="str">
            <v>Indra Jantana</v>
          </cell>
          <cell r="D254">
            <v>0</v>
          </cell>
        </row>
        <row r="255">
          <cell r="C255" t="str">
            <v>Indra Jantana</v>
          </cell>
          <cell r="D255">
            <v>0</v>
          </cell>
        </row>
        <row r="256">
          <cell r="C256" t="str">
            <v>Indra Jantana</v>
          </cell>
          <cell r="D256">
            <v>0</v>
          </cell>
        </row>
        <row r="257">
          <cell r="C257" t="str">
            <v>Indra Jantana</v>
          </cell>
          <cell r="D257">
            <v>0</v>
          </cell>
        </row>
        <row r="258">
          <cell r="C258" t="str">
            <v>Indra Jantana</v>
          </cell>
          <cell r="D258">
            <v>1</v>
          </cell>
        </row>
        <row r="259">
          <cell r="C259" t="str">
            <v>Indra Jantana</v>
          </cell>
          <cell r="D259">
            <v>0</v>
          </cell>
        </row>
        <row r="260">
          <cell r="C260" t="str">
            <v>Indra Jantana</v>
          </cell>
          <cell r="D260">
            <v>0</v>
          </cell>
        </row>
        <row r="261">
          <cell r="C261" t="str">
            <v>Indra Jantana</v>
          </cell>
          <cell r="D261">
            <v>0</v>
          </cell>
        </row>
        <row r="262">
          <cell r="C262" t="str">
            <v>Indra Jantana</v>
          </cell>
          <cell r="D262">
            <v>0</v>
          </cell>
        </row>
        <row r="263">
          <cell r="C263" t="str">
            <v>Indra Jantana</v>
          </cell>
          <cell r="D263">
            <v>0</v>
          </cell>
        </row>
        <row r="264">
          <cell r="C264" t="str">
            <v>Indra Jantana</v>
          </cell>
          <cell r="D264">
            <v>0</v>
          </cell>
        </row>
        <row r="265">
          <cell r="C265" t="str">
            <v>Indra Jantana</v>
          </cell>
          <cell r="D265">
            <v>0</v>
          </cell>
        </row>
        <row r="266">
          <cell r="C266" t="str">
            <v>Indra Jantana</v>
          </cell>
          <cell r="D266">
            <v>0</v>
          </cell>
        </row>
        <row r="267">
          <cell r="C267" t="str">
            <v>Indra Jantana</v>
          </cell>
          <cell r="D267">
            <v>0</v>
          </cell>
        </row>
        <row r="268">
          <cell r="C268"/>
          <cell r="D268">
            <v>0</v>
          </cell>
        </row>
        <row r="269">
          <cell r="C269" t="str">
            <v>Yudi Wahyudi</v>
          </cell>
          <cell r="D269">
            <v>0</v>
          </cell>
        </row>
        <row r="270">
          <cell r="C270" t="str">
            <v>Yudi Wahyudi</v>
          </cell>
          <cell r="D270">
            <v>0</v>
          </cell>
        </row>
        <row r="271">
          <cell r="C271" t="str">
            <v>Yudi Wahyudi</v>
          </cell>
          <cell r="D271">
            <v>0</v>
          </cell>
        </row>
        <row r="272">
          <cell r="C272" t="str">
            <v>Yudi Wahyudi</v>
          </cell>
          <cell r="D272">
            <v>0</v>
          </cell>
        </row>
        <row r="273">
          <cell r="C273" t="str">
            <v>Yudi Wahyudi</v>
          </cell>
          <cell r="D273">
            <v>0</v>
          </cell>
        </row>
        <row r="274">
          <cell r="C274" t="str">
            <v>Yudi Wahyudi</v>
          </cell>
          <cell r="D274">
            <v>0</v>
          </cell>
        </row>
        <row r="275">
          <cell r="C275" t="str">
            <v>Yudi Wahyudi</v>
          </cell>
          <cell r="D275">
            <v>0</v>
          </cell>
        </row>
        <row r="276">
          <cell r="C276" t="str">
            <v>Yudi Wahyudi</v>
          </cell>
          <cell r="D276">
            <v>0</v>
          </cell>
        </row>
        <row r="277">
          <cell r="C277" t="str">
            <v>Yudi Wahyudi</v>
          </cell>
          <cell r="D277">
            <v>0</v>
          </cell>
        </row>
        <row r="278">
          <cell r="C278" t="str">
            <v>Yudi Wahyudi</v>
          </cell>
          <cell r="D278">
            <v>0</v>
          </cell>
        </row>
        <row r="279">
          <cell r="C279" t="str">
            <v>Yudi Wahyudi</v>
          </cell>
          <cell r="D279">
            <v>0</v>
          </cell>
        </row>
        <row r="280">
          <cell r="C280" t="str">
            <v>Yudi Wahyudi</v>
          </cell>
          <cell r="D280">
            <v>0</v>
          </cell>
        </row>
        <row r="281">
          <cell r="C281" t="str">
            <v>Yudi Wahyudi</v>
          </cell>
          <cell r="D281">
            <v>0</v>
          </cell>
        </row>
        <row r="282">
          <cell r="C282" t="str">
            <v>Yudi Wahyudi</v>
          </cell>
          <cell r="D282">
            <v>0</v>
          </cell>
        </row>
        <row r="283">
          <cell r="C283" t="str">
            <v>Yudi Wahyudi</v>
          </cell>
          <cell r="D283">
            <v>0</v>
          </cell>
        </row>
        <row r="284">
          <cell r="C284" t="str">
            <v>Yudi Wahyudi</v>
          </cell>
          <cell r="D284">
            <v>0</v>
          </cell>
        </row>
        <row r="285">
          <cell r="C285" t="str">
            <v>Yudi Wahyudi</v>
          </cell>
          <cell r="D285">
            <v>0</v>
          </cell>
        </row>
        <row r="286">
          <cell r="C286" t="str">
            <v>Yudi Wahyudi</v>
          </cell>
          <cell r="D286">
            <v>0</v>
          </cell>
        </row>
        <row r="287">
          <cell r="C287" t="str">
            <v>Yudi Wahyudi</v>
          </cell>
          <cell r="D287">
            <v>0</v>
          </cell>
        </row>
        <row r="288">
          <cell r="C288" t="str">
            <v>Yudi Wahyudi</v>
          </cell>
          <cell r="D288">
            <v>0</v>
          </cell>
        </row>
        <row r="289">
          <cell r="C289" t="str">
            <v>Yudi Wahyudi</v>
          </cell>
          <cell r="D289">
            <v>0</v>
          </cell>
        </row>
        <row r="290">
          <cell r="C290" t="str">
            <v>Yudi Wahyudi</v>
          </cell>
          <cell r="D290">
            <v>0</v>
          </cell>
        </row>
        <row r="291">
          <cell r="C291" t="str">
            <v>Yudi Wahyudi</v>
          </cell>
          <cell r="D291">
            <v>0</v>
          </cell>
        </row>
        <row r="292">
          <cell r="C292" t="str">
            <v>Yudi Wahyudi</v>
          </cell>
          <cell r="D292">
            <v>0</v>
          </cell>
        </row>
        <row r="293">
          <cell r="C293" t="str">
            <v>Yudi Wahyudi</v>
          </cell>
          <cell r="D293">
            <v>0</v>
          </cell>
        </row>
        <row r="294">
          <cell r="C294" t="str">
            <v>Yudi Wahyudi</v>
          </cell>
          <cell r="D294">
            <v>0</v>
          </cell>
        </row>
        <row r="295">
          <cell r="C295"/>
          <cell r="D295">
            <v>0</v>
          </cell>
        </row>
        <row r="296">
          <cell r="C296" t="str">
            <v>Febri Dwi Prabowo</v>
          </cell>
          <cell r="D296">
            <v>0</v>
          </cell>
        </row>
        <row r="297">
          <cell r="C297" t="str">
            <v>Febri Dwi Prabowo</v>
          </cell>
          <cell r="D297">
            <v>0</v>
          </cell>
        </row>
        <row r="298">
          <cell r="C298" t="str">
            <v>Febri Dwi Prabowo</v>
          </cell>
          <cell r="D298">
            <v>0</v>
          </cell>
        </row>
        <row r="299">
          <cell r="C299" t="str">
            <v>Febri Dwi Prabowo</v>
          </cell>
          <cell r="D299">
            <v>0</v>
          </cell>
        </row>
        <row r="300">
          <cell r="C300" t="str">
            <v>Febri Dwi Prabowo</v>
          </cell>
          <cell r="D300">
            <v>0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1</v>
          </cell>
        </row>
        <row r="303">
          <cell r="C303" t="str">
            <v>Febri Dwi Prabowo</v>
          </cell>
          <cell r="D303">
            <v>0</v>
          </cell>
        </row>
        <row r="304">
          <cell r="C304" t="str">
            <v>Febri Dwi Prabowo</v>
          </cell>
          <cell r="D304">
            <v>0</v>
          </cell>
        </row>
        <row r="305">
          <cell r="C305" t="str">
            <v>Febri Dwi Prabowo</v>
          </cell>
          <cell r="D305">
            <v>0</v>
          </cell>
        </row>
        <row r="306">
          <cell r="C306" t="str">
            <v>Febri Dwi Prabowo</v>
          </cell>
          <cell r="D306">
            <v>0</v>
          </cell>
        </row>
        <row r="307">
          <cell r="C307" t="str">
            <v>Febri Dwi Prabowo</v>
          </cell>
          <cell r="D307">
            <v>0</v>
          </cell>
        </row>
        <row r="308">
          <cell r="C308" t="str">
            <v>Febri Dwi Prabowo</v>
          </cell>
          <cell r="D308">
            <v>0</v>
          </cell>
        </row>
        <row r="309">
          <cell r="C309" t="str">
            <v>Made Windu Kuntara</v>
          </cell>
          <cell r="D309">
            <v>0</v>
          </cell>
        </row>
        <row r="310">
          <cell r="C310" t="str">
            <v>Made Windu Kuntara</v>
          </cell>
          <cell r="D310">
            <v>0</v>
          </cell>
        </row>
        <row r="311">
          <cell r="C311" t="str">
            <v>Made Windu Kuntara</v>
          </cell>
          <cell r="D311">
            <v>0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</v>
          </cell>
        </row>
        <row r="314">
          <cell r="C314" t="str">
            <v>Made Windu Kuntara</v>
          </cell>
          <cell r="D314">
            <v>1</v>
          </cell>
        </row>
        <row r="315">
          <cell r="C315" t="str">
            <v>Made Windu Kuntara</v>
          </cell>
          <cell r="D315">
            <v>0</v>
          </cell>
        </row>
        <row r="316">
          <cell r="C316" t="str">
            <v>Made Windu Kuntara</v>
          </cell>
          <cell r="D316">
            <v>1</v>
          </cell>
        </row>
        <row r="317">
          <cell r="C317" t="str">
            <v>Made Windu Kuntara</v>
          </cell>
          <cell r="D317">
            <v>0</v>
          </cell>
        </row>
        <row r="318">
          <cell r="C318" t="str">
            <v>Made Windu Kuntara</v>
          </cell>
          <cell r="D318">
            <v>1</v>
          </cell>
        </row>
        <row r="319">
          <cell r="C319" t="str">
            <v>Made Windu Kuntara</v>
          </cell>
          <cell r="D319">
            <v>0</v>
          </cell>
        </row>
        <row r="320">
          <cell r="C320" t="str">
            <v>Made Windu Kuntara</v>
          </cell>
          <cell r="D320">
            <v>1</v>
          </cell>
        </row>
        <row r="321">
          <cell r="C321"/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</v>
          </cell>
        </row>
        <row r="324">
          <cell r="C324" t="str">
            <v>Jusuf Charles Rumende (PN : 00059432)</v>
          </cell>
          <cell r="D324">
            <v>1</v>
          </cell>
        </row>
        <row r="325">
          <cell r="C325" t="str">
            <v>Jusuf Charles Rumende (PN : 00059432)</v>
          </cell>
          <cell r="D325">
            <v>0</v>
          </cell>
        </row>
        <row r="326">
          <cell r="C326" t="str">
            <v>Jusuf Charles Rumende (PN : 00059432)</v>
          </cell>
          <cell r="D326">
            <v>1</v>
          </cell>
        </row>
        <row r="327">
          <cell r="C327" t="str">
            <v>Jusuf Charles Rumende (PN : 00059432)</v>
          </cell>
          <cell r="D327">
            <v>0</v>
          </cell>
        </row>
        <row r="328">
          <cell r="C328" t="str">
            <v>Jusuf Charles Rumende (PN : 00059432)</v>
          </cell>
          <cell r="D328">
            <v>0</v>
          </cell>
        </row>
        <row r="329">
          <cell r="C329" t="str">
            <v>Jusuf Charles Rumende (PN : 00059432)</v>
          </cell>
          <cell r="D329">
            <v>0</v>
          </cell>
        </row>
        <row r="330">
          <cell r="C330" t="str">
            <v>Jusuf Charles Rumende (PN : 00059432)</v>
          </cell>
          <cell r="D330">
            <v>0</v>
          </cell>
        </row>
        <row r="331">
          <cell r="C331" t="str">
            <v>Jusuf Charles Rumende (PN : 00059432)</v>
          </cell>
          <cell r="D331">
            <v>1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</v>
          </cell>
        </row>
        <row r="335">
          <cell r="C335" t="str">
            <v>Jusuf Charles Rumende (PN : 00059432)</v>
          </cell>
          <cell r="D335">
            <v>0</v>
          </cell>
        </row>
        <row r="336">
          <cell r="C336" t="str">
            <v>Jusuf Charles Rumende (PN : 00059432)</v>
          </cell>
          <cell r="D336">
            <v>0</v>
          </cell>
        </row>
        <row r="337">
          <cell r="C337" t="str">
            <v>Jusuf Charles Rumende (PN : 00059432)</v>
          </cell>
          <cell r="D337">
            <v>0</v>
          </cell>
        </row>
        <row r="338">
          <cell r="C338" t="str">
            <v>Jusuf Charles Rumende (PN : 00059432)</v>
          </cell>
          <cell r="D338">
            <v>0</v>
          </cell>
        </row>
        <row r="339">
          <cell r="C339" t="str">
            <v>Jusuf Charles Rumende (PN : 00059432)</v>
          </cell>
          <cell r="D339">
            <v>1</v>
          </cell>
        </row>
        <row r="340">
          <cell r="C340" t="str">
            <v>Jusuf Charles Rumende (PN : 00059432)</v>
          </cell>
          <cell r="D340">
            <v>1</v>
          </cell>
        </row>
        <row r="341">
          <cell r="C341" t="str">
            <v>Jusuf Charles Rumende (PN : 00059432)</v>
          </cell>
          <cell r="D341">
            <v>0</v>
          </cell>
        </row>
        <row r="342">
          <cell r="C342"/>
          <cell r="D342">
            <v>0</v>
          </cell>
        </row>
        <row r="343">
          <cell r="C343" t="str">
            <v>Syamsul Arifianto</v>
          </cell>
          <cell r="D343">
            <v>0</v>
          </cell>
        </row>
        <row r="344">
          <cell r="C344" t="str">
            <v>Syamsul Arifianto</v>
          </cell>
          <cell r="D344">
            <v>0</v>
          </cell>
        </row>
        <row r="345">
          <cell r="C345" t="str">
            <v>Syamsul Arifianto</v>
          </cell>
          <cell r="D345">
            <v>1</v>
          </cell>
        </row>
        <row r="346">
          <cell r="C346" t="str">
            <v>Syamsul Arifianto</v>
          </cell>
          <cell r="D346">
            <v>0</v>
          </cell>
        </row>
        <row r="347">
          <cell r="C347" t="str">
            <v>Syamsul Arifianto</v>
          </cell>
          <cell r="D347">
            <v>0</v>
          </cell>
        </row>
        <row r="348">
          <cell r="C348" t="str">
            <v>Syamsul Arifianto</v>
          </cell>
          <cell r="D348">
            <v>0</v>
          </cell>
        </row>
        <row r="349">
          <cell r="C349" t="str">
            <v>Syamsul Arifianto</v>
          </cell>
          <cell r="D349">
            <v>0</v>
          </cell>
        </row>
        <row r="350">
          <cell r="C350" t="str">
            <v>Syamsul Arifianto</v>
          </cell>
          <cell r="D350">
            <v>1</v>
          </cell>
        </row>
        <row r="351">
          <cell r="C351" t="str">
            <v>Syamsul Arifianto</v>
          </cell>
          <cell r="D351">
            <v>0</v>
          </cell>
        </row>
        <row r="352">
          <cell r="C352" t="str">
            <v>Syamsul Arifianto</v>
          </cell>
          <cell r="D352">
            <v>0</v>
          </cell>
        </row>
        <row r="353">
          <cell r="C353" t="str">
            <v>Syamsul Arifianto</v>
          </cell>
          <cell r="D353">
            <v>0</v>
          </cell>
        </row>
        <row r="354">
          <cell r="C354" t="str">
            <v>Veronica Dwi Kurniasih</v>
          </cell>
          <cell r="D354">
            <v>0</v>
          </cell>
        </row>
        <row r="355">
          <cell r="C355" t="str">
            <v>Veronica Dwi Kurniasih</v>
          </cell>
          <cell r="D355">
            <v>0</v>
          </cell>
        </row>
        <row r="356">
          <cell r="C356" t="str">
            <v>Veronica Dwi Kurniasih</v>
          </cell>
          <cell r="D356">
            <v>0</v>
          </cell>
        </row>
        <row r="357">
          <cell r="C357" t="str">
            <v>Veronica Dwi Kurniasih</v>
          </cell>
          <cell r="D357">
            <v>0</v>
          </cell>
        </row>
        <row r="358">
          <cell r="C358" t="str">
            <v>Veronica Dwi Kurniasih</v>
          </cell>
          <cell r="D358">
            <v>0</v>
          </cell>
        </row>
        <row r="359">
          <cell r="C359" t="str">
            <v>Veronica Dwi Kurniasih</v>
          </cell>
          <cell r="D359">
            <v>0</v>
          </cell>
        </row>
        <row r="360">
          <cell r="C360" t="str">
            <v>Veronica Dwi Kurniasih</v>
          </cell>
          <cell r="D360">
            <v>0</v>
          </cell>
        </row>
        <row r="361">
          <cell r="C361" t="str">
            <v>Veronica Dwi Kurniasih</v>
          </cell>
          <cell r="D361">
            <v>0</v>
          </cell>
        </row>
        <row r="362">
          <cell r="C362" t="str">
            <v>Veronica Dwi Kurniasih</v>
          </cell>
          <cell r="D362">
            <v>0</v>
          </cell>
        </row>
        <row r="363">
          <cell r="C363" t="str">
            <v>Veronica Dwi Kurniasih</v>
          </cell>
          <cell r="D363">
            <v>0</v>
          </cell>
        </row>
        <row r="364">
          <cell r="C364" t="str">
            <v>Veronica Dwi Kurniasih</v>
          </cell>
          <cell r="D364">
            <v>0</v>
          </cell>
        </row>
        <row r="365">
          <cell r="C365"/>
          <cell r="D365">
            <v>0</v>
          </cell>
        </row>
        <row r="366">
          <cell r="C366" t="str">
            <v>Asep Kristiono</v>
          </cell>
          <cell r="D366">
            <v>0</v>
          </cell>
        </row>
        <row r="367">
          <cell r="C367" t="str">
            <v>Asep Kristiono</v>
          </cell>
          <cell r="D367">
            <v>0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0</v>
          </cell>
        </row>
        <row r="370">
          <cell r="C370" t="str">
            <v>Asep Kristiono</v>
          </cell>
          <cell r="D370">
            <v>0</v>
          </cell>
        </row>
        <row r="371">
          <cell r="C371" t="str">
            <v>Asep Kristiono</v>
          </cell>
          <cell r="D371">
            <v>0</v>
          </cell>
        </row>
        <row r="372">
          <cell r="C372" t="str">
            <v>Asep Kristiono</v>
          </cell>
          <cell r="D372">
            <v>1</v>
          </cell>
        </row>
        <row r="373">
          <cell r="C373" t="str">
            <v>Asep Kristiono</v>
          </cell>
          <cell r="D373">
            <v>0</v>
          </cell>
        </row>
        <row r="374">
          <cell r="C374" t="str">
            <v>Asep Kristiono</v>
          </cell>
          <cell r="D374">
            <v>0</v>
          </cell>
        </row>
        <row r="375">
          <cell r="C375" t="str">
            <v>Asep Kristiono</v>
          </cell>
          <cell r="D375">
            <v>0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0</v>
          </cell>
        </row>
        <row r="378">
          <cell r="C378" t="str">
            <v>Dian Septianti</v>
          </cell>
          <cell r="D378">
            <v>0</v>
          </cell>
        </row>
        <row r="379">
          <cell r="C379" t="str">
            <v>Dian Septianti</v>
          </cell>
          <cell r="D379">
            <v>0</v>
          </cell>
        </row>
        <row r="380">
          <cell r="C380" t="str">
            <v>Dian Septianti</v>
          </cell>
          <cell r="D380">
            <v>0</v>
          </cell>
        </row>
        <row r="381">
          <cell r="C381" t="str">
            <v>Dian Septianti</v>
          </cell>
          <cell r="D381">
            <v>0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1</v>
          </cell>
        </row>
        <row r="387">
          <cell r="C387" t="str">
            <v>Dian Septianti</v>
          </cell>
          <cell r="D387">
            <v>1</v>
          </cell>
        </row>
        <row r="388">
          <cell r="C388" t="str">
            <v>Waras Suyitno</v>
          </cell>
          <cell r="D388">
            <v>0</v>
          </cell>
        </row>
        <row r="389">
          <cell r="C389" t="str">
            <v>Waras Suyitno</v>
          </cell>
          <cell r="D389">
            <v>1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0</v>
          </cell>
        </row>
        <row r="392">
          <cell r="C392" t="str">
            <v>Waras Suyitno</v>
          </cell>
          <cell r="D392">
            <v>1</v>
          </cell>
        </row>
        <row r="393">
          <cell r="C393" t="str">
            <v>Waras Suyitno</v>
          </cell>
          <cell r="D393">
            <v>0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0</v>
          </cell>
        </row>
        <row r="396">
          <cell r="C396" t="str">
            <v>Waras Suyitno</v>
          </cell>
          <cell r="D396">
            <v>0</v>
          </cell>
        </row>
        <row r="397">
          <cell r="C397" t="str">
            <v>Waras Suyitno</v>
          </cell>
          <cell r="D397">
            <v>0</v>
          </cell>
        </row>
        <row r="398">
          <cell r="C398" t="str">
            <v>Waras Suyitno</v>
          </cell>
          <cell r="D398">
            <v>0</v>
          </cell>
        </row>
        <row r="399">
          <cell r="C399"/>
          <cell r="D399">
            <v>0</v>
          </cell>
        </row>
        <row r="400">
          <cell r="C400" t="str">
            <v>Moch. Arief Budiman</v>
          </cell>
          <cell r="D400">
            <v>0</v>
          </cell>
        </row>
        <row r="401">
          <cell r="C401" t="str">
            <v>Moch. Arief Budiman</v>
          </cell>
          <cell r="D401">
            <v>0</v>
          </cell>
        </row>
        <row r="402">
          <cell r="C402" t="str">
            <v>Moch. Arief Budiman</v>
          </cell>
          <cell r="D402">
            <v>0</v>
          </cell>
        </row>
        <row r="403">
          <cell r="C403" t="str">
            <v>Moch. Arief Budiman</v>
          </cell>
          <cell r="D403">
            <v>0</v>
          </cell>
        </row>
        <row r="404">
          <cell r="C404" t="str">
            <v>Moch. Arief Budiman</v>
          </cell>
          <cell r="D404">
            <v>0</v>
          </cell>
        </row>
        <row r="405">
          <cell r="C405" t="str">
            <v>Moch. Arief Budiman</v>
          </cell>
          <cell r="D405">
            <v>1</v>
          </cell>
        </row>
        <row r="406">
          <cell r="C406" t="str">
            <v>Moch. Arief Budiman</v>
          </cell>
          <cell r="D406">
            <v>0</v>
          </cell>
        </row>
        <row r="407">
          <cell r="C407" t="str">
            <v>Moch. Arief Budiman</v>
          </cell>
          <cell r="D407">
            <v>0</v>
          </cell>
        </row>
        <row r="408">
          <cell r="C408" t="str">
            <v>Rukiyat Prihantoko</v>
          </cell>
          <cell r="D408">
            <v>0</v>
          </cell>
        </row>
        <row r="409">
          <cell r="C409" t="str">
            <v>Rukiyat Prihantoko</v>
          </cell>
          <cell r="D409">
            <v>0</v>
          </cell>
        </row>
        <row r="410">
          <cell r="C410" t="str">
            <v>Rukiyat Prihantoko</v>
          </cell>
          <cell r="D410">
            <v>0</v>
          </cell>
        </row>
        <row r="411">
          <cell r="C411" t="str">
            <v>Rukiyat Prihantoko</v>
          </cell>
          <cell r="D411">
            <v>0</v>
          </cell>
        </row>
        <row r="412">
          <cell r="C412" t="str">
            <v>Rukiyat Prihantoko</v>
          </cell>
          <cell r="D412">
            <v>1</v>
          </cell>
        </row>
        <row r="413">
          <cell r="C413" t="str">
            <v>Rukiyat Prihantoko</v>
          </cell>
          <cell r="D413">
            <v>0</v>
          </cell>
        </row>
        <row r="414">
          <cell r="C414" t="str">
            <v>Rukiyat Prihantoko</v>
          </cell>
          <cell r="D414">
            <v>1</v>
          </cell>
        </row>
        <row r="415">
          <cell r="C415" t="str">
            <v>Rukiyat Prihantoko</v>
          </cell>
          <cell r="D415">
            <v>0</v>
          </cell>
        </row>
        <row r="416">
          <cell r="C416" t="str">
            <v>Rukiyat Prihantoko</v>
          </cell>
          <cell r="D416">
            <v>0</v>
          </cell>
        </row>
        <row r="417">
          <cell r="C417" t="str">
            <v>Sutrisno Hadi Pranoto</v>
          </cell>
          <cell r="D417">
            <v>0</v>
          </cell>
        </row>
        <row r="418">
          <cell r="C418" t="str">
            <v>Sutrisno Hadi Pranoto</v>
          </cell>
          <cell r="D418">
            <v>0</v>
          </cell>
        </row>
        <row r="419">
          <cell r="C419" t="str">
            <v>Sutrisno Hadi Pranoto</v>
          </cell>
          <cell r="D419">
            <v>0</v>
          </cell>
        </row>
        <row r="420">
          <cell r="C420" t="str">
            <v>Sutrisno Hadi Pranoto</v>
          </cell>
          <cell r="D420">
            <v>0</v>
          </cell>
        </row>
        <row r="421">
          <cell r="C421" t="str">
            <v>Sutrisno Hadi Pranoto</v>
          </cell>
          <cell r="D421">
            <v>1</v>
          </cell>
        </row>
        <row r="422">
          <cell r="C422" t="str">
            <v>Sutrisno Hadi Pranoto</v>
          </cell>
          <cell r="D422">
            <v>0</v>
          </cell>
        </row>
        <row r="423">
          <cell r="C423" t="str">
            <v>Sutrisno Hadi Pranoto</v>
          </cell>
          <cell r="D423">
            <v>0</v>
          </cell>
        </row>
        <row r="424">
          <cell r="C424" t="str">
            <v>Sutrisno Hadi Pranoto</v>
          </cell>
          <cell r="D424">
            <v>0</v>
          </cell>
        </row>
        <row r="425">
          <cell r="C425"/>
          <cell r="D425">
            <v>0</v>
          </cell>
        </row>
        <row r="426">
          <cell r="C426" t="str">
            <v>Bambang Dwi Raharjo</v>
          </cell>
          <cell r="D426">
            <v>0</v>
          </cell>
        </row>
        <row r="427">
          <cell r="C427" t="str">
            <v>Bambang Dwi Raharjo</v>
          </cell>
          <cell r="D427">
            <v>0</v>
          </cell>
        </row>
        <row r="428">
          <cell r="C428" t="str">
            <v>Bambang Dwi Raharjo</v>
          </cell>
          <cell r="D428">
            <v>0</v>
          </cell>
        </row>
        <row r="429">
          <cell r="C429" t="str">
            <v>Bambang Dwi Raharjo</v>
          </cell>
          <cell r="D429">
            <v>0</v>
          </cell>
        </row>
        <row r="430">
          <cell r="C430" t="str">
            <v>Bambang Dwi Raharjo</v>
          </cell>
          <cell r="D430">
            <v>0</v>
          </cell>
        </row>
        <row r="431">
          <cell r="C431" t="str">
            <v>Bambang Dwi Raharjo</v>
          </cell>
          <cell r="D431">
            <v>0</v>
          </cell>
        </row>
        <row r="432">
          <cell r="C432" t="str">
            <v>Herry Kurniawan</v>
          </cell>
          <cell r="D432">
            <v>0</v>
          </cell>
        </row>
        <row r="433">
          <cell r="C433" t="str">
            <v>Herry Kurniawan</v>
          </cell>
          <cell r="D433">
            <v>1</v>
          </cell>
        </row>
        <row r="434">
          <cell r="C434" t="str">
            <v>Herry Kurniawan</v>
          </cell>
          <cell r="D434">
            <v>1</v>
          </cell>
        </row>
        <row r="435">
          <cell r="C435" t="str">
            <v>Herry Kurniawan</v>
          </cell>
          <cell r="D435">
            <v>1</v>
          </cell>
        </row>
        <row r="436">
          <cell r="C436" t="str">
            <v>Herry Kurniawan</v>
          </cell>
          <cell r="D436">
            <v>1</v>
          </cell>
        </row>
        <row r="437">
          <cell r="C437" t="str">
            <v>Herry Kurniawan</v>
          </cell>
          <cell r="D437">
            <v>0</v>
          </cell>
        </row>
        <row r="438">
          <cell r="C438" t="str">
            <v>Richard Siburian</v>
          </cell>
          <cell r="D438">
            <v>1</v>
          </cell>
        </row>
        <row r="439">
          <cell r="C439" t="str">
            <v>Richard Siburian</v>
          </cell>
          <cell r="D439">
            <v>0</v>
          </cell>
        </row>
        <row r="440">
          <cell r="C440" t="str">
            <v>Richard Siburian</v>
          </cell>
          <cell r="D440">
            <v>0</v>
          </cell>
        </row>
        <row r="441">
          <cell r="C441" t="str">
            <v>Richard Siburian</v>
          </cell>
          <cell r="D441">
            <v>1</v>
          </cell>
        </row>
        <row r="442">
          <cell r="C442" t="str">
            <v>Richard Siburian</v>
          </cell>
          <cell r="D442">
            <v>1</v>
          </cell>
        </row>
        <row r="443">
          <cell r="C443" t="str">
            <v>Richard Siburian</v>
          </cell>
          <cell r="D443">
            <v>0</v>
          </cell>
        </row>
        <row r="444">
          <cell r="C444" t="str">
            <v>Zulkarnain</v>
          </cell>
          <cell r="D444">
            <v>0</v>
          </cell>
        </row>
        <row r="445">
          <cell r="C445" t="str">
            <v>Zulkarnain</v>
          </cell>
          <cell r="D445">
            <v>0</v>
          </cell>
        </row>
        <row r="446">
          <cell r="C446" t="str">
            <v>Zulkarnain</v>
          </cell>
          <cell r="D446">
            <v>0</v>
          </cell>
        </row>
        <row r="447">
          <cell r="C447" t="str">
            <v>Zulkarnain</v>
          </cell>
          <cell r="D447">
            <v>1</v>
          </cell>
        </row>
        <row r="448">
          <cell r="C448" t="str">
            <v>Zulkarnain</v>
          </cell>
          <cell r="D448">
            <v>1</v>
          </cell>
        </row>
        <row r="449">
          <cell r="C449" t="str">
            <v>Zulkarnain</v>
          </cell>
          <cell r="D449">
            <v>1</v>
          </cell>
        </row>
        <row r="450">
          <cell r="C450"/>
          <cell r="D450">
            <v>0</v>
          </cell>
        </row>
        <row r="451">
          <cell r="C451" t="str">
            <v>Hany Pratiwi</v>
          </cell>
          <cell r="D451">
            <v>0</v>
          </cell>
        </row>
        <row r="452">
          <cell r="C452" t="str">
            <v>Hany Pratiwi</v>
          </cell>
          <cell r="D452">
            <v>0</v>
          </cell>
        </row>
        <row r="453">
          <cell r="C453" t="str">
            <v>Hany Pratiwi</v>
          </cell>
          <cell r="D453">
            <v>0</v>
          </cell>
        </row>
        <row r="454">
          <cell r="C454" t="str">
            <v>Hany Pratiwi</v>
          </cell>
          <cell r="D454">
            <v>0</v>
          </cell>
        </row>
        <row r="455">
          <cell r="C455" t="str">
            <v>Hany Pratiwi</v>
          </cell>
          <cell r="D455">
            <v>1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0</v>
          </cell>
        </row>
        <row r="458">
          <cell r="C458" t="str">
            <v>Hany Pratiwi</v>
          </cell>
          <cell r="D458">
            <v>0</v>
          </cell>
        </row>
        <row r="459">
          <cell r="C459" t="str">
            <v>Hany Pratiwi</v>
          </cell>
          <cell r="D459">
            <v>0</v>
          </cell>
        </row>
        <row r="460">
          <cell r="C460" t="str">
            <v>Hany Pratiwi</v>
          </cell>
          <cell r="D460">
            <v>0</v>
          </cell>
        </row>
        <row r="461">
          <cell r="C461" t="str">
            <v>Hany Pratiwi</v>
          </cell>
          <cell r="D461">
            <v>0</v>
          </cell>
        </row>
        <row r="462">
          <cell r="C462" t="str">
            <v>Reifika Dekrin</v>
          </cell>
          <cell r="D462">
            <v>0</v>
          </cell>
        </row>
        <row r="463">
          <cell r="C463" t="str">
            <v>Reifika Dekrin</v>
          </cell>
          <cell r="D463">
            <v>0</v>
          </cell>
        </row>
        <row r="464">
          <cell r="C464" t="str">
            <v>Reifika Dekrin</v>
          </cell>
          <cell r="D464">
            <v>0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1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1</v>
          </cell>
        </row>
        <row r="470">
          <cell r="C470" t="str">
            <v>Reifika Dekrin</v>
          </cell>
          <cell r="D470">
            <v>0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0</v>
          </cell>
        </row>
      </sheetData>
      <sheetData sheetId="1"/>
      <sheetData sheetId="2"/>
      <sheetData sheetId="3"/>
      <sheetData sheetId="4">
        <row r="1">
          <cell r="B1" t="str">
            <v>Branch Office</v>
          </cell>
          <cell r="E1"/>
        </row>
        <row r="2">
          <cell r="B2"/>
          <cell r="E2" t="str">
            <v>% Total Pengkinian</v>
          </cell>
        </row>
        <row r="3">
          <cell r="B3" t="e">
            <v>#N/A</v>
          </cell>
          <cell r="E3">
            <v>1</v>
          </cell>
        </row>
        <row r="4">
          <cell r="B4" t="str">
            <v>KC Jambi</v>
          </cell>
          <cell r="E4">
            <v>1</v>
          </cell>
        </row>
        <row r="5">
          <cell r="B5" t="str">
            <v>KC Kayu Agung</v>
          </cell>
          <cell r="E5">
            <v>1</v>
          </cell>
        </row>
        <row r="6">
          <cell r="B6" t="str">
            <v>KC Lahat</v>
          </cell>
          <cell r="E6">
            <v>1</v>
          </cell>
        </row>
        <row r="7">
          <cell r="B7" t="str">
            <v>KC Palembang A. Rivai</v>
          </cell>
          <cell r="E7">
            <v>1</v>
          </cell>
        </row>
        <row r="8">
          <cell r="B8" t="str">
            <v>KC Pangkal Pinang</v>
          </cell>
          <cell r="E8">
            <v>1</v>
          </cell>
        </row>
        <row r="9">
          <cell r="B9" t="str">
            <v>KC Muara Enim</v>
          </cell>
          <cell r="E9">
            <v>1</v>
          </cell>
        </row>
        <row r="10">
          <cell r="B10" t="str">
            <v>KC Lubuk Linggau</v>
          </cell>
          <cell r="E10">
            <v>1</v>
          </cell>
        </row>
        <row r="11">
          <cell r="B11" t="str">
            <v>KC Tanjung Pandan</v>
          </cell>
          <cell r="E11">
            <v>1</v>
          </cell>
        </row>
        <row r="12">
          <cell r="B12" t="str">
            <v>KC Pagar Alam</v>
          </cell>
          <cell r="E12">
            <v>1</v>
          </cell>
        </row>
        <row r="13">
          <cell r="B13" t="str">
            <v>KC Muara Bungo</v>
          </cell>
          <cell r="E13">
            <v>1</v>
          </cell>
        </row>
        <row r="14">
          <cell r="B14" t="str">
            <v>KC Sekayu</v>
          </cell>
          <cell r="E14">
            <v>1</v>
          </cell>
        </row>
        <row r="15">
          <cell r="B15" t="str">
            <v>KC Kuala Tungkal</v>
          </cell>
          <cell r="E15">
            <v>1</v>
          </cell>
        </row>
        <row r="16">
          <cell r="B16" t="str">
            <v>KC Prabumulih</v>
          </cell>
          <cell r="E16">
            <v>1</v>
          </cell>
        </row>
        <row r="17">
          <cell r="B17" t="str">
            <v>KC Bangko</v>
          </cell>
          <cell r="E17">
            <v>1</v>
          </cell>
        </row>
        <row r="18">
          <cell r="B18" t="str">
            <v>KC Muara Bulian</v>
          </cell>
          <cell r="E18">
            <v>1</v>
          </cell>
        </row>
        <row r="19">
          <cell r="B19" t="str">
            <v>KC Sungai Liat</v>
          </cell>
          <cell r="E19">
            <v>1</v>
          </cell>
        </row>
        <row r="20">
          <cell r="B20" t="str">
            <v>KC Palembang Sriwijaya</v>
          </cell>
          <cell r="E20">
            <v>1</v>
          </cell>
        </row>
        <row r="21">
          <cell r="B21" t="str">
            <v>KC Sarolangun</v>
          </cell>
          <cell r="E21">
            <v>1</v>
          </cell>
        </row>
        <row r="22">
          <cell r="B22" t="str">
            <v>KC Abunjani Sipin</v>
          </cell>
          <cell r="E22">
            <v>1</v>
          </cell>
        </row>
        <row r="23">
          <cell r="B23" t="str">
            <v>KC Rimbo Bujang</v>
          </cell>
          <cell r="E23">
            <v>1</v>
          </cell>
        </row>
        <row r="24">
          <cell r="B24" t="str">
            <v>Total All Branch Office</v>
          </cell>
          <cell r="E24">
            <v>100</v>
          </cell>
        </row>
        <row r="25">
          <cell r="B25" t="str">
            <v>KC Jombang</v>
          </cell>
          <cell r="E25">
            <v>1</v>
          </cell>
        </row>
        <row r="26">
          <cell r="B26" t="str">
            <v>KC Liwa</v>
          </cell>
          <cell r="E26">
            <v>1</v>
          </cell>
        </row>
        <row r="27">
          <cell r="B27" t="str">
            <v>KC Bengkulu</v>
          </cell>
          <cell r="E27">
            <v>0.99980000000000002</v>
          </cell>
        </row>
        <row r="28">
          <cell r="B28" t="str">
            <v>KC Muko Muko</v>
          </cell>
          <cell r="E28">
            <v>0.99960000000000004</v>
          </cell>
        </row>
        <row r="29">
          <cell r="B29" t="str">
            <v>KC Tulang Bawang</v>
          </cell>
          <cell r="E29">
            <v>0.99909999999999999</v>
          </cell>
        </row>
        <row r="30">
          <cell r="B30" t="str">
            <v>KC Manna</v>
          </cell>
          <cell r="E30">
            <v>0.99580000000000002</v>
          </cell>
        </row>
        <row r="31">
          <cell r="B31" t="str">
            <v>KC Kalianda</v>
          </cell>
          <cell r="E31">
            <v>0.99429999999999996</v>
          </cell>
        </row>
        <row r="32">
          <cell r="B32" t="str">
            <v>KC Metro</v>
          </cell>
          <cell r="E32">
            <v>0.99119999999999997</v>
          </cell>
        </row>
        <row r="33">
          <cell r="B33" t="str">
            <v>KC Teluk Betung</v>
          </cell>
          <cell r="E33">
            <v>0.98089999999999999</v>
          </cell>
        </row>
        <row r="34">
          <cell r="B34" t="str">
            <v>KC Curup</v>
          </cell>
          <cell r="E34">
            <v>0.97230000000000005</v>
          </cell>
        </row>
        <row r="35">
          <cell r="B35" t="str">
            <v>KC Arga Makmur</v>
          </cell>
          <cell r="E35">
            <v>0.97150000000000003</v>
          </cell>
        </row>
        <row r="36">
          <cell r="B36" t="str">
            <v>KC Tanjung Karang</v>
          </cell>
          <cell r="E36">
            <v>0.96860000000000002</v>
          </cell>
        </row>
        <row r="37">
          <cell r="B37" t="str">
            <v>KC Kota Bumi</v>
          </cell>
          <cell r="E37">
            <v>0.96399999999999997</v>
          </cell>
        </row>
        <row r="38">
          <cell r="B38" t="str">
            <v>KC Pringsewu</v>
          </cell>
          <cell r="E38">
            <v>0.96389999999999998</v>
          </cell>
        </row>
        <row r="39">
          <cell r="B39" t="str">
            <v>KC Bandar Jaya</v>
          </cell>
          <cell r="E39">
            <v>0.9516</v>
          </cell>
        </row>
        <row r="40">
          <cell r="B40" t="str">
            <v>Total All Branch Office</v>
          </cell>
          <cell r="E40">
            <v>97.962649999999996</v>
          </cell>
        </row>
        <row r="41">
          <cell r="B41" t="str">
            <v>KC Cianjur</v>
          </cell>
          <cell r="E41">
            <v>1</v>
          </cell>
        </row>
        <row r="42">
          <cell r="B42" t="str">
            <v>KC Bandung A.H. Nasution</v>
          </cell>
          <cell r="E42">
            <v>1</v>
          </cell>
        </row>
        <row r="43">
          <cell r="B43" t="str">
            <v>KC Bandung Martadinata</v>
          </cell>
          <cell r="E43">
            <v>1</v>
          </cell>
        </row>
        <row r="44">
          <cell r="B44" t="str">
            <v>KC Majalengka</v>
          </cell>
          <cell r="E44">
            <v>0.99850000000000005</v>
          </cell>
        </row>
        <row r="45">
          <cell r="B45" t="str">
            <v>KC Bandung AA</v>
          </cell>
          <cell r="E45">
            <v>0.99680000000000002</v>
          </cell>
        </row>
        <row r="46">
          <cell r="B46" t="str">
            <v>KC Bandung Naripan</v>
          </cell>
          <cell r="E46">
            <v>0.99439999999999995</v>
          </cell>
        </row>
        <row r="47">
          <cell r="B47" t="str">
            <v>KC Bandung Dewi Sartika</v>
          </cell>
          <cell r="E47">
            <v>0.96719999999999995</v>
          </cell>
        </row>
        <row r="48">
          <cell r="B48" t="str">
            <v>KC Singaparna</v>
          </cell>
          <cell r="E48">
            <v>0.96109999999999995</v>
          </cell>
        </row>
        <row r="49">
          <cell r="B49" t="str">
            <v>KC Bandung Kopo</v>
          </cell>
          <cell r="E49">
            <v>0.96079999999999999</v>
          </cell>
        </row>
        <row r="50">
          <cell r="B50" t="str">
            <v>KC Cirebon Kartini</v>
          </cell>
          <cell r="E50">
            <v>0.94320000000000004</v>
          </cell>
        </row>
        <row r="51">
          <cell r="B51" t="str">
            <v>KC Bandung Sukarno Hatta</v>
          </cell>
          <cell r="E51">
            <v>0.92659999999999998</v>
          </cell>
        </row>
        <row r="52">
          <cell r="B52" t="str">
            <v>KC Cimahi</v>
          </cell>
          <cell r="E52">
            <v>0.9163</v>
          </cell>
        </row>
        <row r="53">
          <cell r="B53" t="str">
            <v>KC Garut</v>
          </cell>
          <cell r="E53">
            <v>0.90349999999999997</v>
          </cell>
        </row>
        <row r="54">
          <cell r="B54" t="str">
            <v>KC Ciamis</v>
          </cell>
          <cell r="E54">
            <v>0.90149999999999997</v>
          </cell>
        </row>
        <row r="55">
          <cell r="B55" t="str">
            <v>KC Cirebon Gunung Jati</v>
          </cell>
          <cell r="E55">
            <v>0.89990000000000003</v>
          </cell>
        </row>
        <row r="56">
          <cell r="B56" t="str">
            <v>KC Bandung Setiabudi</v>
          </cell>
          <cell r="E56">
            <v>0.88439999999999996</v>
          </cell>
        </row>
        <row r="57">
          <cell r="B57" t="str">
            <v>KC Sukabumi</v>
          </cell>
          <cell r="E57">
            <v>0.88400000000000001</v>
          </cell>
        </row>
        <row r="58">
          <cell r="B58" t="str">
            <v>KC Tasikmalaya</v>
          </cell>
          <cell r="E58">
            <v>0.88160000000000005</v>
          </cell>
        </row>
        <row r="59">
          <cell r="B59" t="str">
            <v>KC Soreang</v>
          </cell>
          <cell r="E59">
            <v>0.87539999999999996</v>
          </cell>
        </row>
        <row r="60">
          <cell r="B60" t="str">
            <v>KC Majalaya</v>
          </cell>
          <cell r="E60">
            <v>0.87460000000000004</v>
          </cell>
        </row>
        <row r="61">
          <cell r="B61" t="str">
            <v>KC Bandung Dago</v>
          </cell>
          <cell r="E61">
            <v>0.87270000000000003</v>
          </cell>
        </row>
        <row r="62">
          <cell r="B62" t="str">
            <v>KC Sumedang</v>
          </cell>
          <cell r="E62">
            <v>0.87060000000000004</v>
          </cell>
        </row>
        <row r="63">
          <cell r="B63" t="str">
            <v>KC Purwakarta</v>
          </cell>
          <cell r="E63">
            <v>0.86119999999999997</v>
          </cell>
        </row>
        <row r="64">
          <cell r="B64" t="str">
            <v>KC Indramayu</v>
          </cell>
          <cell r="E64">
            <v>0.85770000000000002</v>
          </cell>
        </row>
        <row r="65">
          <cell r="B65" t="str">
            <v>KC Cibadak</v>
          </cell>
          <cell r="E65">
            <v>0.84789999999999999</v>
          </cell>
        </row>
        <row r="66">
          <cell r="B66" t="str">
            <v>KC Pamanukan</v>
          </cell>
          <cell r="E66">
            <v>0.8478</v>
          </cell>
        </row>
        <row r="67">
          <cell r="B67" t="str">
            <v>KC Banjar</v>
          </cell>
          <cell r="E67">
            <v>0.84330000000000005</v>
          </cell>
        </row>
        <row r="68">
          <cell r="B68" t="str">
            <v>KC Jatibarang</v>
          </cell>
          <cell r="E68">
            <v>0.83760000000000001</v>
          </cell>
        </row>
        <row r="69">
          <cell r="B69" t="str">
            <v>KC Kuningan</v>
          </cell>
          <cell r="E69">
            <v>0.82079999999999997</v>
          </cell>
        </row>
        <row r="70">
          <cell r="B70" t="str">
            <v>KC Subang</v>
          </cell>
          <cell r="E70">
            <v>0.76990000000000003</v>
          </cell>
        </row>
        <row r="71">
          <cell r="B71" t="str">
            <v>KANWIL Bandung</v>
          </cell>
          <cell r="E71">
            <v>0.151</v>
          </cell>
        </row>
        <row r="72">
          <cell r="B72" t="str">
            <v>Total All Branch Office</v>
          </cell>
          <cell r="E72">
            <v>90.072730000000007</v>
          </cell>
        </row>
        <row r="73">
          <cell r="B73"/>
          <cell r="E73" t="str">
            <v>% Total Pengkinian</v>
          </cell>
        </row>
        <row r="74">
          <cell r="B74" t="str">
            <v>KC Banjarmasin</v>
          </cell>
          <cell r="E74">
            <v>1</v>
          </cell>
        </row>
        <row r="75">
          <cell r="B75" t="str">
            <v>KC Kandangan</v>
          </cell>
          <cell r="E75">
            <v>1</v>
          </cell>
        </row>
        <row r="76">
          <cell r="B76" t="str">
            <v>KC Pontianak</v>
          </cell>
          <cell r="E76">
            <v>1</v>
          </cell>
        </row>
        <row r="77">
          <cell r="B77" t="str">
            <v>KC SAMARINDA GAJAH MADA</v>
          </cell>
          <cell r="E77">
            <v>1</v>
          </cell>
        </row>
        <row r="78">
          <cell r="B78" t="str">
            <v>KC Balikpapan</v>
          </cell>
          <cell r="E78">
            <v>1</v>
          </cell>
        </row>
        <row r="79">
          <cell r="B79" t="str">
            <v>KC Kotabaru</v>
          </cell>
          <cell r="E79">
            <v>1</v>
          </cell>
        </row>
        <row r="80">
          <cell r="B80" t="str">
            <v>KC Barabai</v>
          </cell>
          <cell r="E80">
            <v>1</v>
          </cell>
        </row>
        <row r="81">
          <cell r="B81" t="str">
            <v>KC Sampit</v>
          </cell>
          <cell r="E81">
            <v>1</v>
          </cell>
        </row>
        <row r="82">
          <cell r="B82" t="str">
            <v>KC Kuala Kapuas</v>
          </cell>
          <cell r="E82">
            <v>1</v>
          </cell>
        </row>
        <row r="83">
          <cell r="B83" t="str">
            <v>KC Mempawah</v>
          </cell>
          <cell r="E83">
            <v>1</v>
          </cell>
        </row>
        <row r="84">
          <cell r="B84" t="str">
            <v>KC Rantau</v>
          </cell>
          <cell r="E84">
            <v>1</v>
          </cell>
        </row>
        <row r="85">
          <cell r="B85" t="str">
            <v>KC Tanah Grogot</v>
          </cell>
          <cell r="E85">
            <v>1</v>
          </cell>
        </row>
        <row r="86">
          <cell r="B86" t="str">
            <v>KC Bontang</v>
          </cell>
          <cell r="E86">
            <v>1</v>
          </cell>
        </row>
        <row r="87">
          <cell r="B87" t="str">
            <v>KC SAMARINDA PELITA</v>
          </cell>
          <cell r="E87">
            <v>1</v>
          </cell>
        </row>
        <row r="88">
          <cell r="B88" t="str">
            <v>KC Sangatta</v>
          </cell>
          <cell r="E88">
            <v>1</v>
          </cell>
        </row>
        <row r="89">
          <cell r="B89" t="str">
            <v>KC Banjarmasin 2</v>
          </cell>
          <cell r="E89">
            <v>1</v>
          </cell>
        </row>
        <row r="90">
          <cell r="B90" t="str">
            <v>KC Balikpapan A. Yani</v>
          </cell>
          <cell r="E90">
            <v>1</v>
          </cell>
        </row>
        <row r="91">
          <cell r="B91" t="str">
            <v>KC Muara Teweh</v>
          </cell>
          <cell r="E91">
            <v>0.99980000000000002</v>
          </cell>
        </row>
        <row r="92">
          <cell r="B92" t="str">
            <v>KC Tarakan</v>
          </cell>
          <cell r="E92">
            <v>0.99970000000000003</v>
          </cell>
        </row>
        <row r="93">
          <cell r="B93" t="str">
            <v>KC Putussibau</v>
          </cell>
          <cell r="E93">
            <v>0.99960000000000004</v>
          </cell>
        </row>
        <row r="94">
          <cell r="B94" t="str">
            <v>KC Nunukan</v>
          </cell>
          <cell r="E94">
            <v>0.99950000000000006</v>
          </cell>
        </row>
        <row r="95">
          <cell r="B95" t="str">
            <v>KC Amuntai</v>
          </cell>
          <cell r="E95">
            <v>0.99919999999999998</v>
          </cell>
        </row>
        <row r="96">
          <cell r="B96" t="str">
            <v>KC Martapura</v>
          </cell>
          <cell r="E96">
            <v>0.99890000000000001</v>
          </cell>
        </row>
        <row r="97">
          <cell r="B97" t="str">
            <v>KC Pangkalan Bun</v>
          </cell>
          <cell r="E97">
            <v>0.99780000000000002</v>
          </cell>
        </row>
        <row r="98">
          <cell r="B98" t="str">
            <v>KC Pontianak Gajah Mada</v>
          </cell>
          <cell r="E98">
            <v>0.996</v>
          </cell>
        </row>
        <row r="99">
          <cell r="B99" t="str">
            <v>KC Tanjung Redeb</v>
          </cell>
          <cell r="E99">
            <v>0.99450000000000005</v>
          </cell>
        </row>
        <row r="100">
          <cell r="B100" t="str">
            <v>KC Pleihari</v>
          </cell>
          <cell r="E100">
            <v>0.99119999999999997</v>
          </cell>
        </row>
        <row r="101">
          <cell r="B101" t="str">
            <v>KC Sendawar</v>
          </cell>
          <cell r="E101">
            <v>0.98919999999999997</v>
          </cell>
        </row>
        <row r="102">
          <cell r="B102" t="str">
            <v>KC Tanjung Selor</v>
          </cell>
          <cell r="E102">
            <v>0.98619999999999997</v>
          </cell>
        </row>
        <row r="103">
          <cell r="B103" t="str">
            <v>KC Tanjung Tabalong</v>
          </cell>
          <cell r="E103">
            <v>0.98460000000000003</v>
          </cell>
        </row>
        <row r="104">
          <cell r="B104" t="str">
            <v>KC Sintang</v>
          </cell>
          <cell r="E104">
            <v>0.98250000000000004</v>
          </cell>
        </row>
        <row r="105">
          <cell r="B105" t="str">
            <v>KC Ketapang</v>
          </cell>
          <cell r="E105">
            <v>0.98140000000000005</v>
          </cell>
        </row>
        <row r="106">
          <cell r="B106" t="str">
            <v>KC Melawi</v>
          </cell>
          <cell r="E106">
            <v>0.97829999999999995</v>
          </cell>
        </row>
        <row r="107">
          <cell r="B107" t="str">
            <v>KC Batulicin</v>
          </cell>
          <cell r="E107">
            <v>0.97740000000000005</v>
          </cell>
        </row>
        <row r="108">
          <cell r="B108" t="str">
            <v>KC Singkawang</v>
          </cell>
          <cell r="E108">
            <v>0.97309999999999997</v>
          </cell>
        </row>
        <row r="109">
          <cell r="B109" t="str">
            <v>KC Tenggarong</v>
          </cell>
          <cell r="E109">
            <v>0.97109999999999996</v>
          </cell>
        </row>
        <row r="110">
          <cell r="B110" t="str">
            <v>KC Sanggau</v>
          </cell>
          <cell r="E110">
            <v>0.9607</v>
          </cell>
        </row>
        <row r="111">
          <cell r="B111" t="str">
            <v>KC Marabahan</v>
          </cell>
          <cell r="E111">
            <v>0.95020000000000004</v>
          </cell>
        </row>
        <row r="112">
          <cell r="B112" t="str">
            <v>KC Palangkaraya</v>
          </cell>
          <cell r="E112">
            <v>0.93969999999999998</v>
          </cell>
        </row>
        <row r="113">
          <cell r="B113" t="str">
            <v>KC Buntok</v>
          </cell>
          <cell r="E113">
            <v>0.91</v>
          </cell>
        </row>
        <row r="114">
          <cell r="B114" t="str">
            <v>Total All Branch Office</v>
          </cell>
          <cell r="E114">
            <v>98.483680000000007</v>
          </cell>
        </row>
        <row r="115">
          <cell r="B115"/>
          <cell r="E115" t="str">
            <v>% Total Pengkinian</v>
          </cell>
        </row>
        <row r="116">
          <cell r="B116" t="e">
            <v>#N/A</v>
          </cell>
          <cell r="E116">
            <v>1</v>
          </cell>
        </row>
        <row r="117">
          <cell r="B117" t="str">
            <v>KC Tabanan Kediri</v>
          </cell>
          <cell r="E117">
            <v>1</v>
          </cell>
        </row>
        <row r="118">
          <cell r="B118" t="str">
            <v>KC Ruteng</v>
          </cell>
          <cell r="E118">
            <v>0.99629999999999996</v>
          </cell>
        </row>
        <row r="119">
          <cell r="B119" t="str">
            <v>KC Bangli</v>
          </cell>
          <cell r="E119">
            <v>0.95420000000000005</v>
          </cell>
        </row>
        <row r="120">
          <cell r="B120" t="str">
            <v>KC Denpasar Gajah Mada</v>
          </cell>
          <cell r="E120">
            <v>0.90349999999999997</v>
          </cell>
        </row>
        <row r="121">
          <cell r="B121" t="str">
            <v>KC Maumere</v>
          </cell>
          <cell r="E121">
            <v>0.90100000000000002</v>
          </cell>
        </row>
        <row r="122">
          <cell r="B122" t="str">
            <v>KC Kefamenanu</v>
          </cell>
          <cell r="E122">
            <v>0.89680000000000004</v>
          </cell>
        </row>
        <row r="123">
          <cell r="B123" t="str">
            <v>KC Denpasar Ubud</v>
          </cell>
          <cell r="E123">
            <v>0.89019999999999999</v>
          </cell>
        </row>
        <row r="124">
          <cell r="B124" t="str">
            <v>KC Kuta</v>
          </cell>
          <cell r="E124">
            <v>0.8871</v>
          </cell>
        </row>
        <row r="125">
          <cell r="B125" t="str">
            <v>KC Semarapura</v>
          </cell>
          <cell r="E125">
            <v>0.87649999999999995</v>
          </cell>
        </row>
        <row r="126">
          <cell r="B126" t="str">
            <v>KC Soe</v>
          </cell>
          <cell r="E126">
            <v>0.8599</v>
          </cell>
        </row>
        <row r="127">
          <cell r="B127" t="str">
            <v>KC Waingapu</v>
          </cell>
          <cell r="E127">
            <v>0.85070000000000001</v>
          </cell>
        </row>
        <row r="128">
          <cell r="B128" t="str">
            <v>KC Gianyar</v>
          </cell>
          <cell r="E128">
            <v>0.83599999999999997</v>
          </cell>
        </row>
        <row r="129">
          <cell r="B129" t="str">
            <v>KC Mataram</v>
          </cell>
          <cell r="E129">
            <v>0.83340000000000003</v>
          </cell>
        </row>
        <row r="130">
          <cell r="B130" t="str">
            <v>KC Kalabahi</v>
          </cell>
          <cell r="E130">
            <v>0.82799999999999996</v>
          </cell>
        </row>
        <row r="131">
          <cell r="B131" t="str">
            <v>KC Negara</v>
          </cell>
          <cell r="E131">
            <v>0.81769999999999998</v>
          </cell>
        </row>
        <row r="132">
          <cell r="B132" t="str">
            <v>KC Singaraja</v>
          </cell>
          <cell r="E132">
            <v>0.81040000000000001</v>
          </cell>
        </row>
        <row r="133">
          <cell r="B133" t="str">
            <v>KC Tabanan</v>
          </cell>
          <cell r="E133">
            <v>0.80920000000000003</v>
          </cell>
        </row>
        <row r="134">
          <cell r="B134" t="str">
            <v>KC Bajawa</v>
          </cell>
          <cell r="E134">
            <v>0.8075</v>
          </cell>
        </row>
        <row r="135">
          <cell r="B135" t="str">
            <v>KC Raba Bima</v>
          </cell>
          <cell r="E135">
            <v>0.80220000000000002</v>
          </cell>
        </row>
        <row r="136">
          <cell r="B136" t="str">
            <v>KC Waikabubak</v>
          </cell>
          <cell r="E136">
            <v>0.79800000000000004</v>
          </cell>
        </row>
        <row r="137">
          <cell r="B137" t="str">
            <v>KC Denpasar Renon</v>
          </cell>
          <cell r="E137">
            <v>0.79720000000000002</v>
          </cell>
        </row>
        <row r="138">
          <cell r="B138" t="str">
            <v>KC Larantuka</v>
          </cell>
          <cell r="E138">
            <v>0.79490000000000005</v>
          </cell>
        </row>
        <row r="139">
          <cell r="B139" t="str">
            <v>KC Sumbawa Besar</v>
          </cell>
          <cell r="E139">
            <v>0.79239999999999999</v>
          </cell>
        </row>
        <row r="140">
          <cell r="B140" t="str">
            <v>KC Denpasar Gatot Subroto</v>
          </cell>
          <cell r="E140">
            <v>0.7923</v>
          </cell>
        </row>
        <row r="141">
          <cell r="B141" t="str">
            <v>KC Dompu</v>
          </cell>
          <cell r="E141">
            <v>0.78359999999999996</v>
          </cell>
        </row>
        <row r="142">
          <cell r="B142" t="str">
            <v>KC Selong</v>
          </cell>
          <cell r="E142">
            <v>0.78169999999999995</v>
          </cell>
        </row>
        <row r="143">
          <cell r="B143" t="str">
            <v>KC Praya</v>
          </cell>
          <cell r="E143">
            <v>0.7792</v>
          </cell>
        </row>
        <row r="144">
          <cell r="B144" t="str">
            <v>KC Atambua</v>
          </cell>
          <cell r="E144">
            <v>0.77839999999999998</v>
          </cell>
        </row>
        <row r="145">
          <cell r="B145" t="str">
            <v>KC Amlapura</v>
          </cell>
          <cell r="E145">
            <v>0.77600000000000002</v>
          </cell>
        </row>
        <row r="146">
          <cell r="B146" t="str">
            <v>KC Ende</v>
          </cell>
          <cell r="E146">
            <v>0.77129999999999999</v>
          </cell>
        </row>
        <row r="147">
          <cell r="B147" t="str">
            <v>KC Kupang</v>
          </cell>
          <cell r="E147">
            <v>0.77080000000000004</v>
          </cell>
        </row>
        <row r="148">
          <cell r="B148" t="str">
            <v>KC LABUAN BAJO</v>
          </cell>
          <cell r="E148">
            <v>0.72189999999999999</v>
          </cell>
        </row>
        <row r="149">
          <cell r="B149" t="str">
            <v>Total All Branch Office</v>
          </cell>
          <cell r="E149">
            <v>82.298609999999996</v>
          </cell>
        </row>
        <row r="150">
          <cell r="B150" t="str">
            <v>KC Jakarta Artha Gading</v>
          </cell>
          <cell r="E150">
            <v>1</v>
          </cell>
        </row>
        <row r="151">
          <cell r="B151" t="str">
            <v>KC Jakarta Gading Boulevard</v>
          </cell>
          <cell r="E151">
            <v>0.99960000000000004</v>
          </cell>
        </row>
        <row r="152">
          <cell r="B152" t="str">
            <v>KC Jakarta Kelapa Gading</v>
          </cell>
          <cell r="E152">
            <v>0.99939999999999996</v>
          </cell>
        </row>
        <row r="153">
          <cell r="B153" t="str">
            <v>KC Jakarta Pantai Indah Kapuk</v>
          </cell>
          <cell r="E153">
            <v>0.99939999999999996</v>
          </cell>
        </row>
        <row r="154">
          <cell r="B154" t="str">
            <v>KC Jakarta Kramat</v>
          </cell>
          <cell r="E154">
            <v>0.99780000000000002</v>
          </cell>
        </row>
        <row r="155">
          <cell r="B155" t="str">
            <v>KC Jakarta Jatinegara</v>
          </cell>
          <cell r="E155">
            <v>0.99709999999999999</v>
          </cell>
        </row>
        <row r="156">
          <cell r="B156" t="str">
            <v>KC Jakarta Sunter</v>
          </cell>
          <cell r="E156">
            <v>0.99650000000000005</v>
          </cell>
        </row>
        <row r="157">
          <cell r="B157" t="str">
            <v>KC JAKARTA KEMAYORAN</v>
          </cell>
          <cell r="E157">
            <v>0.99639999999999995</v>
          </cell>
        </row>
        <row r="158">
          <cell r="B158" t="str">
            <v>KC Jakarta Gunung Sahari</v>
          </cell>
          <cell r="E158">
            <v>0.996</v>
          </cell>
        </row>
        <row r="159">
          <cell r="B159" t="str">
            <v>KC Jakarta Tanjung Priok</v>
          </cell>
          <cell r="E159">
            <v>0.99450000000000005</v>
          </cell>
        </row>
        <row r="160">
          <cell r="B160" t="str">
            <v>KC Jakarta Tanah Abang</v>
          </cell>
          <cell r="E160">
            <v>0.99270000000000003</v>
          </cell>
        </row>
        <row r="161">
          <cell r="B161" t="str">
            <v>KC Jakarta Segitiga Senen</v>
          </cell>
          <cell r="E161">
            <v>0.99170000000000003</v>
          </cell>
        </row>
        <row r="162">
          <cell r="B162" t="str">
            <v>KC JAKARTA KALIMALANG</v>
          </cell>
          <cell r="E162">
            <v>0.9889</v>
          </cell>
        </row>
        <row r="163">
          <cell r="B163" t="str">
            <v>KC JAKARTA ROXI</v>
          </cell>
          <cell r="E163">
            <v>0.98299999999999998</v>
          </cell>
        </row>
        <row r="164">
          <cell r="B164" t="str">
            <v>KC Jakarta Kramat Jati</v>
          </cell>
          <cell r="E164">
            <v>0.97750000000000004</v>
          </cell>
        </row>
        <row r="165">
          <cell r="B165" t="str">
            <v>KC Jakarta Veteran</v>
          </cell>
          <cell r="E165">
            <v>0.97529999999999994</v>
          </cell>
        </row>
        <row r="166">
          <cell r="B166" t="str">
            <v>KC Jakarta Cempaka Mas</v>
          </cell>
          <cell r="E166">
            <v>0.96919999999999995</v>
          </cell>
        </row>
        <row r="167">
          <cell r="B167" t="str">
            <v>KC Jakarta Mangga Dua</v>
          </cell>
          <cell r="E167">
            <v>0.96850000000000003</v>
          </cell>
        </row>
        <row r="168">
          <cell r="B168" t="str">
            <v>KC JAKARTA RAWAMANGUN</v>
          </cell>
          <cell r="E168">
            <v>0.96819999999999995</v>
          </cell>
        </row>
        <row r="169">
          <cell r="B169" t="str">
            <v>KC Jakarta Cut Mutiah</v>
          </cell>
          <cell r="E169">
            <v>0.96779999999999999</v>
          </cell>
        </row>
        <row r="170">
          <cell r="B170" t="str">
            <v>KC SUDIRMAN SEMANGGI</v>
          </cell>
          <cell r="E170">
            <v>0.9637</v>
          </cell>
        </row>
        <row r="171">
          <cell r="B171" t="str">
            <v>KC Jakarta Pluit</v>
          </cell>
          <cell r="E171">
            <v>0.96089999999999998</v>
          </cell>
        </row>
        <row r="172">
          <cell r="B172" t="str">
            <v>KC JAKARTA OTISTA</v>
          </cell>
          <cell r="E172">
            <v>0.9446</v>
          </cell>
        </row>
        <row r="173">
          <cell r="B173" t="str">
            <v>KC Jakarta Krekot</v>
          </cell>
          <cell r="E173">
            <v>0.88319999999999999</v>
          </cell>
        </row>
        <row r="174">
          <cell r="B174" t="str">
            <v>KANWIL DKI Jakarta</v>
          </cell>
          <cell r="E174">
            <v>0</v>
          </cell>
        </row>
        <row r="175">
          <cell r="B175" t="str">
            <v>Total All Branch Office</v>
          </cell>
          <cell r="E175">
            <v>97.616050000000001</v>
          </cell>
        </row>
        <row r="176">
          <cell r="B176"/>
          <cell r="E176" t="str">
            <v>% Total Pengkinian</v>
          </cell>
        </row>
        <row r="177">
          <cell r="B177" t="str">
            <v>KC Jakarta Pondok Indah</v>
          </cell>
          <cell r="E177">
            <v>1</v>
          </cell>
        </row>
        <row r="178">
          <cell r="B178" t="str">
            <v>KC Jakarta Sudirman 1</v>
          </cell>
          <cell r="E178">
            <v>1</v>
          </cell>
        </row>
        <row r="179">
          <cell r="B179" t="str">
            <v>KC Jakarta Rasuna Said</v>
          </cell>
          <cell r="E179">
            <v>1</v>
          </cell>
        </row>
        <row r="180">
          <cell r="B180" t="str">
            <v>KC Cibubur</v>
          </cell>
          <cell r="E180">
            <v>1</v>
          </cell>
        </row>
        <row r="181">
          <cell r="B181" t="str">
            <v>KC Pondok Gede</v>
          </cell>
          <cell r="E181">
            <v>1</v>
          </cell>
        </row>
        <row r="182">
          <cell r="B182" t="str">
            <v>KC Bogor Pajajaran</v>
          </cell>
          <cell r="E182">
            <v>1</v>
          </cell>
        </row>
        <row r="183">
          <cell r="B183" t="str">
            <v>KC Jakarta Pancoran</v>
          </cell>
          <cell r="E183">
            <v>1</v>
          </cell>
        </row>
        <row r="184">
          <cell r="B184" t="str">
            <v>KC Jakarta Panglima Polim</v>
          </cell>
          <cell r="E184">
            <v>1</v>
          </cell>
        </row>
        <row r="185">
          <cell r="B185" t="str">
            <v>KC Cibinong</v>
          </cell>
          <cell r="E185">
            <v>1</v>
          </cell>
        </row>
        <row r="186">
          <cell r="B186" t="str">
            <v>KC Cimanggis</v>
          </cell>
          <cell r="E186">
            <v>1</v>
          </cell>
        </row>
        <row r="187">
          <cell r="B187" t="str">
            <v>KC BEKASI SILIWANGI</v>
          </cell>
          <cell r="E187">
            <v>1</v>
          </cell>
        </row>
        <row r="188">
          <cell r="B188" t="str">
            <v>KC Bekasi Harapan Indah</v>
          </cell>
          <cell r="E188">
            <v>1</v>
          </cell>
        </row>
        <row r="189">
          <cell r="B189" t="str">
            <v>KC Ampera</v>
          </cell>
          <cell r="E189">
            <v>1</v>
          </cell>
        </row>
        <row r="190">
          <cell r="B190" t="str">
            <v>KC BRI Jakarta Menara Brilian</v>
          </cell>
          <cell r="E190">
            <v>1</v>
          </cell>
        </row>
        <row r="191">
          <cell r="B191" t="str">
            <v>KC LEBAK BULUS</v>
          </cell>
          <cell r="E191">
            <v>1</v>
          </cell>
        </row>
        <row r="192">
          <cell r="B192" t="str">
            <v>KC Jakarta Radio Dalam</v>
          </cell>
          <cell r="E192">
            <v>1</v>
          </cell>
        </row>
        <row r="193">
          <cell r="B193" t="str">
            <v>KC Jakarta TB Simatupang</v>
          </cell>
          <cell r="E193">
            <v>1</v>
          </cell>
        </row>
        <row r="194">
          <cell r="B194" t="str">
            <v>KC Tambun</v>
          </cell>
          <cell r="E194">
            <v>1</v>
          </cell>
        </row>
        <row r="195">
          <cell r="B195" t="str">
            <v>KC Depok</v>
          </cell>
          <cell r="E195">
            <v>1</v>
          </cell>
        </row>
        <row r="196">
          <cell r="B196" t="str">
            <v>KC BURSA EFEK INDONESIA</v>
          </cell>
          <cell r="E196">
            <v>1</v>
          </cell>
        </row>
        <row r="197">
          <cell r="B197" t="str">
            <v>KC JAKARTA MEGA KUNINGAN</v>
          </cell>
          <cell r="E197">
            <v>1</v>
          </cell>
        </row>
        <row r="198">
          <cell r="B198" t="str">
            <v>KC Mabes TNI Cilangkap</v>
          </cell>
          <cell r="E198">
            <v>1</v>
          </cell>
        </row>
        <row r="199">
          <cell r="B199" t="str">
            <v>KC Bogor</v>
          </cell>
          <cell r="E199">
            <v>1</v>
          </cell>
        </row>
        <row r="200">
          <cell r="B200" t="str">
            <v>KC Karawang</v>
          </cell>
          <cell r="E200">
            <v>1</v>
          </cell>
        </row>
        <row r="201">
          <cell r="B201" t="str">
            <v>KC Bekasi</v>
          </cell>
          <cell r="E201">
            <v>1</v>
          </cell>
        </row>
        <row r="202">
          <cell r="B202" t="str">
            <v>KC Jakarta Kebayoran Baru</v>
          </cell>
          <cell r="E202">
            <v>1</v>
          </cell>
        </row>
        <row r="203">
          <cell r="B203" t="str">
            <v>KC Cikampek</v>
          </cell>
          <cell r="E203">
            <v>1</v>
          </cell>
        </row>
        <row r="204">
          <cell r="B204" t="str">
            <v>KANWIL JAKARTA 2</v>
          </cell>
          <cell r="E204">
            <v>1</v>
          </cell>
        </row>
        <row r="205">
          <cell r="B205" t="str">
            <v>KC Cikarang</v>
          </cell>
          <cell r="E205">
            <v>1</v>
          </cell>
        </row>
        <row r="206">
          <cell r="B206" t="str">
            <v>KC Jakarta Fatmawati</v>
          </cell>
          <cell r="E206">
            <v>1</v>
          </cell>
        </row>
        <row r="207">
          <cell r="B207" t="str">
            <v>KC Jakarta Pasar Minggu</v>
          </cell>
          <cell r="E207">
            <v>1</v>
          </cell>
        </row>
        <row r="208">
          <cell r="B208" t="str">
            <v>KC Jakarta Warung Buncit</v>
          </cell>
          <cell r="E208">
            <v>1</v>
          </cell>
        </row>
        <row r="209">
          <cell r="B209" t="str">
            <v>KC Jakarta Gatot Subroto</v>
          </cell>
          <cell r="E209">
            <v>0.99970000000000003</v>
          </cell>
        </row>
        <row r="210">
          <cell r="B210" t="str">
            <v>Total All Branch Office</v>
          </cell>
          <cell r="E210">
            <v>99.999639999999999</v>
          </cell>
        </row>
        <row r="211">
          <cell r="B211" t="str">
            <v>KC Bintaro</v>
          </cell>
          <cell r="E211">
            <v>1</v>
          </cell>
        </row>
        <row r="212">
          <cell r="B212" t="str">
            <v>KC Jakarta Puri Niaga</v>
          </cell>
          <cell r="E212">
            <v>0.99539999999999995</v>
          </cell>
        </row>
        <row r="213">
          <cell r="B213" t="str">
            <v>KC Jakarta Daan Mogot</v>
          </cell>
          <cell r="E213">
            <v>0.97729999999999995</v>
          </cell>
        </row>
        <row r="214">
          <cell r="B214" t="str">
            <v>KC Jakarta Kalideres</v>
          </cell>
          <cell r="E214">
            <v>0.97150000000000003</v>
          </cell>
        </row>
        <row r="215">
          <cell r="B215" t="str">
            <v>KC Jakarta Tanjung Duren</v>
          </cell>
          <cell r="E215">
            <v>0.96889999999999998</v>
          </cell>
        </row>
        <row r="216">
          <cell r="B216" t="str">
            <v>KC Jakarta S Parman</v>
          </cell>
          <cell r="E216">
            <v>0.94240000000000002</v>
          </cell>
        </row>
        <row r="217">
          <cell r="B217" t="str">
            <v>KC Serang</v>
          </cell>
          <cell r="E217">
            <v>0.92920000000000003</v>
          </cell>
        </row>
        <row r="218">
          <cell r="B218" t="str">
            <v>KC Jakarta Jelambar</v>
          </cell>
          <cell r="E218">
            <v>0.92490000000000006</v>
          </cell>
        </row>
        <row r="219">
          <cell r="B219" t="str">
            <v>KC Labuan</v>
          </cell>
          <cell r="E219">
            <v>0.90100000000000002</v>
          </cell>
        </row>
        <row r="220">
          <cell r="B220" t="str">
            <v>KC Jakarta Hayam Wuruk</v>
          </cell>
          <cell r="E220">
            <v>0.89349999999999996</v>
          </cell>
        </row>
        <row r="221">
          <cell r="B221" t="str">
            <v>KANWIL JAKARTA 3</v>
          </cell>
          <cell r="E221">
            <v>0.88880000000000003</v>
          </cell>
        </row>
        <row r="222">
          <cell r="B222" t="str">
            <v>KC Jakarta Joglo</v>
          </cell>
          <cell r="E222">
            <v>0.8831</v>
          </cell>
        </row>
        <row r="223">
          <cell r="B223" t="str">
            <v>KC Bandara Soekarno Hatta</v>
          </cell>
          <cell r="E223">
            <v>0.88300000000000001</v>
          </cell>
        </row>
        <row r="224">
          <cell r="B224" t="str">
            <v>KC Pamulang</v>
          </cell>
          <cell r="E224">
            <v>0.87849999999999995</v>
          </cell>
        </row>
        <row r="225">
          <cell r="B225" t="str">
            <v>KC Jakarta Palmerah</v>
          </cell>
          <cell r="E225">
            <v>0.85740000000000005</v>
          </cell>
        </row>
        <row r="226">
          <cell r="B226" t="str">
            <v>KC Rangkasbitung</v>
          </cell>
          <cell r="E226">
            <v>0.85429999999999995</v>
          </cell>
        </row>
        <row r="227">
          <cell r="B227" t="str">
            <v>KC Ciputat</v>
          </cell>
          <cell r="E227">
            <v>0.84870000000000001</v>
          </cell>
        </row>
        <row r="228">
          <cell r="B228" t="str">
            <v>KC Gading Serpong</v>
          </cell>
          <cell r="E228">
            <v>0.84379999999999999</v>
          </cell>
        </row>
        <row r="229">
          <cell r="B229" t="str">
            <v>KC Bumi Serpong Damai</v>
          </cell>
          <cell r="E229">
            <v>0.82230000000000003</v>
          </cell>
        </row>
        <row r="230">
          <cell r="B230" t="str">
            <v>KC Tangerang City</v>
          </cell>
          <cell r="E230">
            <v>0.82189999999999996</v>
          </cell>
        </row>
        <row r="231">
          <cell r="B231" t="str">
            <v>KC Jakarta Tangerang</v>
          </cell>
          <cell r="E231">
            <v>0.82030000000000003</v>
          </cell>
        </row>
        <row r="232">
          <cell r="B232" t="str">
            <v>KC Balaraja</v>
          </cell>
          <cell r="E232">
            <v>0.8165</v>
          </cell>
        </row>
        <row r="233">
          <cell r="B233" t="str">
            <v>KC Jakarta Kebon Jeruk</v>
          </cell>
          <cell r="E233">
            <v>0.81630000000000003</v>
          </cell>
        </row>
        <row r="234">
          <cell r="B234" t="str">
            <v>KC Cilegon</v>
          </cell>
          <cell r="E234">
            <v>0.80669999999999997</v>
          </cell>
        </row>
        <row r="235">
          <cell r="B235" t="str">
            <v>KC JAKARTA KOTA</v>
          </cell>
          <cell r="E235">
            <v>0.80300000000000005</v>
          </cell>
        </row>
        <row r="236">
          <cell r="B236" t="str">
            <v>KC Tangerang Merdeka</v>
          </cell>
          <cell r="E236">
            <v>0.79479999999999995</v>
          </cell>
        </row>
        <row r="237">
          <cell r="B237" t="str">
            <v>KC Pandeglang</v>
          </cell>
          <cell r="E237">
            <v>0.75580000000000003</v>
          </cell>
        </row>
        <row r="238">
          <cell r="B238" t="str">
            <v>Total All Branch Office</v>
          </cell>
          <cell r="E238">
            <v>87.780649999999994</v>
          </cell>
        </row>
        <row r="239">
          <cell r="B239" t="str">
            <v>KC Serui</v>
          </cell>
          <cell r="E239">
            <v>1</v>
          </cell>
        </row>
        <row r="240">
          <cell r="B240" t="str">
            <v>KC Wamena</v>
          </cell>
          <cell r="E240">
            <v>1</v>
          </cell>
        </row>
        <row r="241">
          <cell r="B241" t="str">
            <v>KC Abepura</v>
          </cell>
          <cell r="E241">
            <v>1</v>
          </cell>
        </row>
        <row r="242">
          <cell r="B242" t="str">
            <v>KANWIL JAYAPURA</v>
          </cell>
          <cell r="E242">
            <v>1</v>
          </cell>
        </row>
        <row r="243">
          <cell r="B243" t="str">
            <v>KC Bintuni</v>
          </cell>
          <cell r="E243">
            <v>1</v>
          </cell>
        </row>
        <row r="244">
          <cell r="B244" t="str">
            <v>KC Fakfak</v>
          </cell>
          <cell r="E244">
            <v>1</v>
          </cell>
        </row>
        <row r="245">
          <cell r="B245" t="str">
            <v>KC Sentani</v>
          </cell>
          <cell r="E245">
            <v>1</v>
          </cell>
        </row>
        <row r="246">
          <cell r="B246" t="str">
            <v>KC Jayapura</v>
          </cell>
          <cell r="E246">
            <v>0.99960000000000004</v>
          </cell>
        </row>
        <row r="247">
          <cell r="B247" t="str">
            <v>KC Sorong</v>
          </cell>
          <cell r="E247">
            <v>0.99870000000000003</v>
          </cell>
        </row>
        <row r="248">
          <cell r="B248" t="str">
            <v>KC Nabire</v>
          </cell>
          <cell r="E248">
            <v>0.99719999999999998</v>
          </cell>
        </row>
        <row r="249">
          <cell r="B249" t="str">
            <v>KC Merauke</v>
          </cell>
          <cell r="E249">
            <v>0.99719999999999998</v>
          </cell>
        </row>
        <row r="250">
          <cell r="B250" t="str">
            <v>KC Timika</v>
          </cell>
          <cell r="E250">
            <v>0.99490000000000001</v>
          </cell>
        </row>
        <row r="251">
          <cell r="B251" t="str">
            <v>KC Manokwari</v>
          </cell>
          <cell r="E251">
            <v>0.98360000000000003</v>
          </cell>
        </row>
        <row r="252">
          <cell r="B252" t="str">
            <v>KC Biak</v>
          </cell>
          <cell r="E252">
            <v>0.97399999999999998</v>
          </cell>
        </row>
        <row r="253">
          <cell r="B253" t="str">
            <v>Total All Branch Office</v>
          </cell>
          <cell r="E253">
            <v>99.441779999999994</v>
          </cell>
        </row>
        <row r="254">
          <cell r="B254" t="str">
            <v>KC Benteng Selayar</v>
          </cell>
          <cell r="E254">
            <v>1</v>
          </cell>
        </row>
        <row r="255">
          <cell r="B255" t="str">
            <v>KC Masohi</v>
          </cell>
          <cell r="E255">
            <v>0.91790000000000005</v>
          </cell>
        </row>
        <row r="256">
          <cell r="B256" t="str">
            <v>KC Enrekang</v>
          </cell>
          <cell r="E256">
            <v>0.90059999999999996</v>
          </cell>
        </row>
        <row r="257">
          <cell r="B257" t="str">
            <v>KC Ambon</v>
          </cell>
          <cell r="E257">
            <v>0.89970000000000006</v>
          </cell>
        </row>
        <row r="258">
          <cell r="B258" t="str">
            <v>KC Kolaka</v>
          </cell>
          <cell r="E258">
            <v>0.8952</v>
          </cell>
        </row>
        <row r="259">
          <cell r="B259" t="str">
            <v>KC Bantaeng</v>
          </cell>
          <cell r="E259">
            <v>0.88200000000000001</v>
          </cell>
        </row>
        <row r="260">
          <cell r="B260" t="str">
            <v>KC Mamuju</v>
          </cell>
          <cell r="E260">
            <v>0.878</v>
          </cell>
        </row>
        <row r="261">
          <cell r="B261" t="str">
            <v>KC Palopo</v>
          </cell>
          <cell r="E261">
            <v>0.877</v>
          </cell>
        </row>
        <row r="262">
          <cell r="B262" t="str">
            <v>KC Masamba</v>
          </cell>
          <cell r="E262">
            <v>0.87490000000000001</v>
          </cell>
        </row>
        <row r="263">
          <cell r="B263" t="str">
            <v>KC Barru</v>
          </cell>
          <cell r="E263">
            <v>0.873</v>
          </cell>
        </row>
        <row r="264">
          <cell r="B264" t="str">
            <v>KC Majene</v>
          </cell>
          <cell r="E264">
            <v>0.86960000000000004</v>
          </cell>
        </row>
        <row r="265">
          <cell r="B265" t="str">
            <v>KC Pangkep</v>
          </cell>
          <cell r="E265">
            <v>0.86109999999999998</v>
          </cell>
        </row>
        <row r="266">
          <cell r="B266" t="str">
            <v>KC Sungguminasa</v>
          </cell>
          <cell r="E266">
            <v>0.85409999999999997</v>
          </cell>
        </row>
        <row r="267">
          <cell r="B267" t="str">
            <v>KC Sengkang</v>
          </cell>
          <cell r="E267">
            <v>0.85289999999999999</v>
          </cell>
        </row>
        <row r="268">
          <cell r="B268" t="str">
            <v>KC Raha</v>
          </cell>
          <cell r="E268">
            <v>0.85050000000000003</v>
          </cell>
        </row>
        <row r="269">
          <cell r="B269" t="str">
            <v>KC Rantepao</v>
          </cell>
          <cell r="E269">
            <v>0.84730000000000005</v>
          </cell>
        </row>
        <row r="270">
          <cell r="B270" t="str">
            <v>KC Maros</v>
          </cell>
          <cell r="E270">
            <v>0.84640000000000004</v>
          </cell>
        </row>
        <row r="271">
          <cell r="B271" t="str">
            <v>KC Sidrap</v>
          </cell>
          <cell r="E271">
            <v>0.84599999999999997</v>
          </cell>
        </row>
        <row r="272">
          <cell r="B272" t="str">
            <v>KC Watansopeng</v>
          </cell>
          <cell r="E272">
            <v>0.84550000000000003</v>
          </cell>
        </row>
        <row r="273">
          <cell r="B273" t="str">
            <v>KC Tamalanrea</v>
          </cell>
          <cell r="E273">
            <v>0.8387</v>
          </cell>
        </row>
        <row r="274">
          <cell r="B274" t="str">
            <v>KC PULAU ARU</v>
          </cell>
          <cell r="E274">
            <v>0.83760000000000001</v>
          </cell>
        </row>
        <row r="275">
          <cell r="B275" t="str">
            <v>KC Saumlaki</v>
          </cell>
          <cell r="E275">
            <v>0.83160000000000001</v>
          </cell>
        </row>
        <row r="276">
          <cell r="B276" t="str">
            <v>KC Takalar</v>
          </cell>
          <cell r="E276">
            <v>0.82989999999999997</v>
          </cell>
        </row>
        <row r="277">
          <cell r="B277" t="str">
            <v>KC Watampone</v>
          </cell>
          <cell r="E277">
            <v>0.82650000000000001</v>
          </cell>
        </row>
        <row r="278">
          <cell r="B278" t="str">
            <v>KC Polewali</v>
          </cell>
          <cell r="E278">
            <v>0.82520000000000004</v>
          </cell>
        </row>
        <row r="279">
          <cell r="B279" t="str">
            <v>KC Kendari Samratulangi</v>
          </cell>
          <cell r="E279">
            <v>0.82509999999999994</v>
          </cell>
        </row>
        <row r="280">
          <cell r="B280" t="str">
            <v>KC Panakkukang</v>
          </cell>
          <cell r="E280">
            <v>0.82079999999999997</v>
          </cell>
        </row>
        <row r="281">
          <cell r="B281" t="str">
            <v>KC Pare-Pare</v>
          </cell>
          <cell r="E281">
            <v>0.81479999999999997</v>
          </cell>
        </row>
        <row r="282">
          <cell r="B282" t="str">
            <v>KC LANGGUR</v>
          </cell>
          <cell r="E282">
            <v>0.80930000000000002</v>
          </cell>
        </row>
        <row r="283">
          <cell r="B283" t="str">
            <v>KC Pinrang</v>
          </cell>
          <cell r="E283">
            <v>0.80720000000000003</v>
          </cell>
        </row>
        <row r="284">
          <cell r="B284" t="str">
            <v>KC Makassar Ahmad Yani</v>
          </cell>
          <cell r="E284">
            <v>0.79769999999999996</v>
          </cell>
        </row>
        <row r="285">
          <cell r="B285" t="str">
            <v>KC Jeneponto</v>
          </cell>
          <cell r="E285">
            <v>0.79390000000000005</v>
          </cell>
        </row>
        <row r="286">
          <cell r="B286" t="str">
            <v>KC Bau-Bau</v>
          </cell>
          <cell r="E286">
            <v>0.79330000000000001</v>
          </cell>
        </row>
        <row r="287">
          <cell r="B287" t="str">
            <v>KC Kendari By Pass</v>
          </cell>
          <cell r="E287">
            <v>0.77359999999999995</v>
          </cell>
        </row>
        <row r="288">
          <cell r="B288" t="str">
            <v>KC Bulukumba</v>
          </cell>
          <cell r="E288">
            <v>0.76929999999999998</v>
          </cell>
        </row>
        <row r="289">
          <cell r="B289" t="str">
            <v>KC Sinjai</v>
          </cell>
          <cell r="E289">
            <v>0.755</v>
          </cell>
        </row>
        <row r="290">
          <cell r="B290" t="str">
            <v>KC MAKASSAR SUDIRMAN</v>
          </cell>
          <cell r="E290">
            <v>0.74929999999999997</v>
          </cell>
        </row>
        <row r="291">
          <cell r="B291" t="str">
            <v>KANWIL Makassar</v>
          </cell>
          <cell r="E291">
            <v>0.54159999999999997</v>
          </cell>
        </row>
        <row r="292">
          <cell r="B292" t="str">
            <v>Total All Branch Office</v>
          </cell>
          <cell r="E292">
            <v>84.257180000000005</v>
          </cell>
        </row>
        <row r="293">
          <cell r="B293" t="str">
            <v>KC Madiun</v>
          </cell>
          <cell r="E293">
            <v>1</v>
          </cell>
        </row>
        <row r="294">
          <cell r="B294" t="str">
            <v>KC Malang Kawi</v>
          </cell>
          <cell r="E294">
            <v>1</v>
          </cell>
        </row>
        <row r="295">
          <cell r="B295" t="str">
            <v>KC Pacitan</v>
          </cell>
          <cell r="E295">
            <v>1</v>
          </cell>
        </row>
        <row r="296">
          <cell r="B296" t="str">
            <v>KC Trenggalek</v>
          </cell>
          <cell r="E296">
            <v>1</v>
          </cell>
        </row>
        <row r="297">
          <cell r="B297" t="str">
            <v>KC Kepanjen</v>
          </cell>
          <cell r="E297">
            <v>1</v>
          </cell>
        </row>
        <row r="298">
          <cell r="B298" t="str">
            <v>KC Kediri</v>
          </cell>
          <cell r="E298">
            <v>0.99990000000000001</v>
          </cell>
        </row>
        <row r="299">
          <cell r="B299" t="str">
            <v>KC Magetan</v>
          </cell>
          <cell r="E299">
            <v>0.99990000000000001</v>
          </cell>
        </row>
        <row r="300">
          <cell r="B300" t="str">
            <v>KC Pare</v>
          </cell>
          <cell r="E300">
            <v>0.99980000000000002</v>
          </cell>
        </row>
        <row r="301">
          <cell r="B301" t="str">
            <v>KC Malang Martadinata</v>
          </cell>
          <cell r="E301">
            <v>0.99970000000000003</v>
          </cell>
        </row>
        <row r="302">
          <cell r="B302" t="str">
            <v>KC Genteng</v>
          </cell>
          <cell r="E302">
            <v>0.99960000000000004</v>
          </cell>
        </row>
        <row r="303">
          <cell r="B303" t="str">
            <v>KC Lumajang</v>
          </cell>
          <cell r="E303">
            <v>0.99939999999999996</v>
          </cell>
        </row>
        <row r="304">
          <cell r="B304" t="str">
            <v>KC Ngawi</v>
          </cell>
          <cell r="E304">
            <v>0.99939999999999996</v>
          </cell>
        </row>
        <row r="305">
          <cell r="B305" t="str">
            <v>KC Bondowoso</v>
          </cell>
          <cell r="E305">
            <v>0.99929999999999997</v>
          </cell>
        </row>
        <row r="306">
          <cell r="B306" t="str">
            <v>KC BATU</v>
          </cell>
          <cell r="E306">
            <v>0.99860000000000004</v>
          </cell>
        </row>
        <row r="307">
          <cell r="B307" t="str">
            <v>KC Banyuwangi</v>
          </cell>
          <cell r="E307">
            <v>0.99770000000000003</v>
          </cell>
        </row>
        <row r="308">
          <cell r="B308" t="str">
            <v>KC Probolinggo</v>
          </cell>
          <cell r="E308">
            <v>0.99760000000000004</v>
          </cell>
        </row>
        <row r="309">
          <cell r="B309" t="str">
            <v>KC Blitar</v>
          </cell>
          <cell r="E309">
            <v>0.99680000000000002</v>
          </cell>
        </row>
        <row r="310">
          <cell r="B310" t="str">
            <v>KC Malang Soekarno Hatta</v>
          </cell>
          <cell r="E310">
            <v>0.99639999999999995</v>
          </cell>
        </row>
        <row r="311">
          <cell r="B311" t="str">
            <v>KC Tulungagung</v>
          </cell>
          <cell r="E311">
            <v>0.99539999999999995</v>
          </cell>
        </row>
        <row r="312">
          <cell r="B312" t="str">
            <v>KC Jember</v>
          </cell>
          <cell r="E312">
            <v>0.99480000000000002</v>
          </cell>
        </row>
        <row r="313">
          <cell r="B313" t="str">
            <v>KC Malang Sutoyo</v>
          </cell>
          <cell r="E313">
            <v>0.9929</v>
          </cell>
        </row>
        <row r="314">
          <cell r="B314" t="str">
            <v>KC Ponorogo</v>
          </cell>
          <cell r="E314">
            <v>0.9919</v>
          </cell>
        </row>
        <row r="315">
          <cell r="B315" t="str">
            <v>KC Pasuruan</v>
          </cell>
          <cell r="E315">
            <v>0.99099999999999999</v>
          </cell>
        </row>
        <row r="316">
          <cell r="B316" t="str">
            <v>KC Nganjuk</v>
          </cell>
          <cell r="E316">
            <v>0.98939999999999995</v>
          </cell>
        </row>
        <row r="317">
          <cell r="B317" t="str">
            <v>KC Situbondo</v>
          </cell>
          <cell r="E317">
            <v>0.9879</v>
          </cell>
        </row>
        <row r="318">
          <cell r="B318" t="str">
            <v>Total All Branch Office</v>
          </cell>
          <cell r="E318">
            <v>99.679389999999998</v>
          </cell>
        </row>
        <row r="319">
          <cell r="B319" t="str">
            <v>KC Toli-Toli</v>
          </cell>
          <cell r="E319">
            <v>1</v>
          </cell>
        </row>
        <row r="320">
          <cell r="B320" t="str">
            <v>KC Parigi</v>
          </cell>
          <cell r="E320">
            <v>0.99939999999999996</v>
          </cell>
        </row>
        <row r="321">
          <cell r="B321" t="str">
            <v>KC Kotamobagu</v>
          </cell>
          <cell r="E321">
            <v>0.99560000000000004</v>
          </cell>
        </row>
        <row r="322">
          <cell r="B322" t="str">
            <v>KC Bitung</v>
          </cell>
          <cell r="E322">
            <v>0.99239999999999995</v>
          </cell>
        </row>
        <row r="323">
          <cell r="B323" t="str">
            <v>KC Manado Boulevard</v>
          </cell>
          <cell r="E323">
            <v>0.98280000000000001</v>
          </cell>
        </row>
        <row r="324">
          <cell r="B324" t="str">
            <v>KC Tondano</v>
          </cell>
          <cell r="E324">
            <v>0.97860000000000003</v>
          </cell>
        </row>
        <row r="325">
          <cell r="B325" t="str">
            <v>KC AMPANA</v>
          </cell>
          <cell r="E325">
            <v>0.97370000000000001</v>
          </cell>
        </row>
        <row r="326">
          <cell r="B326" t="str">
            <v>KC Tahuna</v>
          </cell>
          <cell r="E326">
            <v>0.96860000000000002</v>
          </cell>
        </row>
        <row r="327">
          <cell r="B327" t="str">
            <v>KC Gorontalo</v>
          </cell>
          <cell r="E327">
            <v>0.96799999999999997</v>
          </cell>
        </row>
        <row r="328">
          <cell r="B328" t="str">
            <v>KC Poso</v>
          </cell>
          <cell r="E328">
            <v>0.96589999999999998</v>
          </cell>
        </row>
        <row r="329">
          <cell r="B329" t="str">
            <v>KC Ternate</v>
          </cell>
          <cell r="E329">
            <v>0.95209999999999995</v>
          </cell>
        </row>
        <row r="330">
          <cell r="B330" t="str">
            <v>KC Manado</v>
          </cell>
          <cell r="E330">
            <v>0.94810000000000005</v>
          </cell>
        </row>
        <row r="331">
          <cell r="B331" t="str">
            <v>KC Luwuk</v>
          </cell>
          <cell r="E331">
            <v>0.94410000000000005</v>
          </cell>
        </row>
        <row r="332">
          <cell r="B332" t="str">
            <v>KC Limboto</v>
          </cell>
          <cell r="E332">
            <v>0.93169999999999997</v>
          </cell>
        </row>
        <row r="333">
          <cell r="B333" t="str">
            <v>KC Marisa</v>
          </cell>
          <cell r="E333">
            <v>0.9264</v>
          </cell>
        </row>
        <row r="334">
          <cell r="B334" t="str">
            <v>KC POGOGUL BUOL</v>
          </cell>
          <cell r="E334">
            <v>0.92459999999999998</v>
          </cell>
        </row>
        <row r="335">
          <cell r="B335" t="str">
            <v>KC Palu</v>
          </cell>
          <cell r="E335">
            <v>0.91500000000000004</v>
          </cell>
        </row>
        <row r="336">
          <cell r="B336" t="str">
            <v>KC Soa-Sio</v>
          </cell>
          <cell r="E336">
            <v>0.90490000000000004</v>
          </cell>
        </row>
        <row r="337">
          <cell r="B337" t="str">
            <v>KC MOROWALI</v>
          </cell>
          <cell r="E337">
            <v>0.88829999999999998</v>
          </cell>
        </row>
        <row r="338">
          <cell r="B338" t="str">
            <v>KC Tobelo</v>
          </cell>
          <cell r="E338">
            <v>0.86119999999999997</v>
          </cell>
        </row>
        <row r="339">
          <cell r="B339" t="str">
            <v>Total All Branch Office</v>
          </cell>
          <cell r="E339">
            <v>94.809560000000005</v>
          </cell>
        </row>
        <row r="340">
          <cell r="B340" t="str">
            <v>KC Medan Putri Hijau</v>
          </cell>
          <cell r="E340">
            <v>1</v>
          </cell>
        </row>
        <row r="341">
          <cell r="B341" t="str">
            <v>KC Sibolga</v>
          </cell>
          <cell r="E341">
            <v>1</v>
          </cell>
        </row>
        <row r="342">
          <cell r="B342" t="str">
            <v>KC Padang Sidempuan</v>
          </cell>
          <cell r="E342">
            <v>1</v>
          </cell>
        </row>
        <row r="343">
          <cell r="B343" t="str">
            <v>KC Kabanjahe</v>
          </cell>
          <cell r="E343">
            <v>1</v>
          </cell>
        </row>
        <row r="344">
          <cell r="B344" t="str">
            <v>KC Gunung Sitoli</v>
          </cell>
          <cell r="E344">
            <v>1</v>
          </cell>
        </row>
        <row r="345">
          <cell r="B345" t="str">
            <v>KC Sidikalang</v>
          </cell>
          <cell r="E345">
            <v>1</v>
          </cell>
        </row>
        <row r="346">
          <cell r="B346" t="str">
            <v>KANWIL Medan</v>
          </cell>
          <cell r="E346">
            <v>1</v>
          </cell>
        </row>
        <row r="347">
          <cell r="B347" t="str">
            <v>KC Rantau Prapat</v>
          </cell>
          <cell r="E347">
            <v>1</v>
          </cell>
        </row>
        <row r="348">
          <cell r="B348" t="str">
            <v>KC Lubuk Pakam</v>
          </cell>
          <cell r="E348">
            <v>1</v>
          </cell>
        </row>
        <row r="349">
          <cell r="B349" t="str">
            <v>KC Tebing Tinggi</v>
          </cell>
          <cell r="E349">
            <v>1</v>
          </cell>
        </row>
        <row r="350">
          <cell r="B350" t="str">
            <v>KC Balige</v>
          </cell>
          <cell r="E350">
            <v>1</v>
          </cell>
        </row>
        <row r="351">
          <cell r="B351" t="str">
            <v>KC Medan Sisingamangaraja</v>
          </cell>
          <cell r="E351">
            <v>1</v>
          </cell>
        </row>
        <row r="352">
          <cell r="B352" t="str">
            <v>KC Medan Thamrin</v>
          </cell>
          <cell r="E352">
            <v>1</v>
          </cell>
        </row>
        <row r="353">
          <cell r="B353" t="str">
            <v>KC Panyabungan</v>
          </cell>
          <cell r="E353">
            <v>1</v>
          </cell>
        </row>
        <row r="354">
          <cell r="B354" t="str">
            <v>KC Sibuhuan</v>
          </cell>
          <cell r="E354">
            <v>1</v>
          </cell>
        </row>
        <row r="355">
          <cell r="B355" t="str">
            <v>KC Kota Pinang</v>
          </cell>
          <cell r="E355">
            <v>1</v>
          </cell>
        </row>
        <row r="356">
          <cell r="B356" t="str">
            <v>KC Perdagangan</v>
          </cell>
          <cell r="E356">
            <v>0.99980000000000002</v>
          </cell>
        </row>
        <row r="357">
          <cell r="B357" t="str">
            <v>KC Pematang Siantar</v>
          </cell>
          <cell r="E357">
            <v>0.99980000000000002</v>
          </cell>
        </row>
        <row r="358">
          <cell r="B358" t="str">
            <v>KC Binjai</v>
          </cell>
          <cell r="E358">
            <v>0.99950000000000006</v>
          </cell>
        </row>
        <row r="359">
          <cell r="B359" t="str">
            <v>KC Tanjung Balai</v>
          </cell>
          <cell r="E359">
            <v>0.99870000000000003</v>
          </cell>
        </row>
        <row r="360">
          <cell r="B360" t="str">
            <v>KC Medan Iskandar Muda</v>
          </cell>
          <cell r="E360">
            <v>0.99850000000000005</v>
          </cell>
        </row>
        <row r="361">
          <cell r="B361" t="str">
            <v>KC Tarutung</v>
          </cell>
          <cell r="E361">
            <v>0.99770000000000003</v>
          </cell>
        </row>
        <row r="362">
          <cell r="B362" t="str">
            <v>KC Medan Gatot Subroto</v>
          </cell>
          <cell r="E362">
            <v>0.99350000000000005</v>
          </cell>
        </row>
        <row r="363">
          <cell r="B363" t="str">
            <v>KC Stabat</v>
          </cell>
          <cell r="E363">
            <v>0.99170000000000003</v>
          </cell>
        </row>
        <row r="364">
          <cell r="B364" t="str">
            <v>KC Kisaran</v>
          </cell>
          <cell r="E364">
            <v>0.98680000000000001</v>
          </cell>
        </row>
        <row r="365">
          <cell r="B365" t="str">
            <v>Total All Branch Office</v>
          </cell>
          <cell r="E365">
            <v>99.862260000000006</v>
          </cell>
        </row>
        <row r="366">
          <cell r="B366" t="str">
            <v>KC Bukittinggi</v>
          </cell>
          <cell r="E366">
            <v>1</v>
          </cell>
        </row>
        <row r="367">
          <cell r="B367" t="str">
            <v>KC Padang</v>
          </cell>
          <cell r="E367">
            <v>1</v>
          </cell>
        </row>
        <row r="368">
          <cell r="B368" t="str">
            <v>KC Batu Sangkar</v>
          </cell>
          <cell r="E368">
            <v>1</v>
          </cell>
        </row>
        <row r="369">
          <cell r="B369" t="str">
            <v>KC Padang Panjang</v>
          </cell>
          <cell r="E369">
            <v>1</v>
          </cell>
        </row>
        <row r="370">
          <cell r="B370" t="str">
            <v>KC Lubuk Sikaping</v>
          </cell>
          <cell r="E370">
            <v>1</v>
          </cell>
        </row>
        <row r="371">
          <cell r="B371" t="str">
            <v>KC Painan</v>
          </cell>
          <cell r="E371">
            <v>1</v>
          </cell>
        </row>
        <row r="372">
          <cell r="B372" t="str">
            <v>KC Sijunjung</v>
          </cell>
          <cell r="E372">
            <v>1</v>
          </cell>
        </row>
        <row r="373">
          <cell r="B373" t="str">
            <v>KC Simpang Empat</v>
          </cell>
          <cell r="E373">
            <v>1</v>
          </cell>
        </row>
        <row r="374">
          <cell r="B374" t="str">
            <v>KC Pariaman</v>
          </cell>
          <cell r="E374">
            <v>0.99980000000000002</v>
          </cell>
        </row>
        <row r="375">
          <cell r="B375" t="str">
            <v>KC Sungai Penuh</v>
          </cell>
          <cell r="E375">
            <v>0.99980000000000002</v>
          </cell>
        </row>
        <row r="376">
          <cell r="B376" t="str">
            <v>KC Payakumbuh</v>
          </cell>
          <cell r="E376">
            <v>0.99950000000000006</v>
          </cell>
        </row>
        <row r="377">
          <cell r="B377" t="str">
            <v>KC Solok</v>
          </cell>
          <cell r="E377">
            <v>0.99590000000000001</v>
          </cell>
        </row>
        <row r="378">
          <cell r="B378" t="str">
            <v>KC Dharmasraya</v>
          </cell>
          <cell r="E378">
            <v>0.99560000000000004</v>
          </cell>
        </row>
        <row r="379">
          <cell r="B379" t="str">
            <v>KC Khatib Sulaiman</v>
          </cell>
          <cell r="E379">
            <v>0.99209999999999998</v>
          </cell>
        </row>
        <row r="380">
          <cell r="B380" t="str">
            <v>Total All Branch Office</v>
          </cell>
          <cell r="E380">
            <v>99.840090000000004</v>
          </cell>
        </row>
        <row r="381">
          <cell r="B381" t="str">
            <v>KC SIAK</v>
          </cell>
          <cell r="E381">
            <v>1</v>
          </cell>
        </row>
        <row r="382">
          <cell r="B382" t="str">
            <v>KC Tembilahan</v>
          </cell>
          <cell r="E382">
            <v>0.99980000000000002</v>
          </cell>
        </row>
        <row r="383">
          <cell r="B383" t="str">
            <v>KC Bangkinang</v>
          </cell>
          <cell r="E383">
            <v>0.999</v>
          </cell>
        </row>
        <row r="384">
          <cell r="B384" t="str">
            <v>KC Teluk Kuantan</v>
          </cell>
          <cell r="E384">
            <v>0.99790000000000001</v>
          </cell>
        </row>
        <row r="385">
          <cell r="B385" t="str">
            <v>KC Dumai</v>
          </cell>
          <cell r="E385">
            <v>0.99409999999999998</v>
          </cell>
        </row>
        <row r="386">
          <cell r="B386" t="str">
            <v>KC Selat Panjang</v>
          </cell>
          <cell r="E386">
            <v>0.99180000000000001</v>
          </cell>
        </row>
        <row r="387">
          <cell r="B387" t="str">
            <v>KC Duri</v>
          </cell>
          <cell r="E387">
            <v>0.98850000000000005</v>
          </cell>
        </row>
        <row r="388">
          <cell r="B388" t="str">
            <v>KC Pekanbaru Tuanku Tambusai</v>
          </cell>
          <cell r="E388">
            <v>0.98129999999999995</v>
          </cell>
        </row>
        <row r="389">
          <cell r="B389" t="str">
            <v>KC Batam Center</v>
          </cell>
          <cell r="E389">
            <v>0.98029999999999995</v>
          </cell>
        </row>
        <row r="390">
          <cell r="B390" t="str">
            <v>KC Pekanbaru Lancang Kuning</v>
          </cell>
          <cell r="E390">
            <v>0.98</v>
          </cell>
        </row>
        <row r="391">
          <cell r="B391" t="str">
            <v>KC Pasir Pengaraian</v>
          </cell>
          <cell r="E391">
            <v>0.96530000000000005</v>
          </cell>
        </row>
        <row r="392">
          <cell r="B392" t="str">
            <v>KC Tanjung Pinang</v>
          </cell>
          <cell r="E392">
            <v>0.95940000000000003</v>
          </cell>
        </row>
        <row r="393">
          <cell r="B393" t="str">
            <v>KC Pekanbaru Sudirman</v>
          </cell>
          <cell r="E393">
            <v>0.95040000000000002</v>
          </cell>
        </row>
        <row r="394">
          <cell r="B394" t="str">
            <v>KC Pangkalan Kerinci</v>
          </cell>
          <cell r="E394">
            <v>0.94310000000000005</v>
          </cell>
        </row>
        <row r="395">
          <cell r="B395" t="str">
            <v>KC Batam Nagoya</v>
          </cell>
          <cell r="E395">
            <v>0.93259999999999998</v>
          </cell>
        </row>
        <row r="396">
          <cell r="B396" t="str">
            <v>KC Rengat</v>
          </cell>
          <cell r="E396">
            <v>0.93210000000000004</v>
          </cell>
        </row>
        <row r="397">
          <cell r="B397" t="str">
            <v>KC Bagan Siapi api</v>
          </cell>
          <cell r="E397">
            <v>0.93210000000000004</v>
          </cell>
        </row>
        <row r="398">
          <cell r="B398" t="str">
            <v>KC Bengkalis</v>
          </cell>
          <cell r="E398">
            <v>0.92879999999999996</v>
          </cell>
        </row>
        <row r="399">
          <cell r="B399" t="str">
            <v>KC Bagan Batu</v>
          </cell>
          <cell r="E399">
            <v>0.92510000000000003</v>
          </cell>
        </row>
        <row r="400">
          <cell r="B400" t="str">
            <v>KC Tanjung Balai Karimun</v>
          </cell>
          <cell r="E400">
            <v>0.91249999999999998</v>
          </cell>
        </row>
        <row r="401">
          <cell r="B401" t="str">
            <v>KC Perawang</v>
          </cell>
          <cell r="E401">
            <v>0.90869999999999995</v>
          </cell>
        </row>
        <row r="402">
          <cell r="B402" t="str">
            <v>KC Ujung Batu</v>
          </cell>
          <cell r="E402">
            <v>0.85740000000000005</v>
          </cell>
        </row>
        <row r="403">
          <cell r="B403" t="str">
            <v>Total All Branch Office</v>
          </cell>
          <cell r="E403">
            <v>96.180239999999998</v>
          </cell>
        </row>
        <row r="404">
          <cell r="B404" t="e">
            <v>#N/A</v>
          </cell>
          <cell r="E404">
            <v>1</v>
          </cell>
        </row>
        <row r="405">
          <cell r="B405" t="str">
            <v>KC Brebes</v>
          </cell>
          <cell r="E405">
            <v>1</v>
          </cell>
        </row>
        <row r="406">
          <cell r="B406" t="str">
            <v>KC Demak</v>
          </cell>
          <cell r="E406">
            <v>1</v>
          </cell>
        </row>
        <row r="407">
          <cell r="B407" t="str">
            <v>KC Jepara</v>
          </cell>
          <cell r="E407">
            <v>1</v>
          </cell>
        </row>
        <row r="408">
          <cell r="B408" t="str">
            <v>KC Kendal</v>
          </cell>
          <cell r="E408">
            <v>1</v>
          </cell>
        </row>
        <row r="409">
          <cell r="B409" t="str">
            <v>KC Kudus</v>
          </cell>
          <cell r="E409">
            <v>1</v>
          </cell>
        </row>
        <row r="410">
          <cell r="B410" t="str">
            <v>KC Pati</v>
          </cell>
          <cell r="E410">
            <v>1</v>
          </cell>
        </row>
        <row r="411">
          <cell r="B411" t="str">
            <v>KC Pekalongan</v>
          </cell>
          <cell r="E411">
            <v>1</v>
          </cell>
        </row>
        <row r="412">
          <cell r="B412" t="str">
            <v>KC Pemalang</v>
          </cell>
          <cell r="E412">
            <v>1</v>
          </cell>
        </row>
        <row r="413">
          <cell r="B413" t="str">
            <v>KC Purwodadi</v>
          </cell>
          <cell r="E413">
            <v>1</v>
          </cell>
        </row>
        <row r="414">
          <cell r="B414" t="str">
            <v>KC Salatiga</v>
          </cell>
          <cell r="E414">
            <v>1</v>
          </cell>
        </row>
        <row r="415">
          <cell r="B415" t="str">
            <v>KC Semarang Patimura</v>
          </cell>
          <cell r="E415">
            <v>1</v>
          </cell>
        </row>
        <row r="416">
          <cell r="B416" t="str">
            <v>KC Tegal</v>
          </cell>
          <cell r="E416">
            <v>1</v>
          </cell>
        </row>
        <row r="417">
          <cell r="B417" t="str">
            <v>KC Rembang</v>
          </cell>
          <cell r="E417">
            <v>1</v>
          </cell>
        </row>
        <row r="418">
          <cell r="B418" t="str">
            <v>KC Batang</v>
          </cell>
          <cell r="E418">
            <v>1</v>
          </cell>
        </row>
        <row r="419">
          <cell r="B419" t="str">
            <v>KC Bumiayu</v>
          </cell>
          <cell r="E419">
            <v>1</v>
          </cell>
        </row>
        <row r="420">
          <cell r="B420" t="str">
            <v>KANWIL Semarang</v>
          </cell>
          <cell r="E420">
            <v>1</v>
          </cell>
        </row>
        <row r="421">
          <cell r="B421" t="str">
            <v>KC Cepu</v>
          </cell>
          <cell r="E421">
            <v>1</v>
          </cell>
        </row>
        <row r="422">
          <cell r="B422" t="str">
            <v>KC Semarang Pandanaran</v>
          </cell>
          <cell r="E422">
            <v>1</v>
          </cell>
        </row>
        <row r="423">
          <cell r="B423" t="str">
            <v>KC Ungaran</v>
          </cell>
          <cell r="E423">
            <v>1</v>
          </cell>
        </row>
        <row r="424">
          <cell r="B424" t="str">
            <v>KC Brigjen Sudiarto</v>
          </cell>
          <cell r="E424">
            <v>1</v>
          </cell>
        </row>
        <row r="425">
          <cell r="B425" t="str">
            <v>KC Semarang A. Yani</v>
          </cell>
          <cell r="E425">
            <v>1</v>
          </cell>
        </row>
        <row r="426">
          <cell r="B426" t="str">
            <v>KC Slawi</v>
          </cell>
          <cell r="E426">
            <v>1</v>
          </cell>
        </row>
        <row r="427">
          <cell r="B427" t="str">
            <v>Total All Branch Office</v>
          </cell>
          <cell r="E427">
            <v>100</v>
          </cell>
        </row>
        <row r="428">
          <cell r="B428" t="str">
            <v>KC Kutoarjo</v>
          </cell>
          <cell r="E428">
            <v>1</v>
          </cell>
        </row>
        <row r="429">
          <cell r="B429" t="str">
            <v>KC Ajibarang</v>
          </cell>
          <cell r="E429">
            <v>1</v>
          </cell>
        </row>
        <row r="430">
          <cell r="B430" t="str">
            <v>KC Purworejo</v>
          </cell>
          <cell r="E430">
            <v>0.99990000000000001</v>
          </cell>
        </row>
        <row r="431">
          <cell r="B431" t="str">
            <v>KC Gombong</v>
          </cell>
          <cell r="E431">
            <v>0.99990000000000001</v>
          </cell>
        </row>
        <row r="432">
          <cell r="B432" t="str">
            <v>KC Temanggung</v>
          </cell>
          <cell r="E432">
            <v>0.99890000000000001</v>
          </cell>
        </row>
        <row r="433">
          <cell r="B433" t="str">
            <v>KC Yogyakarta Cik Ditiro</v>
          </cell>
          <cell r="E433">
            <v>0.99839999999999995</v>
          </cell>
        </row>
        <row r="434">
          <cell r="B434" t="str">
            <v>KC Karanganyar</v>
          </cell>
          <cell r="E434">
            <v>0.99670000000000003</v>
          </cell>
        </row>
        <row r="435">
          <cell r="B435" t="str">
            <v>KC Solo Kartasura</v>
          </cell>
          <cell r="E435">
            <v>0.996</v>
          </cell>
        </row>
        <row r="436">
          <cell r="B436" t="str">
            <v>KC Wonosari</v>
          </cell>
          <cell r="E436">
            <v>0.99590000000000001</v>
          </cell>
        </row>
        <row r="437">
          <cell r="B437" t="str">
            <v>KC Banjarnegara</v>
          </cell>
          <cell r="E437">
            <v>0.99399999999999999</v>
          </cell>
        </row>
        <row r="438">
          <cell r="B438" t="str">
            <v>KC Wonogiri</v>
          </cell>
          <cell r="E438">
            <v>0.9919</v>
          </cell>
        </row>
        <row r="439">
          <cell r="B439" t="str">
            <v>KC Purbalingga</v>
          </cell>
          <cell r="E439">
            <v>0.98919999999999997</v>
          </cell>
        </row>
        <row r="440">
          <cell r="B440" t="str">
            <v>KC Bantul</v>
          </cell>
          <cell r="E440">
            <v>0.98870000000000002</v>
          </cell>
        </row>
        <row r="441">
          <cell r="B441" t="str">
            <v>KC Sleman</v>
          </cell>
          <cell r="E441">
            <v>0.98829999999999996</v>
          </cell>
        </row>
        <row r="442">
          <cell r="B442" t="str">
            <v>KC Wonosobo</v>
          </cell>
          <cell r="E442">
            <v>0.98580000000000001</v>
          </cell>
        </row>
        <row r="443">
          <cell r="B443" t="str">
            <v>KC Kebumen</v>
          </cell>
          <cell r="E443">
            <v>0.98360000000000003</v>
          </cell>
        </row>
        <row r="444">
          <cell r="B444" t="str">
            <v>KC Purwokerto</v>
          </cell>
          <cell r="E444">
            <v>0.98</v>
          </cell>
        </row>
        <row r="445">
          <cell r="B445" t="str">
            <v>KC Solo Baru</v>
          </cell>
          <cell r="E445">
            <v>0.97960000000000003</v>
          </cell>
        </row>
        <row r="446">
          <cell r="B446" t="str">
            <v>KC Solo - Sudirman</v>
          </cell>
          <cell r="E446">
            <v>0.97540000000000004</v>
          </cell>
        </row>
        <row r="447">
          <cell r="B447" t="str">
            <v>KC Wates</v>
          </cell>
          <cell r="E447">
            <v>0.97540000000000004</v>
          </cell>
        </row>
        <row r="448">
          <cell r="B448" t="str">
            <v>KC Majenang</v>
          </cell>
          <cell r="E448">
            <v>0.97360000000000002</v>
          </cell>
        </row>
        <row r="449">
          <cell r="B449" t="str">
            <v>KC Klaten</v>
          </cell>
          <cell r="E449">
            <v>0.97170000000000001</v>
          </cell>
        </row>
        <row r="450">
          <cell r="B450" t="str">
            <v>KC Cilacap</v>
          </cell>
          <cell r="E450">
            <v>0.96889999999999998</v>
          </cell>
        </row>
        <row r="451">
          <cell r="B451" t="str">
            <v>KC Yogyakarta Mlati</v>
          </cell>
          <cell r="E451">
            <v>0.96840000000000004</v>
          </cell>
        </row>
        <row r="452">
          <cell r="B452" t="str">
            <v>KC Yogyakarta Adisucipto</v>
          </cell>
          <cell r="E452">
            <v>0.96789999999999998</v>
          </cell>
        </row>
        <row r="453">
          <cell r="B453" t="str">
            <v>KC Solo Slamet Riyadi</v>
          </cell>
          <cell r="E453">
            <v>0.96560000000000001</v>
          </cell>
        </row>
        <row r="454">
          <cell r="B454" t="str">
            <v>KC Sragen</v>
          </cell>
          <cell r="E454">
            <v>0.96550000000000002</v>
          </cell>
        </row>
        <row r="455">
          <cell r="B455" t="str">
            <v>KC Parakan</v>
          </cell>
          <cell r="E455">
            <v>0.96489999999999998</v>
          </cell>
        </row>
        <row r="456">
          <cell r="B456" t="str">
            <v>KC Yogyakarta Katamso</v>
          </cell>
          <cell r="E456">
            <v>0.95779999999999998</v>
          </cell>
        </row>
        <row r="457">
          <cell r="B457" t="str">
            <v>KC Muntilan</v>
          </cell>
          <cell r="E457">
            <v>0.95669999999999999</v>
          </cell>
        </row>
        <row r="458">
          <cell r="B458" t="str">
            <v>KC Sukoharjo</v>
          </cell>
          <cell r="E458">
            <v>0.93959999999999999</v>
          </cell>
        </row>
        <row r="459">
          <cell r="B459" t="str">
            <v>KC Boyolali</v>
          </cell>
          <cell r="E459">
            <v>0.90790000000000004</v>
          </cell>
        </row>
        <row r="460">
          <cell r="B460" t="str">
            <v>KC Magelang</v>
          </cell>
          <cell r="E460">
            <v>0.90700000000000003</v>
          </cell>
        </row>
        <row r="461">
          <cell r="B461" t="str">
            <v>Total All Branch Office</v>
          </cell>
          <cell r="E461">
            <v>97.475390000000004</v>
          </cell>
        </row>
        <row r="462">
          <cell r="B462" t="e">
            <v>#N/A</v>
          </cell>
          <cell r="E462">
            <v>1</v>
          </cell>
        </row>
        <row r="463">
          <cell r="B463" t="str">
            <v>KC Mojokerto</v>
          </cell>
          <cell r="E463">
            <v>1</v>
          </cell>
        </row>
        <row r="464">
          <cell r="B464" t="str">
            <v>KC Tuban</v>
          </cell>
          <cell r="E464">
            <v>1</v>
          </cell>
        </row>
        <row r="465">
          <cell r="B465" t="str">
            <v>KC Surabaya Rajawali</v>
          </cell>
          <cell r="E465">
            <v>1</v>
          </cell>
        </row>
        <row r="466">
          <cell r="B466" t="str">
            <v>KC Surabaya Kusuma bangsa</v>
          </cell>
          <cell r="E466">
            <v>1</v>
          </cell>
        </row>
        <row r="467">
          <cell r="B467" t="str">
            <v>KC Surabaya HR Muhammad</v>
          </cell>
          <cell r="E467">
            <v>1</v>
          </cell>
        </row>
        <row r="468">
          <cell r="B468" t="str">
            <v>KC Gresik</v>
          </cell>
          <cell r="E468">
            <v>0.99990000000000001</v>
          </cell>
        </row>
        <row r="469">
          <cell r="B469" t="str">
            <v>KC Sidoarjo</v>
          </cell>
          <cell r="E469">
            <v>0.99980000000000002</v>
          </cell>
        </row>
        <row r="470">
          <cell r="B470" t="str">
            <v>KC Surabaya Diponegoro</v>
          </cell>
          <cell r="E470">
            <v>0.99870000000000003</v>
          </cell>
        </row>
        <row r="471">
          <cell r="B471" t="str">
            <v>KC Bojonegoro</v>
          </cell>
          <cell r="E471">
            <v>0.99809999999999999</v>
          </cell>
        </row>
        <row r="472">
          <cell r="B472" t="str">
            <v>KC Surabaya Pahlawan</v>
          </cell>
          <cell r="E472">
            <v>0.99809999999999999</v>
          </cell>
        </row>
        <row r="473">
          <cell r="B473" t="str">
            <v>KC Kapas Krampung</v>
          </cell>
          <cell r="E473">
            <v>0.99619999999999997</v>
          </cell>
        </row>
        <row r="474">
          <cell r="B474" t="str">
            <v>KC Manukan</v>
          </cell>
          <cell r="E474">
            <v>0.99560000000000004</v>
          </cell>
        </row>
        <row r="475">
          <cell r="B475" t="str">
            <v>KC Krian</v>
          </cell>
          <cell r="E475">
            <v>0.99150000000000005</v>
          </cell>
        </row>
        <row r="476">
          <cell r="B476" t="str">
            <v>KC Surabaya Tanjung Perak</v>
          </cell>
          <cell r="E476">
            <v>0.98109999999999997</v>
          </cell>
        </row>
        <row r="477">
          <cell r="B477" t="str">
            <v>KC Surabaya Kertajaya</v>
          </cell>
          <cell r="E477">
            <v>0.97729999999999995</v>
          </cell>
        </row>
        <row r="478">
          <cell r="B478" t="str">
            <v>KC Sampang</v>
          </cell>
          <cell r="E478">
            <v>0.96540000000000004</v>
          </cell>
        </row>
        <row r="479">
          <cell r="B479" t="str">
            <v>KC Mulyosari</v>
          </cell>
          <cell r="E479">
            <v>0.96150000000000002</v>
          </cell>
        </row>
        <row r="480">
          <cell r="B480" t="str">
            <v>KC Surabaya Kaliasin</v>
          </cell>
          <cell r="E480">
            <v>0.93969999999999998</v>
          </cell>
        </row>
        <row r="481">
          <cell r="B481" t="str">
            <v>KC Waru</v>
          </cell>
          <cell r="E481">
            <v>0.92579999999999996</v>
          </cell>
        </row>
        <row r="482">
          <cell r="B482" t="str">
            <v>KC Bangkalan</v>
          </cell>
          <cell r="E482">
            <v>0.90810000000000002</v>
          </cell>
        </row>
        <row r="483">
          <cell r="B483" t="str">
            <v>KC Lamongan</v>
          </cell>
          <cell r="E483">
            <v>0.89480000000000004</v>
          </cell>
        </row>
        <row r="484">
          <cell r="B484" t="str">
            <v>KC Pamekasan</v>
          </cell>
          <cell r="E484">
            <v>0.87590000000000001</v>
          </cell>
        </row>
        <row r="485">
          <cell r="B485" t="str">
            <v>KC Surabaya Jemursari</v>
          </cell>
          <cell r="E485">
            <v>0.85509999999999997</v>
          </cell>
        </row>
        <row r="486">
          <cell r="B486" t="str">
            <v>KC Sumenep</v>
          </cell>
          <cell r="E486">
            <v>0.80789999999999995</v>
          </cell>
        </row>
        <row r="487">
          <cell r="B487" t="str">
            <v>Total All Branch Office</v>
          </cell>
          <cell r="E487">
            <v>95.513980000000004</v>
          </cell>
        </row>
      </sheetData>
      <sheetData sheetId="5">
        <row r="1">
          <cell r="B1" t="str">
            <v>Kanwil Malang</v>
          </cell>
          <cell r="D1">
            <v>0</v>
          </cell>
        </row>
        <row r="2">
          <cell r="B2" t="str">
            <v>KC Malang Kawi</v>
          </cell>
          <cell r="D2">
            <v>1.1E-4</v>
          </cell>
        </row>
        <row r="3">
          <cell r="B3" t="str">
            <v>KC Kepanjen</v>
          </cell>
          <cell r="D3">
            <v>1.9000000000000001E-4</v>
          </cell>
        </row>
        <row r="4">
          <cell r="B4" t="str">
            <v>KC Genteng</v>
          </cell>
          <cell r="D4">
            <v>2.2000000000000001E-4</v>
          </cell>
        </row>
        <row r="5">
          <cell r="B5" t="str">
            <v>KC Ngawi</v>
          </cell>
          <cell r="D5">
            <v>2.7E-4</v>
          </cell>
        </row>
        <row r="6">
          <cell r="B6" t="str">
            <v>KC Magetan</v>
          </cell>
          <cell r="D6">
            <v>2.7E-4</v>
          </cell>
        </row>
        <row r="7">
          <cell r="B7" t="str">
            <v>KC Kediri</v>
          </cell>
          <cell r="D7">
            <v>3.4000000000000002E-4</v>
          </cell>
        </row>
        <row r="8">
          <cell r="B8" t="str">
            <v>KC Bondowoso</v>
          </cell>
          <cell r="D8">
            <v>3.6000000000000002E-4</v>
          </cell>
        </row>
        <row r="9">
          <cell r="B9" t="str">
            <v>KC Malang Martadinata</v>
          </cell>
          <cell r="D9">
            <v>3.6999999999999999E-4</v>
          </cell>
        </row>
        <row r="10">
          <cell r="B10" t="str">
            <v>KC Madiun</v>
          </cell>
          <cell r="D10">
            <v>4.2000000000000002E-4</v>
          </cell>
        </row>
        <row r="11">
          <cell r="B11" t="str">
            <v>KC Blitar</v>
          </cell>
          <cell r="D11">
            <v>4.8000000000000001E-4</v>
          </cell>
        </row>
        <row r="12">
          <cell r="B12" t="str">
            <v>KC Pacitan</v>
          </cell>
          <cell r="D12">
            <v>5.6999999999999998E-4</v>
          </cell>
        </row>
        <row r="13">
          <cell r="B13" t="str">
            <v>KC Banyuwangi</v>
          </cell>
          <cell r="D13">
            <v>6.0999999999999997E-4</v>
          </cell>
        </row>
        <row r="14">
          <cell r="B14" t="str">
            <v>KC Trenggalek</v>
          </cell>
          <cell r="D14">
            <v>6.2E-4</v>
          </cell>
        </row>
        <row r="15">
          <cell r="B15" t="str">
            <v>KC Lumajang</v>
          </cell>
          <cell r="D15">
            <v>6.6E-4</v>
          </cell>
        </row>
        <row r="16">
          <cell r="B16" t="str">
            <v>KC Batu</v>
          </cell>
          <cell r="D16">
            <v>7.2000000000000005E-4</v>
          </cell>
        </row>
        <row r="17">
          <cell r="B17" t="str">
            <v>KC Tulungagung</v>
          </cell>
          <cell r="D17">
            <v>7.2999999999999996E-4</v>
          </cell>
        </row>
        <row r="18">
          <cell r="B18" t="str">
            <v>KC Nganjuk</v>
          </cell>
          <cell r="D18">
            <v>8.3000000000000001E-4</v>
          </cell>
        </row>
        <row r="19">
          <cell r="B19" t="str">
            <v>KC Jember</v>
          </cell>
          <cell r="D19">
            <v>8.8999999999999995E-4</v>
          </cell>
        </row>
        <row r="20">
          <cell r="B20" t="str">
            <v>KC Pare</v>
          </cell>
          <cell r="D20">
            <v>8.9999999999999998E-4</v>
          </cell>
        </row>
        <row r="21">
          <cell r="B21" t="str">
            <v>KC Malang Soekarno Hatta</v>
          </cell>
          <cell r="D21">
            <v>9.2000000000000003E-4</v>
          </cell>
        </row>
        <row r="22">
          <cell r="B22" t="str">
            <v>KC Situbondo</v>
          </cell>
          <cell r="D22">
            <v>9.6000000000000002E-4</v>
          </cell>
        </row>
        <row r="23">
          <cell r="B23" t="str">
            <v>KC Ponorogo</v>
          </cell>
          <cell r="D23">
            <v>1.1199999999999999E-3</v>
          </cell>
        </row>
        <row r="24">
          <cell r="B24" t="str">
            <v>KC Probolinggo</v>
          </cell>
          <cell r="D24">
            <v>1.2199999999999999E-3</v>
          </cell>
        </row>
        <row r="25">
          <cell r="B25" t="str">
            <v>KC Malang Sutoyo</v>
          </cell>
          <cell r="D25">
            <v>1.31E-3</v>
          </cell>
        </row>
        <row r="26">
          <cell r="B26" t="str">
            <v>KC Pasuruan</v>
          </cell>
          <cell r="D26">
            <v>1.5299999999999999E-3</v>
          </cell>
        </row>
        <row r="27">
          <cell r="B27" t="e">
            <v>#N/A</v>
          </cell>
          <cell r="D27">
            <v>6.8999999999999997E-4</v>
          </cell>
        </row>
        <row r="28">
          <cell r="B28" t="str">
            <v>KC Masohi</v>
          </cell>
          <cell r="D28">
            <v>3.7399999999999998E-3</v>
          </cell>
        </row>
        <row r="29">
          <cell r="B29" t="str">
            <v>KC Benteng Selayar</v>
          </cell>
          <cell r="D29">
            <v>3.81E-3</v>
          </cell>
        </row>
        <row r="30">
          <cell r="B30" t="str">
            <v>KC Ambon</v>
          </cell>
          <cell r="D30">
            <v>4.8300000000000001E-3</v>
          </cell>
        </row>
        <row r="31">
          <cell r="B31" t="str">
            <v>KC Sidrap</v>
          </cell>
          <cell r="D31">
            <v>5.0499999999999998E-3</v>
          </cell>
        </row>
        <row r="32">
          <cell r="B32" t="str">
            <v>KC Pulau Aru</v>
          </cell>
          <cell r="D32">
            <v>5.1500000000000001E-3</v>
          </cell>
        </row>
        <row r="33">
          <cell r="B33" t="str">
            <v>KC Barru</v>
          </cell>
          <cell r="D33">
            <v>5.1999999999999998E-3</v>
          </cell>
        </row>
        <row r="34">
          <cell r="B34" t="str">
            <v>Kanwil Makassar</v>
          </cell>
          <cell r="D34">
            <v>5.4599999999999996E-3</v>
          </cell>
        </row>
        <row r="35">
          <cell r="B35" t="str">
            <v>KC Watampone</v>
          </cell>
          <cell r="D35">
            <v>5.79E-3</v>
          </cell>
        </row>
        <row r="36">
          <cell r="B36" t="str">
            <v>KC Mamuju</v>
          </cell>
          <cell r="D36">
            <v>5.8799999999999998E-3</v>
          </cell>
        </row>
        <row r="37">
          <cell r="B37" t="str">
            <v>KC Palopo</v>
          </cell>
          <cell r="D37">
            <v>6.1000000000000004E-3</v>
          </cell>
        </row>
        <row r="38">
          <cell r="B38" t="str">
            <v>KC Sengkang</v>
          </cell>
          <cell r="D38">
            <v>6.1199999999999996E-3</v>
          </cell>
        </row>
        <row r="39">
          <cell r="B39" t="str">
            <v>KC Pangkep</v>
          </cell>
          <cell r="D39">
            <v>6.1799999999999997E-3</v>
          </cell>
        </row>
        <row r="40">
          <cell r="B40" t="str">
            <v>KC Pinrang</v>
          </cell>
          <cell r="D40">
            <v>6.43E-3</v>
          </cell>
        </row>
        <row r="41">
          <cell r="B41" t="str">
            <v>KC Kolaka</v>
          </cell>
          <cell r="D41">
            <v>6.4900000000000001E-3</v>
          </cell>
        </row>
        <row r="42">
          <cell r="B42" t="str">
            <v>KC Bantaeng</v>
          </cell>
          <cell r="D42">
            <v>6.5599999999999999E-3</v>
          </cell>
        </row>
        <row r="43">
          <cell r="B43" t="str">
            <v>KC Enrekang</v>
          </cell>
          <cell r="D43">
            <v>6.8199999999999997E-3</v>
          </cell>
        </row>
        <row r="44">
          <cell r="B44" t="str">
            <v>KC Watansopeng</v>
          </cell>
          <cell r="D44">
            <v>7.0000000000000001E-3</v>
          </cell>
        </row>
        <row r="45">
          <cell r="B45" t="str">
            <v>KC Rantepao</v>
          </cell>
          <cell r="D45">
            <v>7.0899999999999999E-3</v>
          </cell>
        </row>
        <row r="46">
          <cell r="B46" t="str">
            <v>KC Panakkukang</v>
          </cell>
          <cell r="D46">
            <v>7.2500000000000004E-3</v>
          </cell>
        </row>
        <row r="47">
          <cell r="B47" t="str">
            <v>KC Saumlaki</v>
          </cell>
          <cell r="D47">
            <v>7.3000000000000001E-3</v>
          </cell>
        </row>
        <row r="48">
          <cell r="B48" t="str">
            <v>KC Tamalanrea</v>
          </cell>
          <cell r="D48">
            <v>7.3899999999999999E-3</v>
          </cell>
        </row>
        <row r="49">
          <cell r="B49" t="str">
            <v>KC Sungguminasa</v>
          </cell>
          <cell r="D49">
            <v>7.5900000000000004E-3</v>
          </cell>
        </row>
        <row r="50">
          <cell r="B50" t="str">
            <v>KC Kendari Samratulangi</v>
          </cell>
          <cell r="D50">
            <v>8.0499999999999999E-3</v>
          </cell>
        </row>
        <row r="51">
          <cell r="B51" t="str">
            <v>KC Raha</v>
          </cell>
          <cell r="D51">
            <v>8.2400000000000008E-3</v>
          </cell>
        </row>
        <row r="52">
          <cell r="B52" t="str">
            <v>KC Masamba</v>
          </cell>
          <cell r="D52">
            <v>8.3599999999999994E-3</v>
          </cell>
        </row>
        <row r="53">
          <cell r="B53" t="str">
            <v>KC Makassar Ahmad Yani</v>
          </cell>
          <cell r="D53">
            <v>8.9800000000000001E-3</v>
          </cell>
        </row>
        <row r="54">
          <cell r="B54" t="str">
            <v>KC Pare-Pare</v>
          </cell>
          <cell r="D54">
            <v>8.9999999999999993E-3</v>
          </cell>
        </row>
        <row r="55">
          <cell r="B55" t="str">
            <v>KC Takalar</v>
          </cell>
          <cell r="D55">
            <v>9.0299999999999998E-3</v>
          </cell>
        </row>
        <row r="56">
          <cell r="B56" t="str">
            <v>KC Maros</v>
          </cell>
          <cell r="D56">
            <v>9.1800000000000007E-3</v>
          </cell>
        </row>
        <row r="57">
          <cell r="B57" t="str">
            <v>KC Sinjai</v>
          </cell>
          <cell r="D57">
            <v>9.6299999999999997E-3</v>
          </cell>
        </row>
        <row r="58">
          <cell r="B58" t="str">
            <v>KC Jeneponto</v>
          </cell>
          <cell r="D58">
            <v>9.8799999999999999E-3</v>
          </cell>
        </row>
        <row r="59">
          <cell r="B59" t="str">
            <v>KC Bulukumba</v>
          </cell>
          <cell r="D59">
            <v>9.9699999999999997E-3</v>
          </cell>
        </row>
        <row r="60">
          <cell r="B60" t="str">
            <v>KC Langgur</v>
          </cell>
          <cell r="D60">
            <v>1.098E-2</v>
          </cell>
        </row>
        <row r="61">
          <cell r="B61" t="str">
            <v>KC Majene</v>
          </cell>
          <cell r="D61">
            <v>1.1440000000000001E-2</v>
          </cell>
        </row>
        <row r="62">
          <cell r="B62" t="str">
            <v>KC Bau-Bau</v>
          </cell>
          <cell r="D62">
            <v>1.149E-2</v>
          </cell>
        </row>
        <row r="63">
          <cell r="B63" t="str">
            <v>KC Polewali</v>
          </cell>
          <cell r="D63">
            <v>1.1650000000000001E-2</v>
          </cell>
        </row>
        <row r="64">
          <cell r="B64" t="str">
            <v>KC Kendari By Pass</v>
          </cell>
          <cell r="D64">
            <v>1.251E-2</v>
          </cell>
        </row>
        <row r="65">
          <cell r="B65" t="str">
            <v>KC Makassar Sudirman</v>
          </cell>
          <cell r="D65">
            <v>1.286E-2</v>
          </cell>
        </row>
        <row r="66">
          <cell r="B66" t="e">
            <v>#N/A</v>
          </cell>
          <cell r="D66">
            <v>7.79E-3</v>
          </cell>
        </row>
        <row r="67">
          <cell r="B67" t="str">
            <v>Kanwil Denpasar</v>
          </cell>
          <cell r="D67">
            <v>0</v>
          </cell>
        </row>
        <row r="68">
          <cell r="B68" t="str">
            <v>KC Tabanan Kediri</v>
          </cell>
          <cell r="D68">
            <v>1.6000000000000001E-4</v>
          </cell>
        </row>
        <row r="69">
          <cell r="B69" t="str">
            <v>KC Ruteng</v>
          </cell>
          <cell r="D69">
            <v>1.5900000000000001E-3</v>
          </cell>
        </row>
        <row r="70">
          <cell r="B70" t="str">
            <v>KC Denpasar Ubud</v>
          </cell>
          <cell r="D70">
            <v>2.8900000000000002E-3</v>
          </cell>
        </row>
        <row r="71">
          <cell r="B71" t="str">
            <v>KC Semarapura</v>
          </cell>
          <cell r="D71">
            <v>3.0200000000000001E-3</v>
          </cell>
        </row>
        <row r="72">
          <cell r="B72" t="str">
            <v>KC Bangli</v>
          </cell>
          <cell r="D72">
            <v>3.3899999999999998E-3</v>
          </cell>
        </row>
        <row r="73">
          <cell r="B73" t="str">
            <v>KC Gianyar</v>
          </cell>
          <cell r="D73">
            <v>3.79E-3</v>
          </cell>
        </row>
        <row r="74">
          <cell r="B74" t="str">
            <v>KC Kuta</v>
          </cell>
          <cell r="D74">
            <v>4.0200000000000001E-3</v>
          </cell>
        </row>
        <row r="75">
          <cell r="B75" t="str">
            <v>KC Mataram</v>
          </cell>
          <cell r="D75">
            <v>4.6800000000000001E-3</v>
          </cell>
        </row>
        <row r="76">
          <cell r="B76" t="str">
            <v>KC Kalabahi</v>
          </cell>
          <cell r="D76">
            <v>4.9300000000000004E-3</v>
          </cell>
        </row>
        <row r="77">
          <cell r="B77" t="str">
            <v>KC Denpasar Renon</v>
          </cell>
          <cell r="D77">
            <v>5.0200000000000002E-3</v>
          </cell>
        </row>
        <row r="78">
          <cell r="B78" t="str">
            <v>KC Denpasar Gajah Mada</v>
          </cell>
          <cell r="D78">
            <v>5.5500000000000002E-3</v>
          </cell>
        </row>
        <row r="79">
          <cell r="B79" t="str">
            <v>KC Kefamenanu</v>
          </cell>
          <cell r="D79">
            <v>5.8599999999999998E-3</v>
          </cell>
        </row>
        <row r="80">
          <cell r="B80" t="str">
            <v>KC Negara</v>
          </cell>
          <cell r="D80">
            <v>5.8799999999999998E-3</v>
          </cell>
        </row>
        <row r="81">
          <cell r="B81" t="str">
            <v>KC Atambua</v>
          </cell>
          <cell r="D81">
            <v>5.8999999999999999E-3</v>
          </cell>
        </row>
        <row r="82">
          <cell r="B82" t="str">
            <v>KC Maumere</v>
          </cell>
          <cell r="D82">
            <v>6.0200000000000002E-3</v>
          </cell>
        </row>
        <row r="83">
          <cell r="B83" t="str">
            <v>KC Singaraja</v>
          </cell>
          <cell r="D83">
            <v>6.1000000000000004E-3</v>
          </cell>
        </row>
        <row r="84">
          <cell r="B84" t="str">
            <v>KC Tabanan</v>
          </cell>
          <cell r="D84">
            <v>6.1599999999999997E-3</v>
          </cell>
        </row>
        <row r="85">
          <cell r="B85" t="str">
            <v>KC Waikabubak</v>
          </cell>
          <cell r="D85">
            <v>6.43E-3</v>
          </cell>
        </row>
        <row r="86">
          <cell r="B86" t="str">
            <v>KC Denpasar Gatot Subroto</v>
          </cell>
          <cell r="D86">
            <v>6.4400000000000004E-3</v>
          </cell>
        </row>
        <row r="87">
          <cell r="B87" t="str">
            <v>KC Labuan Bajo</v>
          </cell>
          <cell r="D87">
            <v>6.5500000000000003E-3</v>
          </cell>
        </row>
        <row r="88">
          <cell r="B88" t="str">
            <v>KC Sumbawa Besar</v>
          </cell>
          <cell r="D88">
            <v>6.8100000000000001E-3</v>
          </cell>
        </row>
        <row r="89">
          <cell r="B89" t="str">
            <v>KC Bajawa</v>
          </cell>
          <cell r="D89">
            <v>6.8399999999999997E-3</v>
          </cell>
        </row>
        <row r="90">
          <cell r="B90" t="str">
            <v>KC Larantuka</v>
          </cell>
          <cell r="D90">
            <v>7.3899999999999999E-3</v>
          </cell>
        </row>
        <row r="91">
          <cell r="B91" t="str">
            <v>KC Amlapura</v>
          </cell>
          <cell r="D91">
            <v>7.5199999999999998E-3</v>
          </cell>
        </row>
        <row r="92">
          <cell r="B92" t="str">
            <v>KC Praya</v>
          </cell>
          <cell r="D92">
            <v>7.7600000000000004E-3</v>
          </cell>
        </row>
        <row r="93">
          <cell r="B93" t="str">
            <v>KC Raba Bima</v>
          </cell>
          <cell r="D93">
            <v>8.3700000000000007E-3</v>
          </cell>
        </row>
        <row r="94">
          <cell r="B94" t="str">
            <v>KC Selong</v>
          </cell>
          <cell r="D94">
            <v>8.9200000000000008E-3</v>
          </cell>
        </row>
        <row r="95">
          <cell r="B95" t="str">
            <v>KC Dompu</v>
          </cell>
          <cell r="D95">
            <v>9.1299999999999992E-3</v>
          </cell>
        </row>
        <row r="96">
          <cell r="B96" t="str">
            <v>KC Soe</v>
          </cell>
          <cell r="D96">
            <v>9.4699999999999993E-3</v>
          </cell>
        </row>
        <row r="97">
          <cell r="B97" t="str">
            <v>KC Ende</v>
          </cell>
          <cell r="D97">
            <v>9.9000000000000008E-3</v>
          </cell>
        </row>
        <row r="98">
          <cell r="B98" t="str">
            <v>KC Kupang</v>
          </cell>
          <cell r="D98">
            <v>1.086E-2</v>
          </cell>
        </row>
        <row r="99">
          <cell r="B99" t="str">
            <v>KC Waingapu</v>
          </cell>
          <cell r="D99">
            <v>1.4030000000000001E-2</v>
          </cell>
        </row>
        <row r="100">
          <cell r="B100" t="e">
            <v>#N/A</v>
          </cell>
          <cell r="D100">
            <v>6.8399999999999997E-3</v>
          </cell>
        </row>
        <row r="101">
          <cell r="B101" t="str">
            <v>KC Bintaro</v>
          </cell>
          <cell r="D101">
            <v>3.4000000000000002E-4</v>
          </cell>
        </row>
        <row r="102">
          <cell r="B102" t="str">
            <v>KC Jakarta Puri Niaga</v>
          </cell>
          <cell r="D102">
            <v>5.8E-4</v>
          </cell>
        </row>
        <row r="103">
          <cell r="B103" t="str">
            <v>KC Jakarta Palmerah</v>
          </cell>
          <cell r="D103">
            <v>1.0200000000000001E-3</v>
          </cell>
        </row>
        <row r="104">
          <cell r="B104" t="str">
            <v>KC Tangerang City</v>
          </cell>
          <cell r="D104">
            <v>1.58E-3</v>
          </cell>
        </row>
        <row r="105">
          <cell r="B105" t="str">
            <v>KC Bandara Soekarno Hatta</v>
          </cell>
          <cell r="D105">
            <v>1.6000000000000001E-3</v>
          </cell>
        </row>
        <row r="106">
          <cell r="B106" t="str">
            <v>KC Jakarta Daan Mogot</v>
          </cell>
          <cell r="D106">
            <v>2.16E-3</v>
          </cell>
        </row>
        <row r="107">
          <cell r="B107" t="str">
            <v>Kanwil Jakarta 3</v>
          </cell>
          <cell r="D107">
            <v>2.5300000000000001E-3</v>
          </cell>
        </row>
        <row r="108">
          <cell r="B108" t="str">
            <v>KC Jakarta Tanjung Duren</v>
          </cell>
          <cell r="D108">
            <v>2.8600000000000001E-3</v>
          </cell>
        </row>
        <row r="109">
          <cell r="B109" t="str">
            <v>KC Ciputat</v>
          </cell>
          <cell r="D109">
            <v>2.8900000000000002E-3</v>
          </cell>
        </row>
        <row r="110">
          <cell r="B110" t="str">
            <v>KC Jakarta Hayam Wuruk</v>
          </cell>
          <cell r="D110">
            <v>2.99E-3</v>
          </cell>
        </row>
        <row r="111">
          <cell r="B111" t="str">
            <v>KC Jakarta Kalideres</v>
          </cell>
          <cell r="D111">
            <v>3.4499999999999999E-3</v>
          </cell>
        </row>
        <row r="112">
          <cell r="B112" t="str">
            <v>KC Jakarta S Parman</v>
          </cell>
          <cell r="D112">
            <v>3.5599999999999998E-3</v>
          </cell>
        </row>
        <row r="113">
          <cell r="B113" t="str">
            <v>KC Jakarta Kebon Jeruk</v>
          </cell>
          <cell r="D113">
            <v>3.62E-3</v>
          </cell>
        </row>
        <row r="114">
          <cell r="B114" t="str">
            <v>KC Pamulang</v>
          </cell>
          <cell r="D114">
            <v>3.8500000000000001E-3</v>
          </cell>
        </row>
        <row r="115">
          <cell r="B115" t="str">
            <v>KC Jakarta Joglo</v>
          </cell>
          <cell r="D115">
            <v>4.0800000000000003E-3</v>
          </cell>
        </row>
        <row r="116">
          <cell r="B116" t="str">
            <v>KC Gading Serpong</v>
          </cell>
          <cell r="D116">
            <v>4.28E-3</v>
          </cell>
        </row>
        <row r="117">
          <cell r="B117" t="str">
            <v>KC Bumi Serpong Damai</v>
          </cell>
          <cell r="D117">
            <v>4.5100000000000001E-3</v>
          </cell>
        </row>
        <row r="118">
          <cell r="B118" t="str">
            <v>KC Balaraja</v>
          </cell>
          <cell r="D118">
            <v>4.8799999999999998E-3</v>
          </cell>
        </row>
        <row r="119">
          <cell r="B119" t="str">
            <v>KC Jakarta Jelambar</v>
          </cell>
          <cell r="D119">
            <v>5.0499999999999998E-3</v>
          </cell>
        </row>
        <row r="120">
          <cell r="B120" t="str">
            <v>KC Cilegon</v>
          </cell>
          <cell r="D120">
            <v>5.2700000000000004E-3</v>
          </cell>
        </row>
        <row r="121">
          <cell r="B121" t="str">
            <v>KC Serang</v>
          </cell>
          <cell r="D121">
            <v>5.3200000000000001E-3</v>
          </cell>
        </row>
        <row r="122">
          <cell r="B122" t="str">
            <v>KC Jakarta Tangerang</v>
          </cell>
          <cell r="D122">
            <v>5.4400000000000004E-3</v>
          </cell>
        </row>
        <row r="123">
          <cell r="B123" t="str">
            <v>KC Labuan</v>
          </cell>
          <cell r="D123">
            <v>5.8799999999999998E-3</v>
          </cell>
        </row>
        <row r="124">
          <cell r="B124" t="str">
            <v>KC Tangerang Merdeka</v>
          </cell>
          <cell r="D124">
            <v>6.4700000000000001E-3</v>
          </cell>
        </row>
        <row r="125">
          <cell r="B125" t="str">
            <v>KC Pandeglang</v>
          </cell>
          <cell r="D125">
            <v>8.4200000000000004E-3</v>
          </cell>
        </row>
        <row r="126">
          <cell r="B126" t="str">
            <v>KC Rangkasbitung</v>
          </cell>
          <cell r="D126">
            <v>9.5600000000000008E-3</v>
          </cell>
        </row>
        <row r="127">
          <cell r="B127" t="str">
            <v>KC Jakarta Kota</v>
          </cell>
          <cell r="D127">
            <v>9.8099999999999993E-3</v>
          </cell>
        </row>
        <row r="128">
          <cell r="B128" t="e">
            <v>#N/A</v>
          </cell>
          <cell r="D128">
            <v>5.3200000000000001E-3</v>
          </cell>
        </row>
        <row r="129">
          <cell r="B129" t="str">
            <v>KC Bandung Martadinata</v>
          </cell>
          <cell r="D129">
            <v>3.1E-4</v>
          </cell>
        </row>
        <row r="130">
          <cell r="B130" t="str">
            <v>KC Bandung A.H. Nasution</v>
          </cell>
          <cell r="D130">
            <v>4.0999999999999999E-4</v>
          </cell>
        </row>
        <row r="131">
          <cell r="B131" t="str">
            <v>Kanwil Bandung</v>
          </cell>
          <cell r="D131">
            <v>1.2199999999999999E-3</v>
          </cell>
        </row>
        <row r="132">
          <cell r="B132" t="str">
            <v>KC Cianjur</v>
          </cell>
          <cell r="D132">
            <v>1.81E-3</v>
          </cell>
        </row>
        <row r="133">
          <cell r="B133" t="str">
            <v>KC Cirebon Gunung Jati</v>
          </cell>
          <cell r="D133">
            <v>2.3800000000000002E-3</v>
          </cell>
        </row>
        <row r="134">
          <cell r="B134" t="str">
            <v>KC Bandung Dewi Sartika</v>
          </cell>
          <cell r="D134">
            <v>2.6199999999999999E-3</v>
          </cell>
        </row>
        <row r="135">
          <cell r="B135" t="str">
            <v>KC Garut</v>
          </cell>
          <cell r="D135">
            <v>2.6900000000000001E-3</v>
          </cell>
        </row>
        <row r="136">
          <cell r="B136" t="str">
            <v>KC Ciamis</v>
          </cell>
          <cell r="D136">
            <v>2.8999999999999998E-3</v>
          </cell>
        </row>
        <row r="137">
          <cell r="B137" t="str">
            <v>KC Soreang</v>
          </cell>
          <cell r="D137">
            <v>3.0699999999999998E-3</v>
          </cell>
        </row>
        <row r="138">
          <cell r="B138" t="str">
            <v>KC Bandung Naripan</v>
          </cell>
          <cell r="D138">
            <v>3.6099999999999999E-3</v>
          </cell>
        </row>
        <row r="139">
          <cell r="B139" t="str">
            <v>KC Bandung Kopo</v>
          </cell>
          <cell r="D139">
            <v>3.6600000000000001E-3</v>
          </cell>
        </row>
        <row r="140">
          <cell r="B140" t="str">
            <v>KC Majalengka</v>
          </cell>
          <cell r="D140">
            <v>4.0099999999999997E-3</v>
          </cell>
        </row>
        <row r="141">
          <cell r="B141" t="str">
            <v>KC Cirebon Kartini</v>
          </cell>
          <cell r="D141">
            <v>4.0499999999999998E-3</v>
          </cell>
        </row>
        <row r="142">
          <cell r="B142" t="str">
            <v>KC Purwakarta</v>
          </cell>
          <cell r="D142">
            <v>4.0600000000000002E-3</v>
          </cell>
        </row>
        <row r="143">
          <cell r="B143" t="str">
            <v>KC Indramayu</v>
          </cell>
          <cell r="D143">
            <v>4.1399999999999996E-3</v>
          </cell>
        </row>
        <row r="144">
          <cell r="B144" t="str">
            <v>KC Singaparna</v>
          </cell>
          <cell r="D144">
            <v>4.9300000000000004E-3</v>
          </cell>
        </row>
        <row r="145">
          <cell r="B145" t="str">
            <v>KC Bandung Dago</v>
          </cell>
          <cell r="D145">
            <v>4.9699999999999996E-3</v>
          </cell>
        </row>
        <row r="146">
          <cell r="B146" t="str">
            <v>KC Majalaya</v>
          </cell>
          <cell r="D146">
            <v>5.3499999999999997E-3</v>
          </cell>
        </row>
        <row r="147">
          <cell r="B147" t="str">
            <v>KC Cimahi</v>
          </cell>
          <cell r="D147">
            <v>5.4400000000000004E-3</v>
          </cell>
        </row>
        <row r="148">
          <cell r="B148" t="str">
            <v>KC Bandung Aa</v>
          </cell>
          <cell r="D148">
            <v>5.5199999999999997E-3</v>
          </cell>
        </row>
        <row r="149">
          <cell r="B149" t="str">
            <v>KC Sukabumi</v>
          </cell>
          <cell r="D149">
            <v>5.5300000000000002E-3</v>
          </cell>
        </row>
        <row r="150">
          <cell r="B150" t="str">
            <v>KC Jatibarang</v>
          </cell>
          <cell r="D150">
            <v>6.1700000000000001E-3</v>
          </cell>
        </row>
        <row r="151">
          <cell r="B151" t="str">
            <v>KC Tasikmalaya</v>
          </cell>
          <cell r="D151">
            <v>6.6400000000000001E-3</v>
          </cell>
        </row>
        <row r="152">
          <cell r="B152" t="str">
            <v>KC Kuningan</v>
          </cell>
          <cell r="D152">
            <v>6.7600000000000004E-3</v>
          </cell>
        </row>
        <row r="153">
          <cell r="B153" t="str">
            <v>KC Banjar</v>
          </cell>
          <cell r="D153">
            <v>6.9899999999999997E-3</v>
          </cell>
        </row>
        <row r="154">
          <cell r="B154" t="str">
            <v>KC Pamanukan</v>
          </cell>
          <cell r="D154">
            <v>8.7500000000000008E-3</v>
          </cell>
        </row>
        <row r="155">
          <cell r="B155" t="str">
            <v>KC Bandung Setiabudi</v>
          </cell>
          <cell r="D155">
            <v>8.77E-3</v>
          </cell>
        </row>
        <row r="156">
          <cell r="B156" t="str">
            <v>KC Sumedang</v>
          </cell>
          <cell r="D156">
            <v>8.7799999999999996E-3</v>
          </cell>
        </row>
        <row r="157">
          <cell r="B157" t="str">
            <v>KC Bandung Sukarno Hatta</v>
          </cell>
          <cell r="D157">
            <v>9.5300000000000003E-3</v>
          </cell>
        </row>
        <row r="158">
          <cell r="B158" t="str">
            <v>KC Subang</v>
          </cell>
          <cell r="D158">
            <v>9.7800000000000005E-3</v>
          </cell>
        </row>
        <row r="159">
          <cell r="B159" t="str">
            <v>KC Cibadak</v>
          </cell>
          <cell r="D159">
            <v>1.389E-2</v>
          </cell>
        </row>
        <row r="160">
          <cell r="B160" t="e">
            <v>#N/A</v>
          </cell>
          <cell r="D160">
            <v>5.28E-3</v>
          </cell>
        </row>
        <row r="161">
          <cell r="B161" t="str">
            <v>Kanwil Padang</v>
          </cell>
          <cell r="D161">
            <v>0</v>
          </cell>
        </row>
        <row r="162">
          <cell r="B162" t="str">
            <v>KC Padang Panjang</v>
          </cell>
          <cell r="D162">
            <v>2.5000000000000001E-4</v>
          </cell>
        </row>
        <row r="163">
          <cell r="B163" t="str">
            <v>KC Padang</v>
          </cell>
          <cell r="D163">
            <v>1.3699999999999999E-3</v>
          </cell>
        </row>
        <row r="164">
          <cell r="B164" t="str">
            <v>KC Batu Sangkar</v>
          </cell>
          <cell r="D164">
            <v>3.6600000000000001E-3</v>
          </cell>
        </row>
        <row r="165">
          <cell r="B165" t="str">
            <v>KC Simpang Empat</v>
          </cell>
          <cell r="D165">
            <v>3.6800000000000001E-3</v>
          </cell>
        </row>
        <row r="166">
          <cell r="B166" t="str">
            <v>KC Sijunjung</v>
          </cell>
          <cell r="D166">
            <v>4.1999999999999997E-3</v>
          </cell>
        </row>
        <row r="167">
          <cell r="B167" t="str">
            <v>KC Pariaman</v>
          </cell>
          <cell r="D167">
            <v>4.4000000000000003E-3</v>
          </cell>
        </row>
        <row r="168">
          <cell r="B168" t="str">
            <v>KC Dharmasraya</v>
          </cell>
          <cell r="D168">
            <v>4.4299999999999999E-3</v>
          </cell>
        </row>
        <row r="169">
          <cell r="B169" t="str">
            <v>KC Bukittinggi</v>
          </cell>
          <cell r="D169">
            <v>4.45E-3</v>
          </cell>
        </row>
        <row r="170">
          <cell r="B170" t="str">
            <v>KC Painan</v>
          </cell>
          <cell r="D170">
            <v>4.4600000000000004E-3</v>
          </cell>
        </row>
        <row r="171">
          <cell r="B171" t="str">
            <v>KC Lubuk Sikaping</v>
          </cell>
          <cell r="D171">
            <v>4.4900000000000001E-3</v>
          </cell>
        </row>
        <row r="172">
          <cell r="B172" t="str">
            <v>KC Khatib Sulaiman</v>
          </cell>
          <cell r="D172">
            <v>4.9199999999999999E-3</v>
          </cell>
        </row>
        <row r="173">
          <cell r="B173" t="str">
            <v>KC Payakumbuh</v>
          </cell>
          <cell r="D173">
            <v>5.13E-3</v>
          </cell>
        </row>
        <row r="174">
          <cell r="B174" t="str">
            <v>KC Solok</v>
          </cell>
          <cell r="D174">
            <v>5.4900000000000001E-3</v>
          </cell>
        </row>
        <row r="175">
          <cell r="B175" t="str">
            <v>KC Sungai Penuh</v>
          </cell>
          <cell r="D175">
            <v>5.7499999999999999E-3</v>
          </cell>
        </row>
        <row r="176">
          <cell r="B176" t="e">
            <v>#N/A</v>
          </cell>
          <cell r="D176">
            <v>4.3600000000000002E-3</v>
          </cell>
        </row>
        <row r="177">
          <cell r="B177" t="str">
            <v>KC Ajibarang</v>
          </cell>
          <cell r="D177">
            <v>9.3999999999999997E-4</v>
          </cell>
        </row>
        <row r="178">
          <cell r="B178" t="str">
            <v>KC Solo - Sudirman</v>
          </cell>
          <cell r="D178">
            <v>1.32E-3</v>
          </cell>
        </row>
        <row r="179">
          <cell r="B179" t="str">
            <v>KC Solo Kartasura</v>
          </cell>
          <cell r="D179">
            <v>1.49E-3</v>
          </cell>
        </row>
        <row r="180">
          <cell r="B180" t="str">
            <v>KC Yogyakarta Mlati</v>
          </cell>
          <cell r="D180">
            <v>1.7799999999999999E-3</v>
          </cell>
        </row>
        <row r="181">
          <cell r="B181" t="str">
            <v>KC Wonosobo</v>
          </cell>
          <cell r="D181">
            <v>1.8600000000000001E-3</v>
          </cell>
        </row>
        <row r="182">
          <cell r="B182" t="str">
            <v>KC Gombong</v>
          </cell>
          <cell r="D182">
            <v>2.4099999999999998E-3</v>
          </cell>
        </row>
        <row r="183">
          <cell r="B183" t="str">
            <v>KC Purbalingga</v>
          </cell>
          <cell r="D183">
            <v>2.5899999999999999E-3</v>
          </cell>
        </row>
        <row r="184">
          <cell r="B184" t="str">
            <v>KC Wonogiri</v>
          </cell>
          <cell r="D184">
            <v>2.9499999999999999E-3</v>
          </cell>
        </row>
        <row r="185">
          <cell r="B185" t="str">
            <v>KC Sukoharjo</v>
          </cell>
          <cell r="D185">
            <v>2.97E-3</v>
          </cell>
        </row>
        <row r="186">
          <cell r="B186" t="str">
            <v>KC Purwokerto</v>
          </cell>
          <cell r="D186">
            <v>3.2399999999999998E-3</v>
          </cell>
        </row>
        <row r="187">
          <cell r="B187" t="str">
            <v>KC Sleman</v>
          </cell>
          <cell r="D187">
            <v>3.2799999999999999E-3</v>
          </cell>
        </row>
        <row r="188">
          <cell r="B188" t="str">
            <v>KC Wonosari</v>
          </cell>
          <cell r="D188">
            <v>3.3E-3</v>
          </cell>
        </row>
        <row r="189">
          <cell r="B189" t="str">
            <v>KC Purworejo</v>
          </cell>
          <cell r="D189">
            <v>3.5899999999999999E-3</v>
          </cell>
        </row>
        <row r="190">
          <cell r="B190" t="str">
            <v>KC Cilacap</v>
          </cell>
          <cell r="D190">
            <v>3.7499999999999999E-3</v>
          </cell>
        </row>
        <row r="191">
          <cell r="B191" t="str">
            <v>KC Klaten</v>
          </cell>
          <cell r="D191">
            <v>4.0800000000000003E-3</v>
          </cell>
        </row>
        <row r="192">
          <cell r="B192" t="str">
            <v>KC Majenang</v>
          </cell>
          <cell r="D192">
            <v>4.1000000000000003E-3</v>
          </cell>
        </row>
        <row r="193">
          <cell r="B193" t="str">
            <v>KC Wates</v>
          </cell>
          <cell r="D193">
            <v>4.28E-3</v>
          </cell>
        </row>
        <row r="194">
          <cell r="B194" t="str">
            <v>KC Yogyakarta Adisucipto</v>
          </cell>
          <cell r="D194">
            <v>4.5300000000000002E-3</v>
          </cell>
        </row>
        <row r="195">
          <cell r="B195" t="str">
            <v>KC Kutoarjo</v>
          </cell>
          <cell r="D195">
            <v>4.5300000000000002E-3</v>
          </cell>
        </row>
        <row r="196">
          <cell r="B196" t="str">
            <v>KC Yogyakarta Cik Ditiro</v>
          </cell>
          <cell r="D196">
            <v>4.5300000000000002E-3</v>
          </cell>
        </row>
        <row r="197">
          <cell r="B197" t="str">
            <v>KC Boyolali</v>
          </cell>
          <cell r="D197">
            <v>4.81E-3</v>
          </cell>
        </row>
        <row r="198">
          <cell r="B198" t="str">
            <v>KC Bantul</v>
          </cell>
          <cell r="D198">
            <v>4.8900000000000002E-3</v>
          </cell>
        </row>
        <row r="199">
          <cell r="B199" t="str">
            <v>KC Solo Baru</v>
          </cell>
          <cell r="D199">
            <v>5.0000000000000001E-3</v>
          </cell>
        </row>
        <row r="200">
          <cell r="B200" t="str">
            <v>KC Temanggung</v>
          </cell>
          <cell r="D200">
            <v>5.0099999999999997E-3</v>
          </cell>
        </row>
        <row r="201">
          <cell r="B201" t="str">
            <v>KC Parakan</v>
          </cell>
          <cell r="D201">
            <v>5.1000000000000004E-3</v>
          </cell>
        </row>
        <row r="202">
          <cell r="B202" t="str">
            <v>KC Sragen</v>
          </cell>
          <cell r="D202">
            <v>5.2599999999999999E-3</v>
          </cell>
        </row>
        <row r="203">
          <cell r="B203" t="str">
            <v>KC Karanganyar</v>
          </cell>
          <cell r="D203">
            <v>5.2599999999999999E-3</v>
          </cell>
        </row>
        <row r="204">
          <cell r="B204" t="str">
            <v>KC Kebumen</v>
          </cell>
          <cell r="D204">
            <v>5.5599999999999998E-3</v>
          </cell>
        </row>
        <row r="205">
          <cell r="B205" t="str">
            <v>KC Banjarnegara</v>
          </cell>
          <cell r="D205">
            <v>5.7499999999999999E-3</v>
          </cell>
        </row>
        <row r="206">
          <cell r="B206" t="str">
            <v>KC Muntilan</v>
          </cell>
          <cell r="D206">
            <v>6.1900000000000002E-3</v>
          </cell>
        </row>
        <row r="207">
          <cell r="B207" t="str">
            <v>KC Solo Slamet Riyadi</v>
          </cell>
          <cell r="D207">
            <v>6.3499999999999997E-3</v>
          </cell>
        </row>
        <row r="208">
          <cell r="B208" t="str">
            <v>KC Yogyakarta Katamso</v>
          </cell>
          <cell r="D208">
            <v>6.3600000000000002E-3</v>
          </cell>
        </row>
        <row r="209">
          <cell r="B209" t="str">
            <v>KC Magelang</v>
          </cell>
          <cell r="D209">
            <v>1.0529999999999999E-2</v>
          </cell>
        </row>
        <row r="210">
          <cell r="B210" t="e">
            <v>#N/A</v>
          </cell>
          <cell r="D210">
            <v>4.28E-3</v>
          </cell>
        </row>
        <row r="211">
          <cell r="B211" t="str">
            <v>Kanwil Dki Jakarta</v>
          </cell>
          <cell r="D211">
            <v>0</v>
          </cell>
        </row>
        <row r="212">
          <cell r="B212" t="str">
            <v>KC Jakarta Kelapa Gading</v>
          </cell>
          <cell r="D212">
            <v>1.2E-4</v>
          </cell>
        </row>
        <row r="213">
          <cell r="B213" t="str">
            <v>KC Jakarta Sunter</v>
          </cell>
          <cell r="D213">
            <v>1.3999999999999999E-4</v>
          </cell>
        </row>
        <row r="214">
          <cell r="B214" t="str">
            <v>KC Jakarta Artha Gading</v>
          </cell>
          <cell r="D214">
            <v>1.9000000000000001E-4</v>
          </cell>
        </row>
        <row r="215">
          <cell r="B215" t="str">
            <v>KC Jakarta Pantai Indah Kapuk</v>
          </cell>
          <cell r="D215">
            <v>3.8000000000000002E-4</v>
          </cell>
        </row>
        <row r="216">
          <cell r="B216" t="str">
            <v>KC Jakarta Segitiga Senen</v>
          </cell>
          <cell r="D216">
            <v>3.8999999999999999E-4</v>
          </cell>
        </row>
        <row r="217">
          <cell r="B217" t="str">
            <v>KC Jakarta Kramat</v>
          </cell>
          <cell r="D217">
            <v>4.4999999999999999E-4</v>
          </cell>
        </row>
        <row r="218">
          <cell r="B218" t="str">
            <v>KC Jakarta Cut Mutiah</v>
          </cell>
          <cell r="D218">
            <v>5.5000000000000003E-4</v>
          </cell>
        </row>
        <row r="219">
          <cell r="B219" t="str">
            <v>KC Jakarta Gunung Sahari</v>
          </cell>
          <cell r="D219">
            <v>7.1000000000000002E-4</v>
          </cell>
        </row>
        <row r="220">
          <cell r="B220" t="str">
            <v>KC Jakarta Gading Boulevard</v>
          </cell>
          <cell r="D220">
            <v>7.7999999999999999E-4</v>
          </cell>
        </row>
        <row r="221">
          <cell r="B221" t="str">
            <v>KC Jakarta Jatinegara</v>
          </cell>
          <cell r="D221">
            <v>9.7000000000000005E-4</v>
          </cell>
        </row>
        <row r="222">
          <cell r="B222" t="str">
            <v>KC Jakarta Veteran</v>
          </cell>
          <cell r="D222">
            <v>1.0200000000000001E-3</v>
          </cell>
        </row>
        <row r="223">
          <cell r="B223" t="str">
            <v>KC Jakarta Rawamangun</v>
          </cell>
          <cell r="D223">
            <v>1.07E-3</v>
          </cell>
        </row>
        <row r="224">
          <cell r="B224" t="str">
            <v>KC Jakarta Mangga Dua</v>
          </cell>
          <cell r="D224">
            <v>1.39E-3</v>
          </cell>
        </row>
        <row r="225">
          <cell r="B225" t="str">
            <v>KC Jakarta Tanah Abang</v>
          </cell>
          <cell r="D225">
            <v>2.3500000000000001E-3</v>
          </cell>
        </row>
        <row r="226">
          <cell r="B226" t="str">
            <v>KC Sudirman Semanggi</v>
          </cell>
          <cell r="D226">
            <v>2.3900000000000002E-3</v>
          </cell>
        </row>
        <row r="227">
          <cell r="B227" t="str">
            <v>KC Jakarta Tanjung Priok</v>
          </cell>
          <cell r="D227">
            <v>2.5600000000000002E-3</v>
          </cell>
        </row>
        <row r="228">
          <cell r="B228" t="str">
            <v>KC Jakarta Kalimalang</v>
          </cell>
          <cell r="D228">
            <v>3.13E-3</v>
          </cell>
        </row>
        <row r="229">
          <cell r="B229" t="str">
            <v>KC Jakarta Roxi</v>
          </cell>
          <cell r="D229">
            <v>3.2699999999999999E-3</v>
          </cell>
        </row>
        <row r="230">
          <cell r="B230" t="str">
            <v>KC Jakarta Pluit</v>
          </cell>
          <cell r="D230">
            <v>3.5500000000000002E-3</v>
          </cell>
        </row>
        <row r="231">
          <cell r="B231" t="str">
            <v>KC Jakarta Kramat Jati</v>
          </cell>
          <cell r="D231">
            <v>3.6800000000000001E-3</v>
          </cell>
        </row>
        <row r="232">
          <cell r="B232" t="str">
            <v>KC Jakarta Otista</v>
          </cell>
          <cell r="D232">
            <v>4.9100000000000003E-3</v>
          </cell>
        </row>
        <row r="233">
          <cell r="B233" t="str">
            <v>KC Jakarta Krekot</v>
          </cell>
          <cell r="D233">
            <v>6.2300000000000003E-3</v>
          </cell>
        </row>
        <row r="234">
          <cell r="B234" t="str">
            <v>KC Jakarta Cempaka Mas</v>
          </cell>
          <cell r="D234">
            <v>6.2899999999999996E-3</v>
          </cell>
        </row>
        <row r="235">
          <cell r="B235" t="str">
            <v>KC Jakarta Kemayoran</v>
          </cell>
          <cell r="D235">
            <v>6.4400000000000004E-3</v>
          </cell>
        </row>
        <row r="236">
          <cell r="B236" t="e">
            <v>#N/A</v>
          </cell>
          <cell r="D236">
            <v>2.97E-3</v>
          </cell>
        </row>
        <row r="237">
          <cell r="B237" t="str">
            <v>KC Gorontalo</v>
          </cell>
          <cell r="D237">
            <v>2.5999999999999998E-4</v>
          </cell>
        </row>
        <row r="238">
          <cell r="B238" t="str">
            <v>KC Toli-Toli</v>
          </cell>
          <cell r="D238">
            <v>4.0000000000000002E-4</v>
          </cell>
        </row>
        <row r="239">
          <cell r="B239" t="str">
            <v>KC Tahuna</v>
          </cell>
          <cell r="D239">
            <v>1.41E-3</v>
          </cell>
        </row>
        <row r="240">
          <cell r="B240" t="str">
            <v>KC Ampana</v>
          </cell>
          <cell r="D240">
            <v>1.6299999999999999E-3</v>
          </cell>
        </row>
        <row r="241">
          <cell r="B241" t="str">
            <v>KC Manado Boulevard</v>
          </cell>
          <cell r="D241">
            <v>2.0100000000000001E-3</v>
          </cell>
        </row>
        <row r="242">
          <cell r="B242" t="str">
            <v>KC Limboto</v>
          </cell>
          <cell r="D242">
            <v>2.15E-3</v>
          </cell>
        </row>
        <row r="243">
          <cell r="B243" t="str">
            <v>KC Parigi</v>
          </cell>
          <cell r="D243">
            <v>2.2200000000000002E-3</v>
          </cell>
        </row>
        <row r="244">
          <cell r="B244" t="str">
            <v>KC Luwuk</v>
          </cell>
          <cell r="D244">
            <v>2.3600000000000001E-3</v>
          </cell>
        </row>
        <row r="245">
          <cell r="B245" t="str">
            <v>KC Manado</v>
          </cell>
          <cell r="D245">
            <v>2.5300000000000001E-3</v>
          </cell>
        </row>
        <row r="246">
          <cell r="B246" t="str">
            <v>KC Soa-Sio</v>
          </cell>
          <cell r="D246">
            <v>2.7299999999999998E-3</v>
          </cell>
        </row>
        <row r="247">
          <cell r="B247" t="str">
            <v>KC Morowali</v>
          </cell>
          <cell r="D247">
            <v>2.82E-3</v>
          </cell>
        </row>
        <row r="248">
          <cell r="B248" t="str">
            <v>KC Poso</v>
          </cell>
          <cell r="D248">
            <v>2.9199999999999999E-3</v>
          </cell>
        </row>
        <row r="249">
          <cell r="B249" t="str">
            <v>KC Ternate</v>
          </cell>
          <cell r="D249">
            <v>3.0200000000000001E-3</v>
          </cell>
        </row>
        <row r="250">
          <cell r="B250" t="str">
            <v>KC Pogogul Buol</v>
          </cell>
          <cell r="D250">
            <v>3.16E-3</v>
          </cell>
        </row>
        <row r="251">
          <cell r="B251" t="str">
            <v>KC Tobelo</v>
          </cell>
          <cell r="D251">
            <v>3.3600000000000001E-3</v>
          </cell>
        </row>
        <row r="252">
          <cell r="B252" t="str">
            <v>KC Kotamobagu</v>
          </cell>
          <cell r="D252">
            <v>3.62E-3</v>
          </cell>
        </row>
        <row r="253">
          <cell r="B253" t="str">
            <v>KC Bitung</v>
          </cell>
          <cell r="D253">
            <v>4.0699999999999998E-3</v>
          </cell>
        </row>
        <row r="254">
          <cell r="B254" t="str">
            <v>KC Palu</v>
          </cell>
          <cell r="D254">
            <v>4.1700000000000001E-3</v>
          </cell>
        </row>
        <row r="255">
          <cell r="B255" t="str">
            <v>KC Tondano</v>
          </cell>
          <cell r="D255">
            <v>4.9300000000000004E-3</v>
          </cell>
        </row>
        <row r="256">
          <cell r="B256" t="str">
            <v>KC Marisa</v>
          </cell>
          <cell r="D256">
            <v>7.1000000000000004E-3</v>
          </cell>
        </row>
        <row r="257">
          <cell r="B257" t="e">
            <v>#N/A</v>
          </cell>
          <cell r="D257">
            <v>2.96E-3</v>
          </cell>
        </row>
        <row r="258">
          <cell r="B258" t="str">
            <v>Kanwil Pekanbaru</v>
          </cell>
          <cell r="D258">
            <v>0</v>
          </cell>
        </row>
        <row r="259">
          <cell r="B259" t="str">
            <v>KC Siak</v>
          </cell>
          <cell r="D259">
            <v>9.2000000000000003E-4</v>
          </cell>
        </row>
        <row r="260">
          <cell r="B260" t="str">
            <v>KC Batam Center</v>
          </cell>
          <cell r="D260">
            <v>1.32E-3</v>
          </cell>
        </row>
        <row r="261">
          <cell r="B261" t="str">
            <v>KC Selat Panjang</v>
          </cell>
          <cell r="D261">
            <v>1.39E-3</v>
          </cell>
        </row>
        <row r="262">
          <cell r="B262" t="str">
            <v>KC Dumai</v>
          </cell>
          <cell r="D262">
            <v>1.6999999999999999E-3</v>
          </cell>
        </row>
        <row r="263">
          <cell r="B263" t="str">
            <v>KC Bangkinang</v>
          </cell>
          <cell r="D263">
            <v>1.73E-3</v>
          </cell>
        </row>
        <row r="264">
          <cell r="B264" t="str">
            <v>KC Pasir Pengaraian</v>
          </cell>
          <cell r="D264">
            <v>1.7600000000000001E-3</v>
          </cell>
        </row>
        <row r="265">
          <cell r="B265" t="str">
            <v>KC Teluk Kuantan</v>
          </cell>
          <cell r="D265">
            <v>2.0799999999999998E-3</v>
          </cell>
        </row>
        <row r="266">
          <cell r="B266" t="str">
            <v>KC Pangkalan Kerinci</v>
          </cell>
          <cell r="D266">
            <v>2.31E-3</v>
          </cell>
        </row>
        <row r="267">
          <cell r="B267" t="str">
            <v>KC Tanjung Pinang</v>
          </cell>
          <cell r="D267">
            <v>2.6900000000000001E-3</v>
          </cell>
        </row>
        <row r="268">
          <cell r="B268" t="str">
            <v>KC Ujung Batu</v>
          </cell>
          <cell r="D268">
            <v>2.7200000000000002E-3</v>
          </cell>
        </row>
        <row r="269">
          <cell r="B269" t="str">
            <v>KC Bagan Batu</v>
          </cell>
          <cell r="D269">
            <v>2.8E-3</v>
          </cell>
        </row>
        <row r="270">
          <cell r="B270" t="str">
            <v>KC Batam Nagoya</v>
          </cell>
          <cell r="D270">
            <v>2.82E-3</v>
          </cell>
        </row>
        <row r="271">
          <cell r="B271" t="str">
            <v>KC Rengat</v>
          </cell>
          <cell r="D271">
            <v>2.8600000000000001E-3</v>
          </cell>
        </row>
        <row r="272">
          <cell r="B272" t="str">
            <v>KC Tanjung Balai Karimun</v>
          </cell>
          <cell r="D272">
            <v>2.8900000000000002E-3</v>
          </cell>
        </row>
        <row r="273">
          <cell r="B273" t="str">
            <v>KC Perawang</v>
          </cell>
          <cell r="D273">
            <v>3.0699999999999998E-3</v>
          </cell>
        </row>
        <row r="274">
          <cell r="B274" t="str">
            <v>KC Tembilahan</v>
          </cell>
          <cell r="D274">
            <v>3.3600000000000001E-3</v>
          </cell>
        </row>
        <row r="275">
          <cell r="B275" t="str">
            <v>KC Bengkalis</v>
          </cell>
          <cell r="D275">
            <v>3.4299999999999999E-3</v>
          </cell>
        </row>
        <row r="276">
          <cell r="B276" t="str">
            <v>KC Pekanbaru Tuanku Tambusai</v>
          </cell>
          <cell r="D276">
            <v>3.65E-3</v>
          </cell>
        </row>
        <row r="277">
          <cell r="B277" t="str">
            <v>KC Duri</v>
          </cell>
          <cell r="D277">
            <v>3.6700000000000001E-3</v>
          </cell>
        </row>
        <row r="278">
          <cell r="B278" t="str">
            <v>KC Pekanbaru Lancang Kuning</v>
          </cell>
          <cell r="D278">
            <v>4.2300000000000003E-3</v>
          </cell>
        </row>
        <row r="279">
          <cell r="B279" t="str">
            <v>KC Bagan Siapi Api</v>
          </cell>
          <cell r="D279">
            <v>4.3099999999999996E-3</v>
          </cell>
        </row>
        <row r="280">
          <cell r="B280" t="str">
            <v>KC Pekanbaru Sudirman</v>
          </cell>
          <cell r="D280">
            <v>4.7699999999999999E-3</v>
          </cell>
        </row>
        <row r="281">
          <cell r="B281" t="e">
            <v>#N/A</v>
          </cell>
          <cell r="D281">
            <v>2.82E-3</v>
          </cell>
        </row>
        <row r="282">
          <cell r="B282" t="str">
            <v>KC Lahat</v>
          </cell>
          <cell r="D282">
            <v>3.2000000000000003E-4</v>
          </cell>
        </row>
        <row r="283">
          <cell r="B283" t="str">
            <v>KC Rimbo Bujang</v>
          </cell>
          <cell r="D283">
            <v>3.3E-4</v>
          </cell>
        </row>
        <row r="284">
          <cell r="B284" t="str">
            <v>KC Palembang Sriwijaya</v>
          </cell>
          <cell r="D284">
            <v>1E-3</v>
          </cell>
        </row>
        <row r="285">
          <cell r="B285" t="str">
            <v>KC Sarolangun</v>
          </cell>
          <cell r="D285">
            <v>1.01E-3</v>
          </cell>
        </row>
        <row r="286">
          <cell r="B286" t="str">
            <v>KC Bangko</v>
          </cell>
          <cell r="D286">
            <v>1.0499999999999999E-3</v>
          </cell>
        </row>
        <row r="287">
          <cell r="B287" t="str">
            <v>KC Pagar Alam</v>
          </cell>
          <cell r="D287">
            <v>1.82E-3</v>
          </cell>
        </row>
        <row r="288">
          <cell r="B288" t="str">
            <v>KC Sungai Liat</v>
          </cell>
          <cell r="D288">
            <v>1.83E-3</v>
          </cell>
        </row>
        <row r="289">
          <cell r="B289" t="str">
            <v>KC Sekayu</v>
          </cell>
          <cell r="D289">
            <v>1.89E-3</v>
          </cell>
        </row>
        <row r="290">
          <cell r="B290" t="str">
            <v>KC Prabumulih</v>
          </cell>
          <cell r="D290">
            <v>1.92E-3</v>
          </cell>
        </row>
        <row r="291">
          <cell r="B291" t="str">
            <v>KC Tanjung Pandan</v>
          </cell>
          <cell r="D291">
            <v>1.92E-3</v>
          </cell>
        </row>
        <row r="292">
          <cell r="B292" t="str">
            <v>KC Kayu Agung</v>
          </cell>
          <cell r="D292">
            <v>2.3E-3</v>
          </cell>
        </row>
        <row r="293">
          <cell r="B293" t="str">
            <v>KC Muara Enim</v>
          </cell>
          <cell r="D293">
            <v>2.96E-3</v>
          </cell>
        </row>
        <row r="294">
          <cell r="B294" t="str">
            <v>KC Jambi</v>
          </cell>
          <cell r="D294">
            <v>3.13E-3</v>
          </cell>
        </row>
        <row r="295">
          <cell r="B295" t="str">
            <v>KC Palembang A. Rivai</v>
          </cell>
          <cell r="D295">
            <v>3.2200000000000002E-3</v>
          </cell>
        </row>
        <row r="296">
          <cell r="B296" t="str">
            <v>KC Baturaja</v>
          </cell>
          <cell r="D296">
            <v>3.6099999999999999E-3</v>
          </cell>
        </row>
        <row r="297">
          <cell r="B297" t="str">
            <v>KC Lubuk Linggau</v>
          </cell>
          <cell r="D297">
            <v>3.7299999999999998E-3</v>
          </cell>
        </row>
        <row r="298">
          <cell r="B298" t="str">
            <v>KC Pangkal Pinang</v>
          </cell>
          <cell r="D298">
            <v>3.7699999999999999E-3</v>
          </cell>
        </row>
        <row r="299">
          <cell r="B299" t="str">
            <v>KC Muara Bulian</v>
          </cell>
          <cell r="D299">
            <v>3.79E-3</v>
          </cell>
        </row>
        <row r="300">
          <cell r="B300" t="str">
            <v>KC Abunjani Sipin</v>
          </cell>
          <cell r="D300">
            <v>4.8399999999999997E-3</v>
          </cell>
        </row>
        <row r="301">
          <cell r="B301" t="str">
            <v>KC Muara Bungo</v>
          </cell>
          <cell r="D301">
            <v>5.0600000000000003E-3</v>
          </cell>
        </row>
        <row r="302">
          <cell r="B302" t="str">
            <v>KC Kuala Tungkal</v>
          </cell>
          <cell r="D302">
            <v>6.7499999999999999E-3</v>
          </cell>
        </row>
        <row r="303">
          <cell r="B303" t="e">
            <v>#N/A</v>
          </cell>
          <cell r="D303">
            <v>2.7499999999999998E-3</v>
          </cell>
        </row>
        <row r="304">
          <cell r="B304" t="str">
            <v>Kanwil Jayapura</v>
          </cell>
          <cell r="D304">
            <v>0</v>
          </cell>
        </row>
        <row r="305">
          <cell r="B305" t="str">
            <v>KC Wamena</v>
          </cell>
          <cell r="D305">
            <v>9.0000000000000006E-5</v>
          </cell>
        </row>
        <row r="306">
          <cell r="B306" t="str">
            <v>KC Fakfak</v>
          </cell>
          <cell r="D306">
            <v>1.1E-4</v>
          </cell>
        </row>
        <row r="307">
          <cell r="B307" t="str">
            <v>KC Jayapura</v>
          </cell>
          <cell r="D307">
            <v>4.8000000000000001E-4</v>
          </cell>
        </row>
        <row r="308">
          <cell r="B308" t="str">
            <v>KC Serui</v>
          </cell>
          <cell r="D308">
            <v>5.1999999999999995E-4</v>
          </cell>
        </row>
        <row r="309">
          <cell r="B309" t="str">
            <v>KC Bintuni</v>
          </cell>
          <cell r="D309">
            <v>6.6E-4</v>
          </cell>
        </row>
        <row r="310">
          <cell r="B310" t="str">
            <v>KC Abepura</v>
          </cell>
          <cell r="D310">
            <v>7.3999999999999999E-4</v>
          </cell>
        </row>
        <row r="311">
          <cell r="B311" t="str">
            <v>KC Sorong</v>
          </cell>
          <cell r="D311">
            <v>9.2000000000000003E-4</v>
          </cell>
        </row>
        <row r="312">
          <cell r="B312" t="str">
            <v>KC Nabire</v>
          </cell>
          <cell r="D312">
            <v>1.42E-3</v>
          </cell>
        </row>
        <row r="313">
          <cell r="B313" t="str">
            <v>KC Sentani</v>
          </cell>
          <cell r="D313">
            <v>1.5900000000000001E-3</v>
          </cell>
        </row>
        <row r="314">
          <cell r="B314" t="str">
            <v>KC Manokwari</v>
          </cell>
          <cell r="D314">
            <v>1.72E-3</v>
          </cell>
        </row>
        <row r="315">
          <cell r="B315" t="str">
            <v>KC Biak</v>
          </cell>
          <cell r="D315">
            <v>1.8600000000000001E-3</v>
          </cell>
        </row>
        <row r="316">
          <cell r="B316" t="str">
            <v>KC Merauke</v>
          </cell>
          <cell r="D316">
            <v>7.0200000000000002E-3</v>
          </cell>
        </row>
        <row r="317">
          <cell r="B317" t="str">
            <v>KC Timika</v>
          </cell>
          <cell r="D317">
            <v>8.9800000000000001E-3</v>
          </cell>
        </row>
        <row r="318">
          <cell r="B318" t="e">
            <v>#N/A</v>
          </cell>
          <cell r="D318">
            <v>2.5500000000000002E-3</v>
          </cell>
        </row>
        <row r="319">
          <cell r="B319" t="str">
            <v>Kanwil Bandar Lampung</v>
          </cell>
          <cell r="D319">
            <v>0</v>
          </cell>
        </row>
        <row r="320">
          <cell r="B320" t="str">
            <v>KC Muko Muko</v>
          </cell>
          <cell r="D320">
            <v>5.9000000000000003E-4</v>
          </cell>
        </row>
        <row r="321">
          <cell r="B321" t="str">
            <v>KC Bengkulu</v>
          </cell>
          <cell r="D321">
            <v>6.8999999999999997E-4</v>
          </cell>
        </row>
        <row r="322">
          <cell r="B322" t="str">
            <v>KC Tulang Bawang</v>
          </cell>
          <cell r="D322">
            <v>7.6000000000000004E-4</v>
          </cell>
        </row>
        <row r="323">
          <cell r="B323" t="str">
            <v>KC Liwa</v>
          </cell>
          <cell r="D323">
            <v>9.8999999999999999E-4</v>
          </cell>
        </row>
        <row r="324">
          <cell r="B324" t="str">
            <v>KC Metro</v>
          </cell>
          <cell r="D324">
            <v>1.2199999999999999E-3</v>
          </cell>
        </row>
        <row r="325">
          <cell r="B325" t="str">
            <v>KC Arga Makmur</v>
          </cell>
          <cell r="D325">
            <v>1.91E-3</v>
          </cell>
        </row>
        <row r="326">
          <cell r="B326" t="str">
            <v>KC Kota Bumi</v>
          </cell>
          <cell r="D326">
            <v>2.4499999999999999E-3</v>
          </cell>
        </row>
        <row r="327">
          <cell r="B327" t="str">
            <v>KC Tanjung Karang</v>
          </cell>
          <cell r="D327">
            <v>2.6099999999999999E-3</v>
          </cell>
        </row>
        <row r="328">
          <cell r="B328" t="str">
            <v>KC Pringsewu</v>
          </cell>
          <cell r="D328">
            <v>2.81E-3</v>
          </cell>
        </row>
        <row r="329">
          <cell r="B329" t="str">
            <v>KC Curup</v>
          </cell>
          <cell r="D329">
            <v>3.0899999999999999E-3</v>
          </cell>
        </row>
        <row r="330">
          <cell r="B330" t="str">
            <v>KC Bandar Jaya</v>
          </cell>
          <cell r="D330">
            <v>3.16E-3</v>
          </cell>
        </row>
        <row r="331">
          <cell r="B331" t="str">
            <v>KC Teluk Betung</v>
          </cell>
          <cell r="D331">
            <v>3.2299999999999998E-3</v>
          </cell>
        </row>
        <row r="332">
          <cell r="B332" t="str">
            <v>KC Kalianda</v>
          </cell>
          <cell r="D332">
            <v>3.29E-3</v>
          </cell>
        </row>
        <row r="333">
          <cell r="B333" t="str">
            <v>KC Manna</v>
          </cell>
          <cell r="D333">
            <v>3.9300000000000003E-3</v>
          </cell>
        </row>
        <row r="334">
          <cell r="B334" t="e">
            <v>#N/A</v>
          </cell>
          <cell r="D334">
            <v>2.33E-3</v>
          </cell>
        </row>
        <row r="335">
          <cell r="B335" t="str">
            <v>Kanwil Surabaya</v>
          </cell>
          <cell r="D335">
            <v>0</v>
          </cell>
        </row>
        <row r="336">
          <cell r="B336" t="str">
            <v>KC Surabaya Kusuma Bangsa</v>
          </cell>
          <cell r="D336">
            <v>6.3000000000000003E-4</v>
          </cell>
        </row>
        <row r="337">
          <cell r="B337" t="str">
            <v>KC Gresik</v>
          </cell>
          <cell r="D337">
            <v>6.4000000000000005E-4</v>
          </cell>
        </row>
        <row r="338">
          <cell r="B338" t="str">
            <v>KC Surabaya Hr Muhammad</v>
          </cell>
          <cell r="D338">
            <v>6.7000000000000002E-4</v>
          </cell>
        </row>
        <row r="339">
          <cell r="B339" t="str">
            <v>KC Tuban</v>
          </cell>
          <cell r="D339">
            <v>8.3000000000000001E-4</v>
          </cell>
        </row>
        <row r="340">
          <cell r="B340" t="str">
            <v>KC Sampang</v>
          </cell>
          <cell r="D340">
            <v>9.7000000000000005E-4</v>
          </cell>
        </row>
        <row r="341">
          <cell r="B341" t="str">
            <v>KC Sidoarjo</v>
          </cell>
          <cell r="D341">
            <v>1.1800000000000001E-3</v>
          </cell>
        </row>
        <row r="342">
          <cell r="B342" t="str">
            <v>KC Bojonegoro</v>
          </cell>
          <cell r="D342">
            <v>1.32E-3</v>
          </cell>
        </row>
        <row r="343">
          <cell r="B343" t="str">
            <v>KC Lamongan</v>
          </cell>
          <cell r="D343">
            <v>1.33E-3</v>
          </cell>
        </row>
        <row r="344">
          <cell r="B344" t="str">
            <v>KC Surabaya Diponegoro</v>
          </cell>
          <cell r="D344">
            <v>1.34E-3</v>
          </cell>
        </row>
        <row r="345">
          <cell r="B345" t="str">
            <v>KC Mojokerto</v>
          </cell>
          <cell r="D345">
            <v>1.6199999999999999E-3</v>
          </cell>
        </row>
        <row r="346">
          <cell r="B346" t="str">
            <v>KC Jombang</v>
          </cell>
          <cell r="D346">
            <v>1.74E-3</v>
          </cell>
        </row>
        <row r="347">
          <cell r="B347" t="str">
            <v>KC Krian</v>
          </cell>
          <cell r="D347">
            <v>1.7600000000000001E-3</v>
          </cell>
        </row>
        <row r="348">
          <cell r="B348" t="str">
            <v>KC Bangkalan</v>
          </cell>
          <cell r="D348">
            <v>1.8E-3</v>
          </cell>
        </row>
        <row r="349">
          <cell r="B349" t="str">
            <v>KC Mulyosari</v>
          </cell>
          <cell r="D349">
            <v>1.91E-3</v>
          </cell>
        </row>
        <row r="350">
          <cell r="B350" t="str">
            <v>KC Kapas Krampung</v>
          </cell>
          <cell r="D350">
            <v>1.9300000000000001E-3</v>
          </cell>
        </row>
        <row r="351">
          <cell r="B351" t="str">
            <v>KC Surabaya Pahlawan</v>
          </cell>
          <cell r="D351">
            <v>2.0400000000000001E-3</v>
          </cell>
        </row>
        <row r="352">
          <cell r="B352" t="str">
            <v>KC Manukan</v>
          </cell>
          <cell r="D352">
            <v>2.14E-3</v>
          </cell>
        </row>
        <row r="353">
          <cell r="B353" t="str">
            <v>KC Pamekasan</v>
          </cell>
          <cell r="D353">
            <v>2.15E-3</v>
          </cell>
        </row>
        <row r="354">
          <cell r="B354" t="str">
            <v>KC Surabaya Kaliasin</v>
          </cell>
          <cell r="D354">
            <v>2.64E-3</v>
          </cell>
        </row>
        <row r="355">
          <cell r="B355" t="str">
            <v>KC Waru</v>
          </cell>
          <cell r="D355">
            <v>2.7499999999999998E-3</v>
          </cell>
        </row>
        <row r="356">
          <cell r="B356" t="str">
            <v>KC Surabaya Tanjung Perak</v>
          </cell>
          <cell r="D356">
            <v>2.7699999999999999E-3</v>
          </cell>
        </row>
        <row r="357">
          <cell r="B357" t="str">
            <v>KC Surabaya Rajawali</v>
          </cell>
          <cell r="D357">
            <v>3.0799999999999998E-3</v>
          </cell>
        </row>
        <row r="358">
          <cell r="B358" t="str">
            <v>KC Sumenep</v>
          </cell>
          <cell r="D358">
            <v>3.1900000000000001E-3</v>
          </cell>
        </row>
        <row r="359">
          <cell r="B359" t="str">
            <v>KC Surabaya Jemursari</v>
          </cell>
          <cell r="D359">
            <v>4.8599999999999997E-3</v>
          </cell>
        </row>
        <row r="360">
          <cell r="B360" t="str">
            <v>KC Surabaya Kertajaya</v>
          </cell>
          <cell r="D360">
            <v>6.3800000000000003E-3</v>
          </cell>
        </row>
        <row r="361">
          <cell r="B361" t="e">
            <v>#N/A</v>
          </cell>
          <cell r="D361">
            <v>1.81E-3</v>
          </cell>
        </row>
        <row r="362">
          <cell r="B362" t="str">
            <v>Kanwil Medan</v>
          </cell>
          <cell r="D362">
            <v>6.9999999999999994E-5</v>
          </cell>
        </row>
        <row r="363">
          <cell r="B363" t="str">
            <v>KC Kota Pinang</v>
          </cell>
          <cell r="D363">
            <v>8.0000000000000007E-5</v>
          </cell>
        </row>
        <row r="364">
          <cell r="B364" t="str">
            <v>KC Panyabungan</v>
          </cell>
          <cell r="D364">
            <v>3.6000000000000002E-4</v>
          </cell>
        </row>
        <row r="365">
          <cell r="B365" t="str">
            <v>KC Balige</v>
          </cell>
          <cell r="D365">
            <v>4.6999999999999999E-4</v>
          </cell>
        </row>
        <row r="366">
          <cell r="B366" t="str">
            <v>KC Lubuk Pakam</v>
          </cell>
          <cell r="D366">
            <v>6.2E-4</v>
          </cell>
        </row>
        <row r="367">
          <cell r="B367" t="str">
            <v>KC Gunung Sitoli</v>
          </cell>
          <cell r="D367">
            <v>8.3000000000000001E-4</v>
          </cell>
        </row>
        <row r="368">
          <cell r="B368" t="str">
            <v>KC Binjai</v>
          </cell>
          <cell r="D368">
            <v>1.07E-3</v>
          </cell>
        </row>
        <row r="369">
          <cell r="B369" t="str">
            <v>KC Perdagangan</v>
          </cell>
          <cell r="D369">
            <v>1.2099999999999999E-3</v>
          </cell>
        </row>
        <row r="370">
          <cell r="B370" t="str">
            <v>KC Medan Putri Hijau</v>
          </cell>
          <cell r="D370">
            <v>1.2999999999999999E-3</v>
          </cell>
        </row>
        <row r="371">
          <cell r="B371" t="str">
            <v>KC Medan Sisingamangaraja</v>
          </cell>
          <cell r="D371">
            <v>1.4499999999999999E-3</v>
          </cell>
        </row>
        <row r="372">
          <cell r="B372" t="str">
            <v>KC Medan Thamrin</v>
          </cell>
          <cell r="D372">
            <v>1.6100000000000001E-3</v>
          </cell>
        </row>
        <row r="373">
          <cell r="B373" t="str">
            <v>KC Rantau Prapat</v>
          </cell>
          <cell r="D373">
            <v>1.65E-3</v>
          </cell>
        </row>
        <row r="374">
          <cell r="B374" t="str">
            <v>KC Padang Sidempuan</v>
          </cell>
          <cell r="D374">
            <v>1.67E-3</v>
          </cell>
        </row>
        <row r="375">
          <cell r="B375" t="str">
            <v>KC Tebing Tinggi</v>
          </cell>
          <cell r="D375">
            <v>1.8500000000000001E-3</v>
          </cell>
        </row>
        <row r="376">
          <cell r="B376" t="str">
            <v>KC Pematang Siantar</v>
          </cell>
          <cell r="D376">
            <v>1.9400000000000001E-3</v>
          </cell>
        </row>
        <row r="377">
          <cell r="B377" t="str">
            <v>KC Sibuhuan</v>
          </cell>
          <cell r="D377">
            <v>2E-3</v>
          </cell>
        </row>
        <row r="378">
          <cell r="B378" t="str">
            <v>KC Sidikalang</v>
          </cell>
          <cell r="D378">
            <v>2.0999999999999999E-3</v>
          </cell>
        </row>
        <row r="379">
          <cell r="B379" t="str">
            <v>KC Tanjung Balai</v>
          </cell>
          <cell r="D379">
            <v>2.33E-3</v>
          </cell>
        </row>
        <row r="380">
          <cell r="B380" t="str">
            <v>KC Kabanjahe</v>
          </cell>
          <cell r="D380">
            <v>2.3500000000000001E-3</v>
          </cell>
        </row>
        <row r="381">
          <cell r="B381" t="str">
            <v>KC Sibolga</v>
          </cell>
          <cell r="D381">
            <v>2.5500000000000002E-3</v>
          </cell>
        </row>
        <row r="382">
          <cell r="B382" t="str">
            <v>KC Medan Iskandar Muda</v>
          </cell>
          <cell r="D382">
            <v>2.7200000000000002E-3</v>
          </cell>
        </row>
        <row r="383">
          <cell r="B383" t="str">
            <v>KC Stabat</v>
          </cell>
          <cell r="D383">
            <v>2.9099999999999998E-3</v>
          </cell>
        </row>
        <row r="384">
          <cell r="B384" t="str">
            <v>KC Kisaran</v>
          </cell>
          <cell r="D384">
            <v>2.9299999999999999E-3</v>
          </cell>
        </row>
        <row r="385">
          <cell r="B385" t="str">
            <v>KC Tarutung</v>
          </cell>
          <cell r="D385">
            <v>2.98E-3</v>
          </cell>
        </row>
        <row r="386">
          <cell r="B386" t="str">
            <v>KC Medan Gatot Subroto</v>
          </cell>
          <cell r="D386">
            <v>3.5200000000000001E-3</v>
          </cell>
        </row>
        <row r="387">
          <cell r="B387" t="e">
            <v>#N/A</v>
          </cell>
          <cell r="D387">
            <v>1.7799999999999999E-3</v>
          </cell>
        </row>
        <row r="388">
          <cell r="B388" t="str">
            <v>KC Tanah Grogot</v>
          </cell>
          <cell r="D388">
            <v>1.8000000000000001E-4</v>
          </cell>
        </row>
        <row r="389">
          <cell r="B389" t="str">
            <v>KC Sangatta</v>
          </cell>
          <cell r="D389">
            <v>2.4000000000000001E-4</v>
          </cell>
        </row>
        <row r="390">
          <cell r="B390" t="str">
            <v>KC Bontang</v>
          </cell>
          <cell r="D390">
            <v>2.7E-4</v>
          </cell>
        </row>
        <row r="391">
          <cell r="B391" t="str">
            <v>KC Tarakan</v>
          </cell>
          <cell r="D391">
            <v>2.7999999999999998E-4</v>
          </cell>
        </row>
        <row r="392">
          <cell r="B392" t="str">
            <v>KC Kuala Kapuas</v>
          </cell>
          <cell r="D392">
            <v>2.9E-4</v>
          </cell>
        </row>
        <row r="393">
          <cell r="B393" t="str">
            <v>KC Nunukan</v>
          </cell>
          <cell r="D393">
            <v>3.3E-4</v>
          </cell>
        </row>
        <row r="394">
          <cell r="B394" t="str">
            <v>KC Balikpapan</v>
          </cell>
          <cell r="D394">
            <v>3.8000000000000002E-4</v>
          </cell>
        </row>
        <row r="395">
          <cell r="B395" t="str">
            <v>KC Banjarmasin 2</v>
          </cell>
          <cell r="D395">
            <v>4.4000000000000002E-4</v>
          </cell>
        </row>
        <row r="396">
          <cell r="B396" t="str">
            <v>KC Tanjung Redeb</v>
          </cell>
          <cell r="D396">
            <v>5.1999999999999995E-4</v>
          </cell>
        </row>
        <row r="397">
          <cell r="B397" t="str">
            <v>KC Kotabaru</v>
          </cell>
          <cell r="D397">
            <v>5.1999999999999995E-4</v>
          </cell>
        </row>
        <row r="398">
          <cell r="B398" t="str">
            <v>KC Samarinda Pelita</v>
          </cell>
          <cell r="D398">
            <v>5.4000000000000001E-4</v>
          </cell>
        </row>
        <row r="399">
          <cell r="B399" t="str">
            <v>KC Mempawah</v>
          </cell>
          <cell r="D399">
            <v>5.5000000000000003E-4</v>
          </cell>
        </row>
        <row r="400">
          <cell r="B400" t="str">
            <v>KC Tanjung Tabalong</v>
          </cell>
          <cell r="D400">
            <v>5.6999999999999998E-4</v>
          </cell>
        </row>
        <row r="401">
          <cell r="B401" t="str">
            <v>KC Balikpapan A. Yani</v>
          </cell>
          <cell r="D401">
            <v>5.6999999999999998E-4</v>
          </cell>
        </row>
        <row r="402">
          <cell r="B402" t="str">
            <v>KC Rantau</v>
          </cell>
          <cell r="D402">
            <v>5.9000000000000003E-4</v>
          </cell>
        </row>
        <row r="403">
          <cell r="B403" t="str">
            <v>KC Pangkalan Bun</v>
          </cell>
          <cell r="D403">
            <v>8.7000000000000001E-4</v>
          </cell>
        </row>
        <row r="404">
          <cell r="B404" t="str">
            <v>KC Kandangan</v>
          </cell>
          <cell r="D404">
            <v>8.7000000000000001E-4</v>
          </cell>
        </row>
        <row r="405">
          <cell r="B405" t="str">
            <v>KC Melawi</v>
          </cell>
          <cell r="D405">
            <v>9.2000000000000003E-4</v>
          </cell>
        </row>
        <row r="406">
          <cell r="B406" t="str">
            <v>KC Martapura</v>
          </cell>
          <cell r="D406">
            <v>1.16E-3</v>
          </cell>
        </row>
        <row r="407">
          <cell r="B407" t="str">
            <v>KC Samarinda Gajah Mada</v>
          </cell>
          <cell r="D407">
            <v>1.1800000000000001E-3</v>
          </cell>
        </row>
        <row r="408">
          <cell r="B408" t="str">
            <v>KC Amuntai</v>
          </cell>
          <cell r="D408">
            <v>1.2600000000000001E-3</v>
          </cell>
        </row>
        <row r="409">
          <cell r="B409" t="str">
            <v>KC Sampit</v>
          </cell>
          <cell r="D409">
            <v>1.4E-3</v>
          </cell>
        </row>
        <row r="410">
          <cell r="B410" t="str">
            <v>KC Banjarmasin</v>
          </cell>
          <cell r="D410">
            <v>1.58E-3</v>
          </cell>
        </row>
        <row r="411">
          <cell r="B411" t="str">
            <v>KC Sendawar</v>
          </cell>
          <cell r="D411">
            <v>1.5900000000000001E-3</v>
          </cell>
        </row>
        <row r="412">
          <cell r="B412" t="str">
            <v>KC Batulicin</v>
          </cell>
          <cell r="D412">
            <v>1.65E-3</v>
          </cell>
        </row>
        <row r="413">
          <cell r="B413" t="str">
            <v>KC Pleihari</v>
          </cell>
          <cell r="D413">
            <v>1.7600000000000001E-3</v>
          </cell>
        </row>
        <row r="414">
          <cell r="B414" t="str">
            <v>KC Barabai</v>
          </cell>
          <cell r="D414">
            <v>1.8400000000000001E-3</v>
          </cell>
        </row>
        <row r="415">
          <cell r="B415" t="str">
            <v>KC Pontianak Gajah Mada</v>
          </cell>
          <cell r="D415">
            <v>1.8400000000000001E-3</v>
          </cell>
        </row>
        <row r="416">
          <cell r="B416" t="str">
            <v>KC Tenggarong</v>
          </cell>
          <cell r="D416">
            <v>1.9E-3</v>
          </cell>
        </row>
        <row r="417">
          <cell r="B417" t="str">
            <v>KC Pontianak</v>
          </cell>
          <cell r="D417">
            <v>1.91E-3</v>
          </cell>
        </row>
        <row r="418">
          <cell r="B418" t="str">
            <v>KC Tanjung Selor</v>
          </cell>
          <cell r="D418">
            <v>2.1800000000000001E-3</v>
          </cell>
        </row>
        <row r="419">
          <cell r="B419" t="str">
            <v>KC Buntok</v>
          </cell>
          <cell r="D419">
            <v>2.5899999999999999E-3</v>
          </cell>
        </row>
        <row r="420">
          <cell r="B420" t="str">
            <v>KC Putussibau</v>
          </cell>
          <cell r="D420">
            <v>2.7499999999999998E-3</v>
          </cell>
        </row>
        <row r="421">
          <cell r="B421" t="str">
            <v>KC Sintang</v>
          </cell>
          <cell r="D421">
            <v>3.2499999999999999E-3</v>
          </cell>
        </row>
        <row r="422">
          <cell r="B422" t="str">
            <v>KC Palangkaraya</v>
          </cell>
          <cell r="D422">
            <v>3.4299999999999999E-3</v>
          </cell>
        </row>
        <row r="423">
          <cell r="B423" t="str">
            <v>KC Ketapang</v>
          </cell>
          <cell r="D423">
            <v>3.5999999999999999E-3</v>
          </cell>
        </row>
        <row r="424">
          <cell r="B424" t="str">
            <v>KC Marabahan</v>
          </cell>
          <cell r="D424">
            <v>3.6800000000000001E-3</v>
          </cell>
        </row>
        <row r="425">
          <cell r="B425" t="str">
            <v>KC Sanggau</v>
          </cell>
          <cell r="D425">
            <v>4.5900000000000003E-3</v>
          </cell>
        </row>
        <row r="426">
          <cell r="B426" t="str">
            <v>KC Singkawang</v>
          </cell>
          <cell r="D426">
            <v>4.6299999999999996E-3</v>
          </cell>
        </row>
        <row r="427">
          <cell r="B427" t="str">
            <v>KC Muara Teweh</v>
          </cell>
          <cell r="D427">
            <v>5.4000000000000003E-3</v>
          </cell>
        </row>
        <row r="428">
          <cell r="B428" t="e">
            <v>#N/A</v>
          </cell>
          <cell r="D428">
            <v>1.75E-3</v>
          </cell>
        </row>
        <row r="429">
          <cell r="B429" t="str">
            <v>Kanwil Jakarta 2</v>
          </cell>
          <cell r="D429">
            <v>0</v>
          </cell>
        </row>
        <row r="430">
          <cell r="B430" t="str">
            <v>KC Bekasi Harapan Indah</v>
          </cell>
          <cell r="D430">
            <v>8.0000000000000007E-5</v>
          </cell>
        </row>
        <row r="431">
          <cell r="B431" t="str">
            <v>KC Jakarta Tb Simatupang</v>
          </cell>
          <cell r="D431">
            <v>9.0000000000000006E-5</v>
          </cell>
        </row>
        <row r="432">
          <cell r="B432" t="str">
            <v>KC Jakarta Rasuna Said</v>
          </cell>
          <cell r="D432">
            <v>1.2E-4</v>
          </cell>
        </row>
        <row r="433">
          <cell r="B433" t="str">
            <v>KC Ampera</v>
          </cell>
          <cell r="D433">
            <v>1.4999999999999999E-4</v>
          </cell>
        </row>
        <row r="434">
          <cell r="B434" t="str">
            <v>KC Jakarta Pancoran</v>
          </cell>
          <cell r="D434">
            <v>1.8000000000000001E-4</v>
          </cell>
        </row>
        <row r="435">
          <cell r="B435" t="str">
            <v>KC Cikampek</v>
          </cell>
          <cell r="D435">
            <v>2.1000000000000001E-4</v>
          </cell>
        </row>
        <row r="436">
          <cell r="B436" t="str">
            <v>KC Lebak Bulus</v>
          </cell>
          <cell r="D436">
            <v>2.1000000000000001E-4</v>
          </cell>
        </row>
        <row r="437">
          <cell r="B437" t="str">
            <v>KC Bekasi Siliwangi</v>
          </cell>
          <cell r="D437">
            <v>2.1000000000000001E-4</v>
          </cell>
        </row>
        <row r="438">
          <cell r="B438" t="str">
            <v>KC Bri Jakarta Menara Brilian</v>
          </cell>
          <cell r="D438">
            <v>2.1000000000000001E-4</v>
          </cell>
        </row>
        <row r="439">
          <cell r="B439" t="str">
            <v>KC Jakarta Mega Kuningan</v>
          </cell>
          <cell r="D439">
            <v>2.2000000000000001E-4</v>
          </cell>
        </row>
        <row r="440">
          <cell r="B440" t="str">
            <v>KC Mabes Tni Cilangkap</v>
          </cell>
          <cell r="D440">
            <v>3.3E-4</v>
          </cell>
        </row>
        <row r="441">
          <cell r="B441" t="str">
            <v>KC Jakarta Pondok Indah</v>
          </cell>
          <cell r="D441">
            <v>4.8000000000000001E-4</v>
          </cell>
        </row>
        <row r="442">
          <cell r="B442" t="str">
            <v>KC Jakarta Gatot Subroto</v>
          </cell>
          <cell r="D442">
            <v>5.1999999999999995E-4</v>
          </cell>
        </row>
        <row r="443">
          <cell r="B443" t="str">
            <v>KC Bogor</v>
          </cell>
          <cell r="D443">
            <v>5.2999999999999998E-4</v>
          </cell>
        </row>
        <row r="444">
          <cell r="B444" t="str">
            <v>KC Pondok Gede</v>
          </cell>
          <cell r="D444">
            <v>5.6999999999999998E-4</v>
          </cell>
        </row>
        <row r="445">
          <cell r="B445" t="str">
            <v>KC Jakarta Kebayoran Baru</v>
          </cell>
          <cell r="D445">
            <v>7.5000000000000002E-4</v>
          </cell>
        </row>
        <row r="446">
          <cell r="B446" t="str">
            <v>KC Jakarta Warung Buncit</v>
          </cell>
          <cell r="D446">
            <v>1E-3</v>
          </cell>
        </row>
        <row r="447">
          <cell r="B447" t="str">
            <v>KC Bursa Efek Indonesia</v>
          </cell>
          <cell r="D447">
            <v>1.09E-3</v>
          </cell>
        </row>
        <row r="448">
          <cell r="B448" t="str">
            <v>KC Bogor Pajajaran</v>
          </cell>
          <cell r="D448">
            <v>1.1199999999999999E-3</v>
          </cell>
        </row>
        <row r="449">
          <cell r="B449" t="str">
            <v>KC Cibinong</v>
          </cell>
          <cell r="D449">
            <v>1.17E-3</v>
          </cell>
        </row>
        <row r="450">
          <cell r="B450" t="str">
            <v>KC Cimanggis</v>
          </cell>
          <cell r="D450">
            <v>1.23E-3</v>
          </cell>
        </row>
        <row r="451">
          <cell r="B451" t="str">
            <v>KC Jakarta Sudirman 1</v>
          </cell>
          <cell r="D451">
            <v>1.24E-3</v>
          </cell>
        </row>
        <row r="452">
          <cell r="B452" t="str">
            <v>KC Tambun</v>
          </cell>
          <cell r="D452">
            <v>1.4300000000000001E-3</v>
          </cell>
        </row>
        <row r="453">
          <cell r="B453" t="str">
            <v>KC Jakarta Fatmawati</v>
          </cell>
          <cell r="D453">
            <v>1.5499999999999999E-3</v>
          </cell>
        </row>
        <row r="454">
          <cell r="B454" t="str">
            <v>KC Jakarta Radio Dalam</v>
          </cell>
          <cell r="D454">
            <v>1.5900000000000001E-3</v>
          </cell>
        </row>
        <row r="455">
          <cell r="B455" t="str">
            <v>KC Cibubur</v>
          </cell>
          <cell r="D455">
            <v>1.74E-3</v>
          </cell>
        </row>
        <row r="456">
          <cell r="B456" t="str">
            <v>KC Jakarta Panglima Polim</v>
          </cell>
          <cell r="D456">
            <v>1.7899999999999999E-3</v>
          </cell>
        </row>
        <row r="457">
          <cell r="B457" t="str">
            <v>KC Bekasi</v>
          </cell>
          <cell r="D457">
            <v>2.1199999999999999E-3</v>
          </cell>
        </row>
        <row r="458">
          <cell r="B458" t="str">
            <v>KC Karawang</v>
          </cell>
          <cell r="D458">
            <v>2.1199999999999999E-3</v>
          </cell>
        </row>
        <row r="459">
          <cell r="B459" t="str">
            <v>KC Cikarang</v>
          </cell>
          <cell r="D459">
            <v>2.1800000000000001E-3</v>
          </cell>
        </row>
        <row r="460">
          <cell r="B460" t="str">
            <v>KC Jakarta Pasar Minggu</v>
          </cell>
          <cell r="D460">
            <v>2.2899999999999999E-3</v>
          </cell>
        </row>
        <row r="461">
          <cell r="B461" t="str">
            <v>KC Depok</v>
          </cell>
          <cell r="D461">
            <v>2.31E-3</v>
          </cell>
        </row>
        <row r="462">
          <cell r="B462" t="e">
            <v>#N/A</v>
          </cell>
          <cell r="D462">
            <v>1.32E-3</v>
          </cell>
        </row>
        <row r="463">
          <cell r="B463" t="str">
            <v>Kanwil Semarang</v>
          </cell>
          <cell r="D463">
            <v>0</v>
          </cell>
        </row>
        <row r="464">
          <cell r="B464" t="str">
            <v>KC Semarang Patimura</v>
          </cell>
          <cell r="D464">
            <v>3.0000000000000001E-5</v>
          </cell>
        </row>
        <row r="465">
          <cell r="B465" t="str">
            <v>KC Kudus</v>
          </cell>
          <cell r="D465">
            <v>1.9000000000000001E-4</v>
          </cell>
        </row>
        <row r="466">
          <cell r="B466" t="str">
            <v>KC Cepu</v>
          </cell>
          <cell r="D466">
            <v>2.4000000000000001E-4</v>
          </cell>
        </row>
        <row r="467">
          <cell r="B467" t="str">
            <v>KC Blora</v>
          </cell>
          <cell r="D467">
            <v>2.9E-4</v>
          </cell>
        </row>
        <row r="468">
          <cell r="B468" t="str">
            <v>KC Semarang Pandanaran</v>
          </cell>
          <cell r="D468">
            <v>2.9999999999999997E-4</v>
          </cell>
        </row>
        <row r="469">
          <cell r="B469" t="str">
            <v>KC Brigjen Sudiarto</v>
          </cell>
          <cell r="D469">
            <v>3.5E-4</v>
          </cell>
        </row>
        <row r="470">
          <cell r="B470" t="str">
            <v>KC Rembang</v>
          </cell>
          <cell r="D470">
            <v>6.2E-4</v>
          </cell>
        </row>
        <row r="471">
          <cell r="B471" t="str">
            <v>KC Salatiga</v>
          </cell>
          <cell r="D471">
            <v>6.7000000000000002E-4</v>
          </cell>
        </row>
        <row r="472">
          <cell r="B472" t="str">
            <v>KC Slawi</v>
          </cell>
          <cell r="D472">
            <v>6.8999999999999997E-4</v>
          </cell>
        </row>
        <row r="473">
          <cell r="B473" t="str">
            <v>KC Demak</v>
          </cell>
          <cell r="D473">
            <v>7.2000000000000005E-4</v>
          </cell>
        </row>
        <row r="474">
          <cell r="B474" t="str">
            <v>KC Tegal</v>
          </cell>
          <cell r="D474">
            <v>7.2000000000000005E-4</v>
          </cell>
        </row>
        <row r="475">
          <cell r="B475" t="str">
            <v>KC Brebes</v>
          </cell>
          <cell r="D475">
            <v>7.6000000000000004E-4</v>
          </cell>
        </row>
        <row r="476">
          <cell r="B476" t="str">
            <v>KC Jepara</v>
          </cell>
          <cell r="D476">
            <v>8.1999999999999998E-4</v>
          </cell>
        </row>
        <row r="477">
          <cell r="B477" t="str">
            <v>KC Ungaran</v>
          </cell>
          <cell r="D477">
            <v>8.5999999999999998E-4</v>
          </cell>
        </row>
        <row r="478">
          <cell r="B478" t="str">
            <v>KC Semarang A. Yani</v>
          </cell>
          <cell r="D478">
            <v>8.7000000000000001E-4</v>
          </cell>
        </row>
        <row r="479">
          <cell r="B479" t="str">
            <v>KC Purwodadi</v>
          </cell>
          <cell r="D479">
            <v>1E-3</v>
          </cell>
        </row>
        <row r="480">
          <cell r="B480" t="str">
            <v>KC Kendal</v>
          </cell>
          <cell r="D480">
            <v>1.07E-3</v>
          </cell>
        </row>
        <row r="481">
          <cell r="B481" t="str">
            <v>KC Pemalang</v>
          </cell>
          <cell r="D481">
            <v>1.14E-3</v>
          </cell>
        </row>
        <row r="482">
          <cell r="B482" t="str">
            <v>KC Pati</v>
          </cell>
          <cell r="D482">
            <v>1.3699999999999999E-3</v>
          </cell>
        </row>
        <row r="483">
          <cell r="B483" t="str">
            <v>KC Pekalongan</v>
          </cell>
          <cell r="D483">
            <v>1.6999999999999999E-3</v>
          </cell>
        </row>
        <row r="484">
          <cell r="B484" t="str">
            <v>KC Bumiayu</v>
          </cell>
          <cell r="D484">
            <v>1.8400000000000001E-3</v>
          </cell>
        </row>
        <row r="485">
          <cell r="B485" t="str">
            <v>KC Batang</v>
          </cell>
          <cell r="D485">
            <v>3.4199999999999999E-3</v>
          </cell>
        </row>
        <row r="486">
          <cell r="B486" t="e">
            <v>#N/A</v>
          </cell>
          <cell r="D486">
            <v>9.8999999999999999E-4</v>
          </cell>
        </row>
        <row r="487">
          <cell r="B487"/>
          <cell r="D487"/>
        </row>
        <row r="488">
          <cell r="B488"/>
          <cell r="D488"/>
        </row>
      </sheetData>
      <sheetData sheetId="6">
        <row r="1">
          <cell r="B1" t="str">
            <v>BO</v>
          </cell>
        </row>
        <row r="2">
          <cell r="B2" t="str">
            <v>KC Sudirman Semanggi</v>
          </cell>
          <cell r="G2">
            <v>1</v>
          </cell>
        </row>
        <row r="3">
          <cell r="B3" t="str">
            <v>KANCA Samarinda 2</v>
          </cell>
          <cell r="G3">
            <v>1</v>
          </cell>
        </row>
        <row r="4">
          <cell r="B4" t="str">
            <v>KC Abepura</v>
          </cell>
          <cell r="G4">
            <v>0.95714285714285718</v>
          </cell>
        </row>
        <row r="5">
          <cell r="B5" t="str">
            <v>KC Abunjani Sipin</v>
          </cell>
          <cell r="G5">
            <v>0.99371069182389937</v>
          </cell>
        </row>
        <row r="6">
          <cell r="B6" t="str">
            <v>KC Ajibarang</v>
          </cell>
          <cell r="G6">
            <v>1</v>
          </cell>
        </row>
        <row r="7">
          <cell r="B7" t="str">
            <v>KC Ambon</v>
          </cell>
          <cell r="G7">
            <v>0.99019607843137258</v>
          </cell>
        </row>
        <row r="8">
          <cell r="B8" t="str">
            <v>KC Amlapura</v>
          </cell>
          <cell r="G8">
            <v>1</v>
          </cell>
        </row>
        <row r="9">
          <cell r="B9" t="str">
            <v>KC AMPANA</v>
          </cell>
          <cell r="G9">
            <v>1</v>
          </cell>
        </row>
        <row r="10">
          <cell r="B10" t="str">
            <v>KC Ampera</v>
          </cell>
          <cell r="G10">
            <v>0.95652173913043481</v>
          </cell>
        </row>
        <row r="11">
          <cell r="B11" t="str">
            <v>KC Amuntai</v>
          </cell>
          <cell r="G11">
            <v>1</v>
          </cell>
        </row>
        <row r="12">
          <cell r="B12" t="str">
            <v>KC Arga Makmur</v>
          </cell>
          <cell r="G12">
            <v>1</v>
          </cell>
        </row>
        <row r="13">
          <cell r="B13" t="str">
            <v>KC Atambua</v>
          </cell>
          <cell r="G13">
            <v>0.96153846153846156</v>
          </cell>
        </row>
        <row r="14">
          <cell r="B14" t="str">
            <v>KC Bagan Batu</v>
          </cell>
          <cell r="G14">
            <v>1</v>
          </cell>
        </row>
        <row r="15">
          <cell r="B15" t="str">
            <v>KC Bagan Siapi api</v>
          </cell>
          <cell r="G15">
            <v>1</v>
          </cell>
        </row>
        <row r="16">
          <cell r="B16" t="str">
            <v>KC Bajawa</v>
          </cell>
          <cell r="G16">
            <v>1</v>
          </cell>
        </row>
        <row r="17">
          <cell r="B17" t="str">
            <v>KC Balaraja</v>
          </cell>
          <cell r="G17">
            <v>0.81818181818181823</v>
          </cell>
        </row>
        <row r="18">
          <cell r="B18" t="str">
            <v>KC Balige</v>
          </cell>
          <cell r="G18">
            <v>1</v>
          </cell>
        </row>
        <row r="19">
          <cell r="B19" t="str">
            <v>KC Balikpapan</v>
          </cell>
          <cell r="G19">
            <v>0.98058252427184467</v>
          </cell>
        </row>
        <row r="20">
          <cell r="B20" t="str">
            <v>KC Balikpapan A. Yani</v>
          </cell>
          <cell r="G20">
            <v>1</v>
          </cell>
        </row>
        <row r="21">
          <cell r="B21" t="str">
            <v>KC Bandar Jaya</v>
          </cell>
          <cell r="G21">
            <v>1</v>
          </cell>
        </row>
        <row r="22">
          <cell r="B22" t="str">
            <v>KC Bandara Soekarno Hatta</v>
          </cell>
          <cell r="G22">
            <v>1</v>
          </cell>
        </row>
        <row r="23">
          <cell r="B23" t="str">
            <v>KC Bandung A.H. Nasution</v>
          </cell>
          <cell r="G23">
            <v>1</v>
          </cell>
        </row>
        <row r="24">
          <cell r="B24" t="str">
            <v>KC Bandung AA</v>
          </cell>
          <cell r="G24">
            <v>1</v>
          </cell>
        </row>
        <row r="25">
          <cell r="B25" t="str">
            <v>KC Bandung Dago</v>
          </cell>
          <cell r="G25">
            <v>1</v>
          </cell>
        </row>
        <row r="26">
          <cell r="B26" t="str">
            <v>KC Bandung Dewi Sartika</v>
          </cell>
          <cell r="G26">
            <v>1</v>
          </cell>
        </row>
        <row r="27">
          <cell r="B27" t="str">
            <v>KC Bandung Kopo</v>
          </cell>
          <cell r="G27">
            <v>0.93939393939393945</v>
          </cell>
        </row>
        <row r="28">
          <cell r="B28" t="str">
            <v>KC Bandung Martadinata</v>
          </cell>
          <cell r="G28">
            <v>0.96103896103896103</v>
          </cell>
        </row>
        <row r="29">
          <cell r="B29" t="str">
            <v>KC Bandung Naripan</v>
          </cell>
          <cell r="G29">
            <v>0.94117647058823528</v>
          </cell>
        </row>
        <row r="30">
          <cell r="B30" t="str">
            <v>KC Bandung Setiabudi</v>
          </cell>
          <cell r="G30">
            <v>1</v>
          </cell>
        </row>
        <row r="31">
          <cell r="B31" t="str">
            <v>KC Bandung Sukarno Hatta</v>
          </cell>
          <cell r="G31">
            <v>0.984375</v>
          </cell>
        </row>
        <row r="32">
          <cell r="B32" t="str">
            <v>KC Bangkalan</v>
          </cell>
          <cell r="G32">
            <v>1</v>
          </cell>
        </row>
        <row r="33">
          <cell r="B33" t="str">
            <v>KC Bangkinang</v>
          </cell>
          <cell r="G33">
            <v>1</v>
          </cell>
        </row>
        <row r="34">
          <cell r="B34" t="str">
            <v>KC Bangko</v>
          </cell>
          <cell r="G34">
            <v>1</v>
          </cell>
        </row>
        <row r="35">
          <cell r="B35" t="str">
            <v>KC Bangli</v>
          </cell>
          <cell r="G35">
            <v>1</v>
          </cell>
        </row>
        <row r="36">
          <cell r="B36" t="str">
            <v>KC Banjar</v>
          </cell>
          <cell r="G36">
            <v>0.94871794871794868</v>
          </cell>
        </row>
        <row r="37">
          <cell r="B37" t="str">
            <v>KC Banjarmasin</v>
          </cell>
          <cell r="G37">
            <v>0.96666666666666667</v>
          </cell>
        </row>
        <row r="38">
          <cell r="B38" t="str">
            <v>KC Banjarmasin 2</v>
          </cell>
          <cell r="G38">
            <v>0.93023255813953487</v>
          </cell>
        </row>
        <row r="39">
          <cell r="B39" t="str">
            <v>KC Banjarnegara</v>
          </cell>
          <cell r="G39">
            <v>1</v>
          </cell>
        </row>
        <row r="40">
          <cell r="B40" t="str">
            <v>KC Bantaeng</v>
          </cell>
          <cell r="G40">
            <v>1</v>
          </cell>
        </row>
        <row r="41">
          <cell r="B41" t="str">
            <v>KC Bantul</v>
          </cell>
          <cell r="G41">
            <v>1</v>
          </cell>
        </row>
        <row r="42">
          <cell r="B42" t="str">
            <v>KC Banyuwangi</v>
          </cell>
          <cell r="G42">
            <v>1</v>
          </cell>
        </row>
        <row r="43">
          <cell r="B43" t="str">
            <v>KC Barabai</v>
          </cell>
          <cell r="G43">
            <v>0.94117647058823528</v>
          </cell>
        </row>
        <row r="44">
          <cell r="B44" t="str">
            <v>KC Barru</v>
          </cell>
          <cell r="G44">
            <v>1</v>
          </cell>
        </row>
        <row r="45">
          <cell r="B45" t="str">
            <v>KC Batam Center</v>
          </cell>
          <cell r="G45">
            <v>1</v>
          </cell>
        </row>
        <row r="46">
          <cell r="B46" t="str">
            <v>KC Batam Nagoya</v>
          </cell>
          <cell r="G46">
            <v>0.97499999999999998</v>
          </cell>
        </row>
        <row r="47">
          <cell r="B47" t="str">
            <v>KC Batang</v>
          </cell>
          <cell r="G47">
            <v>1</v>
          </cell>
        </row>
        <row r="48">
          <cell r="B48" t="str">
            <v>KC BATU</v>
          </cell>
          <cell r="G48">
            <v>1</v>
          </cell>
        </row>
        <row r="49">
          <cell r="B49" t="str">
            <v>KC Batu Sangkar</v>
          </cell>
          <cell r="G49">
            <v>1</v>
          </cell>
        </row>
        <row r="50">
          <cell r="B50" t="str">
            <v>KC Batulicin</v>
          </cell>
          <cell r="G50">
            <v>0.88888888888888884</v>
          </cell>
        </row>
        <row r="51">
          <cell r="B51" t="str">
            <v>KC Baturaja</v>
          </cell>
          <cell r="G51">
            <v>1</v>
          </cell>
        </row>
        <row r="52">
          <cell r="B52" t="str">
            <v>KC Bau-Bau</v>
          </cell>
          <cell r="G52">
            <v>0.95714285714285718</v>
          </cell>
        </row>
        <row r="53">
          <cell r="B53" t="str">
            <v>KC Bekasi</v>
          </cell>
          <cell r="G53">
            <v>0.95757575757575752</v>
          </cell>
        </row>
        <row r="54">
          <cell r="B54" t="str">
            <v>KC Bekasi Harapan Indah</v>
          </cell>
          <cell r="G54">
            <v>1</v>
          </cell>
        </row>
        <row r="55">
          <cell r="B55" t="str">
            <v>KC BEKASI SILIWANGI</v>
          </cell>
          <cell r="G55">
            <v>1</v>
          </cell>
        </row>
        <row r="56">
          <cell r="B56" t="str">
            <v>KC Bengkalis</v>
          </cell>
          <cell r="G56">
            <v>1</v>
          </cell>
        </row>
        <row r="57">
          <cell r="B57" t="str">
            <v>KC Bengkulu</v>
          </cell>
          <cell r="G57">
            <v>0.9916666666666667</v>
          </cell>
        </row>
        <row r="58">
          <cell r="B58" t="str">
            <v>KC Benteng Selayar</v>
          </cell>
          <cell r="G58">
            <v>1</v>
          </cell>
        </row>
        <row r="59">
          <cell r="B59" t="str">
            <v>KC Biak</v>
          </cell>
          <cell r="G59">
            <v>1</v>
          </cell>
        </row>
        <row r="60">
          <cell r="B60" t="str">
            <v>KC Binjai</v>
          </cell>
          <cell r="G60">
            <v>0.97959183673469385</v>
          </cell>
        </row>
        <row r="61">
          <cell r="B61" t="str">
            <v>KC Bintaro</v>
          </cell>
          <cell r="G61">
            <v>0.97368421052631582</v>
          </cell>
        </row>
        <row r="62">
          <cell r="B62" t="str">
            <v>KC Bintuni</v>
          </cell>
          <cell r="G62">
            <v>1</v>
          </cell>
        </row>
        <row r="63">
          <cell r="B63" t="str">
            <v>KC Bitung</v>
          </cell>
          <cell r="G63">
            <v>1</v>
          </cell>
        </row>
        <row r="64">
          <cell r="B64" t="str">
            <v>KC Blitar</v>
          </cell>
          <cell r="G64">
            <v>1</v>
          </cell>
        </row>
        <row r="65">
          <cell r="B65" t="str">
            <v>KC Blora</v>
          </cell>
          <cell r="G65">
            <v>0.97368421052631582</v>
          </cell>
        </row>
        <row r="66">
          <cell r="B66" t="str">
            <v>KC Bogor</v>
          </cell>
          <cell r="G66">
            <v>0.89940828402366868</v>
          </cell>
        </row>
        <row r="67">
          <cell r="B67" t="str">
            <v>KC Bogor Pajajaran</v>
          </cell>
          <cell r="G67">
            <v>0.97826086956521741</v>
          </cell>
        </row>
        <row r="68">
          <cell r="B68" t="str">
            <v>KC Bojonegoro</v>
          </cell>
          <cell r="G68">
            <v>0.95652173913043481</v>
          </cell>
        </row>
        <row r="69">
          <cell r="B69" t="str">
            <v>KC Bondowoso</v>
          </cell>
          <cell r="G69">
            <v>1</v>
          </cell>
        </row>
        <row r="70">
          <cell r="B70" t="str">
            <v>KC Bontang</v>
          </cell>
          <cell r="G70">
            <v>1</v>
          </cell>
        </row>
        <row r="71">
          <cell r="B71" t="str">
            <v>KC Boyolali</v>
          </cell>
          <cell r="G71">
            <v>1</v>
          </cell>
        </row>
        <row r="72">
          <cell r="B72" t="str">
            <v>KC Brebes</v>
          </cell>
          <cell r="G72">
            <v>1</v>
          </cell>
        </row>
        <row r="73">
          <cell r="B73" t="str">
            <v>KC BRI Jakarta Menara Brilian</v>
          </cell>
          <cell r="G73">
            <v>0.81481481481481477</v>
          </cell>
        </row>
        <row r="74">
          <cell r="B74" t="str">
            <v>KC Brigjen Sudiarto</v>
          </cell>
          <cell r="G74">
            <v>1</v>
          </cell>
        </row>
        <row r="75">
          <cell r="B75" t="str">
            <v>KC Bukittinggi</v>
          </cell>
          <cell r="G75">
            <v>1</v>
          </cell>
        </row>
        <row r="76">
          <cell r="B76" t="str">
            <v>KC Bulukumba</v>
          </cell>
          <cell r="G76">
            <v>1</v>
          </cell>
        </row>
        <row r="77">
          <cell r="B77" t="str">
            <v>KC Bumi Serpong Damai</v>
          </cell>
          <cell r="G77">
            <v>0.93684210526315792</v>
          </cell>
        </row>
        <row r="78">
          <cell r="B78" t="str">
            <v>KC Bumiayu</v>
          </cell>
          <cell r="G78">
            <v>1</v>
          </cell>
        </row>
        <row r="79">
          <cell r="B79" t="str">
            <v>KC Buntok</v>
          </cell>
          <cell r="G79">
            <v>1</v>
          </cell>
        </row>
        <row r="80">
          <cell r="B80" t="str">
            <v>KC BURSA EFEK INDONESIA</v>
          </cell>
          <cell r="G80">
            <v>0.98666666666666669</v>
          </cell>
        </row>
        <row r="81">
          <cell r="B81" t="str">
            <v>KC Cepu</v>
          </cell>
          <cell r="G81">
            <v>1</v>
          </cell>
        </row>
        <row r="82">
          <cell r="B82" t="str">
            <v>KC Ciamis</v>
          </cell>
          <cell r="G82">
            <v>1</v>
          </cell>
        </row>
        <row r="83">
          <cell r="B83" t="str">
            <v>KC Cianjur</v>
          </cell>
          <cell r="G83">
            <v>0.97368421052631582</v>
          </cell>
        </row>
        <row r="84">
          <cell r="B84" t="str">
            <v>KC Cibadak</v>
          </cell>
          <cell r="G84">
            <v>0.9285714285714286</v>
          </cell>
        </row>
        <row r="85">
          <cell r="B85" t="str">
            <v>KC Cibinong</v>
          </cell>
          <cell r="G85">
            <v>0.93939393939393945</v>
          </cell>
        </row>
        <row r="86">
          <cell r="B86" t="str">
            <v>KC Cibubur</v>
          </cell>
          <cell r="G86">
            <v>0.98360655737704916</v>
          </cell>
        </row>
        <row r="87">
          <cell r="B87" t="str">
            <v>KC Cikampek</v>
          </cell>
          <cell r="G87">
            <v>1</v>
          </cell>
        </row>
        <row r="88">
          <cell r="B88" t="str">
            <v>KC Cikarang</v>
          </cell>
          <cell r="G88">
            <v>0.967741935483871</v>
          </cell>
        </row>
        <row r="89">
          <cell r="B89" t="str">
            <v>KC Cilacap</v>
          </cell>
          <cell r="G89">
            <v>1</v>
          </cell>
        </row>
        <row r="90">
          <cell r="B90" t="str">
            <v>KC Cilegon</v>
          </cell>
          <cell r="G90">
            <v>0.97560975609756095</v>
          </cell>
        </row>
        <row r="91">
          <cell r="B91" t="str">
            <v>KC Cimahi</v>
          </cell>
          <cell r="G91">
            <v>0.9555555555555556</v>
          </cell>
        </row>
        <row r="92">
          <cell r="B92" t="str">
            <v>KC Cimanggis</v>
          </cell>
          <cell r="G92">
            <v>0.9555555555555556</v>
          </cell>
        </row>
        <row r="93">
          <cell r="B93" t="str">
            <v>KC Ciputat</v>
          </cell>
          <cell r="G93">
            <v>0.8970588235294118</v>
          </cell>
        </row>
        <row r="94">
          <cell r="B94" t="str">
            <v>KC Cirebon Gunung Jati</v>
          </cell>
          <cell r="G94">
            <v>1</v>
          </cell>
        </row>
        <row r="95">
          <cell r="B95" t="str">
            <v>KC Cirebon Kartini</v>
          </cell>
          <cell r="G95">
            <v>0.91428571428571426</v>
          </cell>
        </row>
        <row r="96">
          <cell r="B96" t="str">
            <v>KC Curup</v>
          </cell>
          <cell r="G96">
            <v>1</v>
          </cell>
        </row>
        <row r="97">
          <cell r="B97" t="str">
            <v>KC Demak</v>
          </cell>
          <cell r="G97">
            <v>0.96666666666666667</v>
          </cell>
        </row>
        <row r="98">
          <cell r="B98" t="str">
            <v>KC Denpasar Gajah Mada</v>
          </cell>
          <cell r="G98">
            <v>1</v>
          </cell>
        </row>
        <row r="99">
          <cell r="B99" t="str">
            <v>KC Denpasar Gatot Subroto</v>
          </cell>
          <cell r="G99">
            <v>1</v>
          </cell>
        </row>
        <row r="100">
          <cell r="B100" t="str">
            <v>KC Denpasar Renon</v>
          </cell>
          <cell r="G100">
            <v>1</v>
          </cell>
        </row>
        <row r="101">
          <cell r="B101" t="str">
            <v>KC Denpasar Ubud</v>
          </cell>
          <cell r="G101">
            <v>1</v>
          </cell>
        </row>
        <row r="102">
          <cell r="B102" t="str">
            <v>KC Depok</v>
          </cell>
          <cell r="G102">
            <v>0.96638655462184875</v>
          </cell>
        </row>
        <row r="103">
          <cell r="B103" t="str">
            <v>KC Dharmasraya</v>
          </cell>
          <cell r="G103">
            <v>1</v>
          </cell>
        </row>
        <row r="104">
          <cell r="B104" t="str">
            <v>KC Dompu</v>
          </cell>
          <cell r="G104">
            <v>1</v>
          </cell>
        </row>
        <row r="105">
          <cell r="B105" t="str">
            <v>KC Dumai</v>
          </cell>
          <cell r="G105">
            <v>0.97142857142857142</v>
          </cell>
        </row>
        <row r="106">
          <cell r="B106" t="str">
            <v>KC Duri</v>
          </cell>
          <cell r="G106">
            <v>1</v>
          </cell>
        </row>
        <row r="107">
          <cell r="B107" t="str">
            <v>KC Ende</v>
          </cell>
          <cell r="G107">
            <v>1</v>
          </cell>
        </row>
        <row r="108">
          <cell r="B108" t="str">
            <v>KC Enrekang</v>
          </cell>
          <cell r="G108">
            <v>1</v>
          </cell>
        </row>
        <row r="109">
          <cell r="B109" t="str">
            <v>KC Fakfak</v>
          </cell>
          <cell r="G109">
            <v>1</v>
          </cell>
        </row>
        <row r="110">
          <cell r="B110" t="str">
            <v>KC Gading Serpong</v>
          </cell>
          <cell r="G110">
            <v>0.91818181818181821</v>
          </cell>
        </row>
        <row r="111">
          <cell r="B111" t="str">
            <v>KC Garut</v>
          </cell>
          <cell r="G111">
            <v>0.98076923076923073</v>
          </cell>
        </row>
        <row r="112">
          <cell r="B112" t="str">
            <v>KC Genteng</v>
          </cell>
          <cell r="G112">
            <v>1</v>
          </cell>
        </row>
        <row r="113">
          <cell r="B113" t="str">
            <v>KC Gianyar</v>
          </cell>
          <cell r="G113">
            <v>1</v>
          </cell>
        </row>
        <row r="114">
          <cell r="B114" t="str">
            <v>KC Gombong</v>
          </cell>
          <cell r="G114">
            <v>1</v>
          </cell>
        </row>
        <row r="115">
          <cell r="B115" t="str">
            <v>KC Gorontalo</v>
          </cell>
          <cell r="G115">
            <v>1</v>
          </cell>
        </row>
        <row r="116">
          <cell r="B116" t="str">
            <v>KC Gresik</v>
          </cell>
          <cell r="G116">
            <v>0.94</v>
          </cell>
        </row>
        <row r="117">
          <cell r="B117" t="str">
            <v>KC Gunung Sitoli</v>
          </cell>
          <cell r="G117">
            <v>0.9859154929577465</v>
          </cell>
        </row>
        <row r="118">
          <cell r="B118" t="str">
            <v>KC Indramayu</v>
          </cell>
          <cell r="G118">
            <v>0.9</v>
          </cell>
        </row>
        <row r="119">
          <cell r="B119" t="str">
            <v>KC Jakarta Artha Gading</v>
          </cell>
          <cell r="G119">
            <v>1</v>
          </cell>
        </row>
        <row r="120">
          <cell r="B120" t="str">
            <v>KC Jakarta Cempaka Mas</v>
          </cell>
          <cell r="G120">
            <v>0.9642857142857143</v>
          </cell>
        </row>
        <row r="121">
          <cell r="B121" t="str">
            <v>KC Jakarta Cut Mutiah</v>
          </cell>
          <cell r="G121">
            <v>0.88059701492537312</v>
          </cell>
        </row>
        <row r="122">
          <cell r="B122" t="str">
            <v>KC Jakarta Daan Mogot</v>
          </cell>
          <cell r="G122">
            <v>0.95</v>
          </cell>
        </row>
        <row r="123">
          <cell r="B123" t="str">
            <v>KC Jakarta Fatmawati</v>
          </cell>
          <cell r="G123">
            <v>0.96551724137931039</v>
          </cell>
        </row>
        <row r="124">
          <cell r="B124" t="str">
            <v>KC Jakarta Gading Boulevard</v>
          </cell>
          <cell r="G124">
            <v>0.9</v>
          </cell>
        </row>
        <row r="125">
          <cell r="B125" t="str">
            <v>KC Jakarta Gatot Subroto</v>
          </cell>
          <cell r="G125">
            <v>0.97674418604651159</v>
          </cell>
        </row>
        <row r="126">
          <cell r="B126" t="str">
            <v>KC Jakarta Gunung Sahari</v>
          </cell>
          <cell r="G126">
            <v>1</v>
          </cell>
        </row>
        <row r="127">
          <cell r="B127" t="str">
            <v>KC Jakarta Hayam Wuruk</v>
          </cell>
          <cell r="G127">
            <v>0.9</v>
          </cell>
        </row>
        <row r="128">
          <cell r="B128" t="str">
            <v>KC Jakarta Jatinegara</v>
          </cell>
          <cell r="G128">
            <v>0.93939393939393945</v>
          </cell>
        </row>
        <row r="129">
          <cell r="B129" t="str">
            <v>KC Jakarta Jelambar</v>
          </cell>
          <cell r="G129">
            <v>0.88235294117647056</v>
          </cell>
        </row>
        <row r="130">
          <cell r="B130" t="str">
            <v>KC Jakarta Joglo</v>
          </cell>
          <cell r="G130">
            <v>0.91666666666666663</v>
          </cell>
        </row>
        <row r="131">
          <cell r="B131" t="str">
            <v>KC Jakarta Kalideres</v>
          </cell>
          <cell r="G131">
            <v>0.79487179487179482</v>
          </cell>
        </row>
        <row r="132">
          <cell r="B132" t="str">
            <v>KC JAKARTA KALIMALANG</v>
          </cell>
          <cell r="G132">
            <v>0.97413793103448276</v>
          </cell>
        </row>
        <row r="133">
          <cell r="B133" t="str">
            <v>KC Jakarta Kebayoran Baru</v>
          </cell>
          <cell r="G133">
            <v>0.96969696969696972</v>
          </cell>
        </row>
        <row r="134">
          <cell r="B134" t="str">
            <v>KC Jakarta Kebon Jeruk</v>
          </cell>
          <cell r="G134">
            <v>1</v>
          </cell>
        </row>
        <row r="135">
          <cell r="B135" t="str">
            <v>KC Jakarta Kelapa Gading</v>
          </cell>
          <cell r="G135">
            <v>0.8</v>
          </cell>
        </row>
        <row r="136">
          <cell r="B136" t="str">
            <v>KC JAKARTA KEMAYORAN</v>
          </cell>
          <cell r="G136">
            <v>1</v>
          </cell>
        </row>
        <row r="137">
          <cell r="B137" t="str">
            <v>KC JAKARTA KOTA</v>
          </cell>
          <cell r="G137">
            <v>1</v>
          </cell>
        </row>
        <row r="138">
          <cell r="B138" t="str">
            <v>KC Jakarta Kramat</v>
          </cell>
          <cell r="G138">
            <v>0.96153846153846156</v>
          </cell>
        </row>
        <row r="139">
          <cell r="B139" t="str">
            <v>KC Jakarta Kramat Jati</v>
          </cell>
          <cell r="G139">
            <v>0.95721925133689845</v>
          </cell>
        </row>
        <row r="140">
          <cell r="B140" t="str">
            <v>KC Jakarta Krekot</v>
          </cell>
          <cell r="G140">
            <v>0.96551724137931039</v>
          </cell>
        </row>
        <row r="141">
          <cell r="B141" t="str">
            <v>KC JAKARTA MALL AMBASADOR</v>
          </cell>
          <cell r="G141">
            <v>1</v>
          </cell>
        </row>
        <row r="142">
          <cell r="B142" t="str">
            <v>KC Jakarta Mangga Dua</v>
          </cell>
          <cell r="G142">
            <v>0.83333333333333337</v>
          </cell>
        </row>
        <row r="143">
          <cell r="B143" t="str">
            <v>KC JAKARTA MEGA KUNINGAN</v>
          </cell>
          <cell r="G143">
            <v>1</v>
          </cell>
        </row>
        <row r="144">
          <cell r="B144" t="str">
            <v>KC JAKARTA OTISTA</v>
          </cell>
          <cell r="G144">
            <v>0.88749999999999996</v>
          </cell>
        </row>
        <row r="145">
          <cell r="B145" t="str">
            <v>KC Jakarta Palmerah</v>
          </cell>
          <cell r="G145">
            <v>0.9285714285714286</v>
          </cell>
        </row>
        <row r="146">
          <cell r="B146" t="str">
            <v>KC Jakarta Pancoran</v>
          </cell>
          <cell r="G146">
            <v>1</v>
          </cell>
        </row>
        <row r="147">
          <cell r="B147" t="str">
            <v>KC Jakarta Panglima Polim</v>
          </cell>
          <cell r="G147">
            <v>1</v>
          </cell>
        </row>
        <row r="148">
          <cell r="B148" t="str">
            <v>KC Jakarta Pantai Indah Kapuk</v>
          </cell>
          <cell r="G148">
            <v>1</v>
          </cell>
        </row>
        <row r="149">
          <cell r="B149" t="str">
            <v>KC Jakarta Pasar Minggu</v>
          </cell>
          <cell r="G149">
            <v>0.87096774193548387</v>
          </cell>
        </row>
        <row r="150">
          <cell r="B150" t="str">
            <v>KC Jakarta Pluit</v>
          </cell>
          <cell r="G150">
            <v>0.80952380952380953</v>
          </cell>
        </row>
        <row r="151">
          <cell r="B151" t="str">
            <v>KC Jakarta Pondok Indah</v>
          </cell>
          <cell r="G151">
            <v>0.97435897435897434</v>
          </cell>
        </row>
        <row r="152">
          <cell r="B152" t="str">
            <v>KC Jakarta Puri Niaga</v>
          </cell>
          <cell r="G152">
            <v>0.76923076923076927</v>
          </cell>
        </row>
        <row r="153">
          <cell r="B153" t="str">
            <v>KC Jakarta Radio Dalam</v>
          </cell>
          <cell r="G153">
            <v>0.9642857142857143</v>
          </cell>
        </row>
        <row r="154">
          <cell r="B154" t="str">
            <v>KC Jakarta Rasuna Said</v>
          </cell>
          <cell r="G154">
            <v>0.967741935483871</v>
          </cell>
        </row>
        <row r="155">
          <cell r="B155" t="str">
            <v>KC JAKARTA RAWAMANGUN</v>
          </cell>
          <cell r="G155">
            <v>0.91228070175438591</v>
          </cell>
        </row>
        <row r="156">
          <cell r="B156" t="str">
            <v>KC JAKARTA ROXI</v>
          </cell>
          <cell r="G156">
            <v>0.97297297297297303</v>
          </cell>
        </row>
        <row r="157">
          <cell r="B157" t="str">
            <v>KC Jakarta S Parman</v>
          </cell>
          <cell r="G157">
            <v>0.9</v>
          </cell>
        </row>
        <row r="158">
          <cell r="B158" t="str">
            <v>KC Jakarta Segitiga Senen</v>
          </cell>
          <cell r="G158">
            <v>0.8</v>
          </cell>
        </row>
        <row r="159">
          <cell r="B159" t="str">
            <v>KC Jakarta Sudirman 1</v>
          </cell>
          <cell r="G159">
            <v>0.85</v>
          </cell>
        </row>
        <row r="160">
          <cell r="B160" t="str">
            <v>KC Jakarta Sunter</v>
          </cell>
          <cell r="G160">
            <v>0.9</v>
          </cell>
        </row>
        <row r="161">
          <cell r="B161" t="str">
            <v>KC Jakarta Tanah Abang</v>
          </cell>
          <cell r="G161">
            <v>0.93181818181818177</v>
          </cell>
        </row>
        <row r="162">
          <cell r="B162" t="str">
            <v>KC Jakarta Tangerang</v>
          </cell>
          <cell r="G162">
            <v>0.88235294117647056</v>
          </cell>
        </row>
        <row r="163">
          <cell r="B163" t="str">
            <v>KC Jakarta Tanjung Duren</v>
          </cell>
          <cell r="G163">
            <v>0.93506493506493504</v>
          </cell>
        </row>
        <row r="164">
          <cell r="B164" t="str">
            <v>KC Jakarta Tanjung Priok</v>
          </cell>
          <cell r="G164">
            <v>0.96385542168674698</v>
          </cell>
        </row>
        <row r="165">
          <cell r="B165" t="str">
            <v>KC Jakarta TB Simatupang</v>
          </cell>
          <cell r="G165">
            <v>1</v>
          </cell>
        </row>
        <row r="166">
          <cell r="B166" t="str">
            <v>KC Jakarta Veteran</v>
          </cell>
          <cell r="G166">
            <v>0.99099099099099097</v>
          </cell>
        </row>
        <row r="167">
          <cell r="B167" t="str">
            <v>KC Jakarta Warung Buncit</v>
          </cell>
          <cell r="G167">
            <v>1</v>
          </cell>
        </row>
        <row r="168">
          <cell r="B168" t="str">
            <v>KC Jambi</v>
          </cell>
          <cell r="G168">
            <v>1</v>
          </cell>
        </row>
        <row r="169">
          <cell r="B169" t="str">
            <v>KC Jatibarang</v>
          </cell>
          <cell r="G169">
            <v>0.88888888888888884</v>
          </cell>
        </row>
        <row r="170">
          <cell r="B170" t="str">
            <v>KC Jayapura</v>
          </cell>
          <cell r="G170">
            <v>0.94594594594594594</v>
          </cell>
        </row>
        <row r="171">
          <cell r="B171" t="str">
            <v>KC Jember</v>
          </cell>
          <cell r="G171">
            <v>1</v>
          </cell>
        </row>
        <row r="172">
          <cell r="B172" t="str">
            <v>KC Jeneponto</v>
          </cell>
          <cell r="G172">
            <v>1</v>
          </cell>
        </row>
        <row r="173">
          <cell r="B173" t="str">
            <v>KC Jepara</v>
          </cell>
          <cell r="G173">
            <v>0.96666666666666667</v>
          </cell>
        </row>
        <row r="174">
          <cell r="B174" t="str">
            <v>KC Jombang</v>
          </cell>
          <cell r="G174">
            <v>1</v>
          </cell>
        </row>
        <row r="175">
          <cell r="B175" t="str">
            <v>KC Kabanjahe</v>
          </cell>
          <cell r="G175">
            <v>0.97222222222222221</v>
          </cell>
        </row>
        <row r="176">
          <cell r="B176" t="str">
            <v>KC Kalabahi</v>
          </cell>
          <cell r="G176">
            <v>1</v>
          </cell>
        </row>
        <row r="177">
          <cell r="B177" t="str">
            <v>KC Kalianda</v>
          </cell>
          <cell r="G177">
            <v>1</v>
          </cell>
        </row>
        <row r="178">
          <cell r="B178" t="str">
            <v>KC Kandangan</v>
          </cell>
          <cell r="G178">
            <v>0.93333333333333335</v>
          </cell>
        </row>
        <row r="179">
          <cell r="B179" t="str">
            <v>KC Kapas Krampung</v>
          </cell>
          <cell r="G179">
            <v>1</v>
          </cell>
        </row>
        <row r="180">
          <cell r="B180" t="str">
            <v>KC Karanganyar</v>
          </cell>
          <cell r="G180">
            <v>1</v>
          </cell>
        </row>
        <row r="181">
          <cell r="B181" t="str">
            <v>KC Karawang</v>
          </cell>
          <cell r="G181">
            <v>1</v>
          </cell>
        </row>
        <row r="182">
          <cell r="B182" t="str">
            <v>KC Kayu Agung</v>
          </cell>
          <cell r="G182">
            <v>1</v>
          </cell>
        </row>
        <row r="183">
          <cell r="B183" t="str">
            <v>KC Kebumen</v>
          </cell>
          <cell r="G183">
            <v>1</v>
          </cell>
        </row>
        <row r="184">
          <cell r="B184" t="str">
            <v>KC Kediri</v>
          </cell>
          <cell r="G184">
            <v>1</v>
          </cell>
        </row>
        <row r="185">
          <cell r="B185" t="str">
            <v>KC Kefamenanu</v>
          </cell>
          <cell r="G185">
            <v>1</v>
          </cell>
        </row>
        <row r="186">
          <cell r="B186" t="str">
            <v>KC Kendal</v>
          </cell>
          <cell r="G186">
            <v>1</v>
          </cell>
        </row>
        <row r="187">
          <cell r="B187" t="str">
            <v>KC Kendari By Pass</v>
          </cell>
          <cell r="G187">
            <v>0.97872340425531912</v>
          </cell>
        </row>
        <row r="188">
          <cell r="B188" t="str">
            <v>KC Kendari Samratulangi</v>
          </cell>
          <cell r="G188">
            <v>0.98529411764705888</v>
          </cell>
        </row>
        <row r="189">
          <cell r="B189" t="str">
            <v>KC Kepanjen</v>
          </cell>
          <cell r="G189">
            <v>0.95238095238095233</v>
          </cell>
        </row>
        <row r="190">
          <cell r="B190" t="str">
            <v>KC Ketapang</v>
          </cell>
          <cell r="G190">
            <v>0.98245614035087714</v>
          </cell>
        </row>
        <row r="191">
          <cell r="B191" t="str">
            <v>KC Khatib Sulaiman</v>
          </cell>
          <cell r="G191">
            <v>0.98830409356725146</v>
          </cell>
        </row>
        <row r="192">
          <cell r="B192" t="str">
            <v>KC Kisaran</v>
          </cell>
          <cell r="G192">
            <v>1</v>
          </cell>
        </row>
        <row r="193">
          <cell r="B193" t="str">
            <v>KC Klaten</v>
          </cell>
          <cell r="G193">
            <v>1</v>
          </cell>
        </row>
        <row r="194">
          <cell r="B194" t="str">
            <v>KC Kolaka</v>
          </cell>
          <cell r="G194">
            <v>1</v>
          </cell>
        </row>
        <row r="195">
          <cell r="B195" t="str">
            <v>KC Kota Bumi</v>
          </cell>
          <cell r="G195">
            <v>1</v>
          </cell>
        </row>
        <row r="196">
          <cell r="B196" t="str">
            <v>KC Kota Pinang</v>
          </cell>
          <cell r="G196">
            <v>1</v>
          </cell>
        </row>
        <row r="197">
          <cell r="B197" t="str">
            <v>KC Kotabaru</v>
          </cell>
          <cell r="G197">
            <v>0.96153846153846156</v>
          </cell>
        </row>
        <row r="198">
          <cell r="B198" t="str">
            <v>KC Kotamobagu</v>
          </cell>
          <cell r="G198">
            <v>1</v>
          </cell>
        </row>
        <row r="199">
          <cell r="B199" t="str">
            <v>KC Krian</v>
          </cell>
          <cell r="G199">
            <v>1</v>
          </cell>
        </row>
        <row r="200">
          <cell r="B200" t="str">
            <v>KC Kuala Kapuas</v>
          </cell>
          <cell r="G200">
            <v>0.94594594594594594</v>
          </cell>
        </row>
        <row r="201">
          <cell r="B201" t="str">
            <v>KC Kuala Tungkal</v>
          </cell>
          <cell r="G201">
            <v>1</v>
          </cell>
        </row>
        <row r="202">
          <cell r="B202" t="str">
            <v>KC Kudus</v>
          </cell>
          <cell r="G202">
            <v>0.95454545454545459</v>
          </cell>
        </row>
        <row r="203">
          <cell r="B203" t="str">
            <v>KC Kuningan</v>
          </cell>
          <cell r="G203">
            <v>1</v>
          </cell>
        </row>
        <row r="204">
          <cell r="B204" t="str">
            <v>KC Kupang</v>
          </cell>
          <cell r="G204">
            <v>1</v>
          </cell>
        </row>
        <row r="205">
          <cell r="B205" t="str">
            <v>KC Kuta</v>
          </cell>
          <cell r="G205">
            <v>1</v>
          </cell>
        </row>
        <row r="206">
          <cell r="B206" t="str">
            <v>KC Kutoarjo</v>
          </cell>
          <cell r="G206">
            <v>1</v>
          </cell>
        </row>
        <row r="207">
          <cell r="B207" t="str">
            <v>KC Labuan</v>
          </cell>
          <cell r="G207">
            <v>0.66666666666666663</v>
          </cell>
        </row>
        <row r="208">
          <cell r="B208" t="str">
            <v>KC LABUAN BAJO</v>
          </cell>
          <cell r="G208">
            <v>1</v>
          </cell>
        </row>
        <row r="209">
          <cell r="B209" t="str">
            <v>KC Lahat</v>
          </cell>
          <cell r="G209">
            <v>1</v>
          </cell>
        </row>
        <row r="210">
          <cell r="B210" t="str">
            <v>KC Lamongan</v>
          </cell>
          <cell r="G210">
            <v>1</v>
          </cell>
        </row>
        <row r="211">
          <cell r="B211" t="str">
            <v>KC LANGGUR</v>
          </cell>
          <cell r="G211">
            <v>1</v>
          </cell>
        </row>
        <row r="212">
          <cell r="B212" t="str">
            <v>KC Larantuka</v>
          </cell>
          <cell r="G212">
            <v>1</v>
          </cell>
        </row>
        <row r="213">
          <cell r="B213" t="str">
            <v>KC LEBAK BULUS</v>
          </cell>
          <cell r="G213">
            <v>0.94339622641509435</v>
          </cell>
        </row>
        <row r="214">
          <cell r="B214" t="str">
            <v>KC Limboto</v>
          </cell>
          <cell r="G214">
            <v>1</v>
          </cell>
        </row>
        <row r="215">
          <cell r="B215" t="str">
            <v>KC Liwa</v>
          </cell>
          <cell r="G215">
            <v>1</v>
          </cell>
        </row>
        <row r="216">
          <cell r="B216" t="str">
            <v>KC Lubuk Linggau</v>
          </cell>
          <cell r="G216">
            <v>1</v>
          </cell>
        </row>
        <row r="217">
          <cell r="B217" t="str">
            <v>KC Lubuk Pakam</v>
          </cell>
          <cell r="G217">
            <v>1</v>
          </cell>
        </row>
        <row r="218">
          <cell r="B218" t="str">
            <v>KC Lubuk Sikaping</v>
          </cell>
          <cell r="G218">
            <v>1</v>
          </cell>
        </row>
        <row r="219">
          <cell r="B219" t="str">
            <v>KC Lumajang</v>
          </cell>
          <cell r="G219">
            <v>1</v>
          </cell>
        </row>
        <row r="220">
          <cell r="B220" t="str">
            <v>KC Luwuk</v>
          </cell>
          <cell r="G220">
            <v>1</v>
          </cell>
        </row>
        <row r="221">
          <cell r="B221" t="str">
            <v>KC Mabes TNI Cilangkap</v>
          </cell>
          <cell r="G221">
            <v>1</v>
          </cell>
        </row>
        <row r="222">
          <cell r="B222" t="str">
            <v>KC Madiun</v>
          </cell>
          <cell r="G222">
            <v>1</v>
          </cell>
        </row>
        <row r="223">
          <cell r="B223" t="str">
            <v>KC Magelang</v>
          </cell>
          <cell r="G223">
            <v>0.99408284023668636</v>
          </cell>
        </row>
        <row r="224">
          <cell r="B224" t="str">
            <v>KC Magetan</v>
          </cell>
          <cell r="G224">
            <v>1</v>
          </cell>
        </row>
        <row r="225">
          <cell r="B225" t="str">
            <v>KC Majalaya</v>
          </cell>
          <cell r="G225">
            <v>0.93333333333333335</v>
          </cell>
        </row>
        <row r="226">
          <cell r="B226" t="str">
            <v>KC Majalengka</v>
          </cell>
          <cell r="G226">
            <v>0.97297297297297303</v>
          </cell>
        </row>
        <row r="227">
          <cell r="B227" t="str">
            <v>KC Majenang</v>
          </cell>
          <cell r="G227">
            <v>1</v>
          </cell>
        </row>
        <row r="228">
          <cell r="B228" t="str">
            <v>KC Majene</v>
          </cell>
          <cell r="G228">
            <v>1</v>
          </cell>
        </row>
        <row r="229">
          <cell r="B229" t="str">
            <v>KC Makassar Ahmad Yani</v>
          </cell>
          <cell r="G229">
            <v>1</v>
          </cell>
        </row>
        <row r="230">
          <cell r="B230" t="str">
            <v>KC MAKASSAR SUDIRMAN</v>
          </cell>
          <cell r="G230">
            <v>0.98076923076923073</v>
          </cell>
        </row>
        <row r="231">
          <cell r="B231" t="str">
            <v>KC Malang Kawi</v>
          </cell>
          <cell r="G231">
            <v>1</v>
          </cell>
        </row>
        <row r="232">
          <cell r="B232" t="str">
            <v>KC Malang Martadinata</v>
          </cell>
          <cell r="G232">
            <v>1</v>
          </cell>
        </row>
        <row r="233">
          <cell r="B233" t="str">
            <v>KC Malang Soekarno Hatta</v>
          </cell>
          <cell r="G233">
            <v>0.97752808988764039</v>
          </cell>
        </row>
        <row r="234">
          <cell r="B234" t="str">
            <v>KC Malang Sutoyo</v>
          </cell>
          <cell r="G234">
            <v>1</v>
          </cell>
        </row>
        <row r="235">
          <cell r="B235" t="str">
            <v>KC Mamuju</v>
          </cell>
          <cell r="G235">
            <v>1</v>
          </cell>
        </row>
        <row r="236">
          <cell r="B236" t="str">
            <v>KC Manado</v>
          </cell>
          <cell r="G236">
            <v>1</v>
          </cell>
        </row>
        <row r="237">
          <cell r="B237" t="str">
            <v>KC Manado Boulevard</v>
          </cell>
          <cell r="G237">
            <v>1</v>
          </cell>
        </row>
        <row r="238">
          <cell r="B238" t="str">
            <v>KC Manna</v>
          </cell>
          <cell r="G238">
            <v>1</v>
          </cell>
        </row>
        <row r="239">
          <cell r="B239" t="str">
            <v>KC Manokwari</v>
          </cell>
          <cell r="G239">
            <v>1</v>
          </cell>
        </row>
        <row r="240">
          <cell r="B240" t="str">
            <v>KC Manukan</v>
          </cell>
          <cell r="G240">
            <v>0.9285714285714286</v>
          </cell>
        </row>
        <row r="241">
          <cell r="B241" t="str">
            <v>KC Marabahan</v>
          </cell>
          <cell r="G241">
            <v>0.76470588235294112</v>
          </cell>
        </row>
        <row r="242">
          <cell r="B242" t="str">
            <v>KC Marisa</v>
          </cell>
          <cell r="G242">
            <v>1</v>
          </cell>
        </row>
        <row r="243">
          <cell r="B243" t="str">
            <v>KC Maros</v>
          </cell>
          <cell r="G243">
            <v>1</v>
          </cell>
        </row>
        <row r="244">
          <cell r="B244" t="str">
            <v>KC Martapura</v>
          </cell>
          <cell r="G244">
            <v>0.99</v>
          </cell>
        </row>
        <row r="245">
          <cell r="B245" t="str">
            <v>KC Masamba</v>
          </cell>
          <cell r="G245">
            <v>1</v>
          </cell>
        </row>
        <row r="246">
          <cell r="B246" t="str">
            <v>KC Masohi</v>
          </cell>
          <cell r="G246">
            <v>1</v>
          </cell>
        </row>
        <row r="247">
          <cell r="B247" t="str">
            <v>KC Mataram</v>
          </cell>
          <cell r="G247">
            <v>0.99479166666666663</v>
          </cell>
        </row>
        <row r="248">
          <cell r="B248" t="str">
            <v>KC Maumere</v>
          </cell>
          <cell r="G248">
            <v>1</v>
          </cell>
        </row>
        <row r="249">
          <cell r="B249" t="str">
            <v>KC Medan Gatot Subroto</v>
          </cell>
          <cell r="G249">
            <v>1</v>
          </cell>
        </row>
        <row r="250">
          <cell r="B250" t="str">
            <v>KC Medan Iskandar Muda</v>
          </cell>
          <cell r="G250">
            <v>0.98773006134969321</v>
          </cell>
        </row>
        <row r="251">
          <cell r="B251" t="str">
            <v>KC Medan Putri Hijau</v>
          </cell>
          <cell r="G251">
            <v>0.96153846153846156</v>
          </cell>
        </row>
        <row r="252">
          <cell r="B252" t="str">
            <v>KC Medan Sisingamangaraja</v>
          </cell>
          <cell r="G252">
            <v>0.96363636363636362</v>
          </cell>
        </row>
        <row r="253">
          <cell r="B253" t="str">
            <v>KC Medan Thamrin</v>
          </cell>
          <cell r="G253">
            <v>0.98461538461538467</v>
          </cell>
        </row>
        <row r="254">
          <cell r="B254" t="str">
            <v>KC Melawi</v>
          </cell>
          <cell r="G254">
            <v>1</v>
          </cell>
        </row>
        <row r="255">
          <cell r="B255" t="str">
            <v>KC Mempawah</v>
          </cell>
          <cell r="G255">
            <v>1</v>
          </cell>
        </row>
        <row r="256">
          <cell r="B256" t="str">
            <v>KC Merauke</v>
          </cell>
          <cell r="G256">
            <v>0.93548387096774188</v>
          </cell>
        </row>
        <row r="257">
          <cell r="B257" t="str">
            <v>KC Metro</v>
          </cell>
          <cell r="G257">
            <v>0.98</v>
          </cell>
        </row>
        <row r="258">
          <cell r="B258" t="str">
            <v>KC Mojokerto</v>
          </cell>
          <cell r="G258">
            <v>1</v>
          </cell>
        </row>
        <row r="259">
          <cell r="B259" t="str">
            <v>KC MOROWALI</v>
          </cell>
          <cell r="G259">
            <v>1</v>
          </cell>
        </row>
        <row r="260">
          <cell r="B260" t="str">
            <v>KC Muara Bulian</v>
          </cell>
          <cell r="G260">
            <v>1</v>
          </cell>
        </row>
        <row r="261">
          <cell r="B261" t="str">
            <v>KC Muara Bungo</v>
          </cell>
          <cell r="G261">
            <v>1</v>
          </cell>
        </row>
        <row r="262">
          <cell r="B262" t="str">
            <v>KC Muara Enim</v>
          </cell>
          <cell r="G262">
            <v>1</v>
          </cell>
        </row>
        <row r="263">
          <cell r="B263" t="str">
            <v>KC Muara Teweh</v>
          </cell>
          <cell r="G263">
            <v>0.71666666666666667</v>
          </cell>
        </row>
        <row r="264">
          <cell r="B264" t="str">
            <v>KC Muko Muko</v>
          </cell>
          <cell r="G264">
            <v>1</v>
          </cell>
        </row>
        <row r="265">
          <cell r="B265" t="str">
            <v>KC Mulyosari</v>
          </cell>
          <cell r="G265">
            <v>1</v>
          </cell>
        </row>
        <row r="266">
          <cell r="B266" t="str">
            <v>KC Muntilan</v>
          </cell>
          <cell r="G266">
            <v>1</v>
          </cell>
        </row>
        <row r="267">
          <cell r="B267" t="str">
            <v>KC Nabire</v>
          </cell>
          <cell r="G267">
            <v>1</v>
          </cell>
        </row>
        <row r="268">
          <cell r="B268" t="str">
            <v>KC Negara</v>
          </cell>
          <cell r="G268">
            <v>1</v>
          </cell>
        </row>
        <row r="269">
          <cell r="B269" t="str">
            <v>KC Nganjuk</v>
          </cell>
          <cell r="G269">
            <v>1</v>
          </cell>
        </row>
        <row r="270">
          <cell r="B270" t="str">
            <v>KC Ngawi</v>
          </cell>
          <cell r="G270">
            <v>1</v>
          </cell>
        </row>
        <row r="271">
          <cell r="B271" t="str">
            <v>KC Nunukan</v>
          </cell>
          <cell r="G271">
            <v>0.875</v>
          </cell>
        </row>
        <row r="272">
          <cell r="B272" t="str">
            <v>KC Pacitan</v>
          </cell>
          <cell r="G272">
            <v>1</v>
          </cell>
        </row>
        <row r="273">
          <cell r="B273" t="str">
            <v>KC Padang</v>
          </cell>
          <cell r="G273">
            <v>0.98461538461538467</v>
          </cell>
        </row>
        <row r="274">
          <cell r="B274" t="str">
            <v>KC Padang Panjang</v>
          </cell>
          <cell r="G274">
            <v>1</v>
          </cell>
        </row>
        <row r="275">
          <cell r="B275" t="str">
            <v>KC Padang Sidempuan</v>
          </cell>
          <cell r="G275">
            <v>0.98550724637681164</v>
          </cell>
        </row>
        <row r="276">
          <cell r="B276" t="str">
            <v>KC Pagar Alam</v>
          </cell>
          <cell r="G276">
            <v>1</v>
          </cell>
        </row>
        <row r="277">
          <cell r="B277" t="str">
            <v>KC Painan</v>
          </cell>
          <cell r="G277">
            <v>0.94117647058823528</v>
          </cell>
        </row>
        <row r="278">
          <cell r="B278" t="str">
            <v>KC Palangkaraya</v>
          </cell>
          <cell r="G278">
            <v>0.97222222222222221</v>
          </cell>
        </row>
        <row r="279">
          <cell r="B279" t="str">
            <v>KC Palembang A. Rivai</v>
          </cell>
          <cell r="G279">
            <v>1</v>
          </cell>
        </row>
        <row r="280">
          <cell r="B280" t="str">
            <v>KC Palembang Sriwijaya</v>
          </cell>
          <cell r="G280">
            <v>1</v>
          </cell>
        </row>
        <row r="281">
          <cell r="B281" t="str">
            <v>KC Palopo</v>
          </cell>
          <cell r="G281">
            <v>0.97222222222222221</v>
          </cell>
        </row>
        <row r="282">
          <cell r="B282" t="str">
            <v>KC Palu</v>
          </cell>
          <cell r="G282">
            <v>1</v>
          </cell>
        </row>
        <row r="283">
          <cell r="B283" t="str">
            <v>KC Pamanukan</v>
          </cell>
          <cell r="G283">
            <v>1</v>
          </cell>
        </row>
        <row r="284">
          <cell r="B284" t="str">
            <v>KC Pamekasan</v>
          </cell>
          <cell r="G284">
            <v>0.96666666666666667</v>
          </cell>
        </row>
        <row r="285">
          <cell r="B285" t="str">
            <v>KC Pamulang</v>
          </cell>
          <cell r="G285">
            <v>0.98734177215189878</v>
          </cell>
        </row>
        <row r="286">
          <cell r="B286" t="str">
            <v>KC Panakkukang</v>
          </cell>
          <cell r="G286">
            <v>0.95</v>
          </cell>
        </row>
        <row r="287">
          <cell r="B287" t="str">
            <v>KC Pandeglang</v>
          </cell>
          <cell r="G287">
            <v>0.81818181818181823</v>
          </cell>
        </row>
        <row r="288">
          <cell r="B288" t="str">
            <v>KC Pangkal Pinang</v>
          </cell>
          <cell r="G288">
            <v>1</v>
          </cell>
        </row>
        <row r="289">
          <cell r="B289" t="str">
            <v>KC Pangkalan Bun</v>
          </cell>
          <cell r="G289">
            <v>0.9850746268656716</v>
          </cell>
        </row>
        <row r="290">
          <cell r="B290" t="str">
            <v>KC Pangkalan Kerinci</v>
          </cell>
          <cell r="G290">
            <v>1</v>
          </cell>
        </row>
        <row r="291">
          <cell r="B291" t="str">
            <v>KC Pangkep</v>
          </cell>
          <cell r="G291">
            <v>1</v>
          </cell>
        </row>
        <row r="292">
          <cell r="B292" t="str">
            <v>KC Panyabungan</v>
          </cell>
          <cell r="G292">
            <v>0.89473684210526316</v>
          </cell>
        </row>
        <row r="293">
          <cell r="B293" t="str">
            <v>KC Parakan</v>
          </cell>
          <cell r="G293">
            <v>1</v>
          </cell>
        </row>
        <row r="294">
          <cell r="B294" t="str">
            <v>KC Pare</v>
          </cell>
          <cell r="G294">
            <v>1</v>
          </cell>
        </row>
        <row r="295">
          <cell r="B295" t="str">
            <v>KC Pare-Pare</v>
          </cell>
          <cell r="G295">
            <v>1</v>
          </cell>
        </row>
        <row r="296">
          <cell r="B296" t="str">
            <v>KC Pariaman</v>
          </cell>
          <cell r="G296">
            <v>0.97142857142857142</v>
          </cell>
        </row>
        <row r="297">
          <cell r="B297" t="str">
            <v>KC Parigi</v>
          </cell>
          <cell r="G297">
            <v>1</v>
          </cell>
        </row>
        <row r="298">
          <cell r="B298" t="str">
            <v>KC Pasir Pengaraian</v>
          </cell>
          <cell r="G298">
            <v>1</v>
          </cell>
        </row>
        <row r="299">
          <cell r="B299" t="str">
            <v>KC Pasuruan</v>
          </cell>
          <cell r="G299">
            <v>0.967741935483871</v>
          </cell>
        </row>
        <row r="300">
          <cell r="B300" t="str">
            <v>KC Pati</v>
          </cell>
          <cell r="G300">
            <v>0.95454545454545459</v>
          </cell>
        </row>
        <row r="301">
          <cell r="B301" t="str">
            <v>KC Payakumbuh</v>
          </cell>
          <cell r="G301">
            <v>0.98148148148148151</v>
          </cell>
        </row>
        <row r="302">
          <cell r="B302" t="str">
            <v>KC Pekalongan</v>
          </cell>
          <cell r="G302">
            <v>0.967741935483871</v>
          </cell>
        </row>
        <row r="303">
          <cell r="B303" t="str">
            <v>KC Pekanbaru Lancang Kuning</v>
          </cell>
          <cell r="G303">
            <v>0.88235294117647056</v>
          </cell>
        </row>
        <row r="304">
          <cell r="B304" t="str">
            <v>KC Pekanbaru Sudirman</v>
          </cell>
          <cell r="G304">
            <v>0.9726027397260274</v>
          </cell>
        </row>
        <row r="305">
          <cell r="B305" t="str">
            <v>KC Pekanbaru Tuanku Tambusai</v>
          </cell>
          <cell r="G305">
            <v>1</v>
          </cell>
        </row>
        <row r="306">
          <cell r="B306" t="str">
            <v>KC Pemalang</v>
          </cell>
          <cell r="G306">
            <v>1</v>
          </cell>
        </row>
        <row r="307">
          <cell r="B307" t="str">
            <v>KC Pematang Siantar</v>
          </cell>
          <cell r="G307">
            <v>0.98888888888888893</v>
          </cell>
        </row>
        <row r="308">
          <cell r="B308" t="str">
            <v>KC Perawang</v>
          </cell>
          <cell r="G308">
            <v>1</v>
          </cell>
        </row>
        <row r="309">
          <cell r="B309" t="str">
            <v>KC Perdagangan</v>
          </cell>
          <cell r="G309">
            <v>1</v>
          </cell>
        </row>
        <row r="310">
          <cell r="B310" t="str">
            <v>KC Pinrang</v>
          </cell>
          <cell r="G310">
            <v>1</v>
          </cell>
        </row>
        <row r="311">
          <cell r="B311" t="str">
            <v>KC Pleihari</v>
          </cell>
          <cell r="G311">
            <v>0.88235294117647056</v>
          </cell>
        </row>
        <row r="312">
          <cell r="B312" t="str">
            <v>KC POGOGUL BUOL</v>
          </cell>
          <cell r="G312">
            <v>1</v>
          </cell>
        </row>
        <row r="313">
          <cell r="B313" t="str">
            <v>KC Polewali</v>
          </cell>
          <cell r="G313">
            <v>1</v>
          </cell>
        </row>
        <row r="314">
          <cell r="B314" t="str">
            <v>KC Pondok Gede</v>
          </cell>
          <cell r="G314">
            <v>0.99130434782608701</v>
          </cell>
        </row>
        <row r="315">
          <cell r="B315" t="str">
            <v>KC Ponorogo</v>
          </cell>
          <cell r="G315">
            <v>1</v>
          </cell>
        </row>
        <row r="316">
          <cell r="B316" t="str">
            <v>KC Pontianak</v>
          </cell>
          <cell r="G316">
            <v>0.98098859315589348</v>
          </cell>
        </row>
        <row r="317">
          <cell r="B317" t="str">
            <v>KC Pontianak Gajah Mada</v>
          </cell>
          <cell r="G317">
            <v>0.94736842105263153</v>
          </cell>
        </row>
        <row r="318">
          <cell r="B318" t="str">
            <v>KC Poso</v>
          </cell>
          <cell r="G318">
            <v>1</v>
          </cell>
        </row>
        <row r="319">
          <cell r="B319" t="str">
            <v>KC Prabumulih</v>
          </cell>
          <cell r="G319">
            <v>1</v>
          </cell>
        </row>
        <row r="320">
          <cell r="B320" t="str">
            <v>KC Praya</v>
          </cell>
          <cell r="G320">
            <v>1</v>
          </cell>
        </row>
        <row r="321">
          <cell r="B321" t="str">
            <v>KC Pringsewu</v>
          </cell>
          <cell r="G321">
            <v>1</v>
          </cell>
        </row>
        <row r="322">
          <cell r="B322" t="str">
            <v>KC Probolinggo</v>
          </cell>
          <cell r="G322">
            <v>0.967741935483871</v>
          </cell>
        </row>
        <row r="323">
          <cell r="B323" t="str">
            <v>KC PULAU ARU</v>
          </cell>
          <cell r="G323">
            <v>0.95</v>
          </cell>
        </row>
        <row r="324">
          <cell r="B324" t="str">
            <v>KC Purbalingga</v>
          </cell>
          <cell r="G324">
            <v>1</v>
          </cell>
        </row>
        <row r="325">
          <cell r="B325" t="str">
            <v>KC Purwakarta</v>
          </cell>
          <cell r="G325">
            <v>0.96666666666666667</v>
          </cell>
        </row>
        <row r="326">
          <cell r="B326" t="str">
            <v>KC Purwodadi</v>
          </cell>
          <cell r="G326">
            <v>1</v>
          </cell>
        </row>
        <row r="327">
          <cell r="B327" t="str">
            <v>KC Purwokerto</v>
          </cell>
          <cell r="G327">
            <v>0.9921875</v>
          </cell>
        </row>
        <row r="328">
          <cell r="B328" t="str">
            <v>KC Purworejo</v>
          </cell>
          <cell r="G328">
            <v>1</v>
          </cell>
        </row>
        <row r="329">
          <cell r="B329" t="str">
            <v>KC Putussibau</v>
          </cell>
          <cell r="G329">
            <v>0.96153846153846156</v>
          </cell>
        </row>
        <row r="330">
          <cell r="B330" t="str">
            <v>KC Raba Bima</v>
          </cell>
          <cell r="G330">
            <v>1</v>
          </cell>
        </row>
        <row r="331">
          <cell r="B331" t="str">
            <v>KC Raha</v>
          </cell>
          <cell r="G331">
            <v>1</v>
          </cell>
        </row>
        <row r="332">
          <cell r="B332" t="str">
            <v>KC Rangkasbitung</v>
          </cell>
          <cell r="G332">
            <v>0.92</v>
          </cell>
        </row>
        <row r="333">
          <cell r="B333" t="str">
            <v>KC Rantau</v>
          </cell>
          <cell r="G333">
            <v>1</v>
          </cell>
        </row>
        <row r="334">
          <cell r="B334" t="str">
            <v>KC Rantau Prapat</v>
          </cell>
          <cell r="G334">
            <v>1</v>
          </cell>
        </row>
        <row r="335">
          <cell r="B335" t="str">
            <v>KC Rantepao</v>
          </cell>
          <cell r="G335">
            <v>1</v>
          </cell>
        </row>
        <row r="336">
          <cell r="B336" t="str">
            <v>KC Rembang</v>
          </cell>
          <cell r="G336">
            <v>1</v>
          </cell>
        </row>
        <row r="337">
          <cell r="B337" t="str">
            <v>KC Rengat</v>
          </cell>
          <cell r="G337">
            <v>1</v>
          </cell>
        </row>
        <row r="338">
          <cell r="B338" t="str">
            <v>KC Rimbo Bujang</v>
          </cell>
          <cell r="G338">
            <v>1</v>
          </cell>
        </row>
        <row r="339">
          <cell r="B339" t="str">
            <v>KC Ruteng</v>
          </cell>
          <cell r="G339">
            <v>1</v>
          </cell>
        </row>
        <row r="340">
          <cell r="B340" t="str">
            <v>KC Salatiga</v>
          </cell>
          <cell r="G340">
            <v>0.93333333333333335</v>
          </cell>
        </row>
        <row r="341">
          <cell r="B341" t="str">
            <v>KC SAMARINDA GAJAH MADA</v>
          </cell>
          <cell r="G341">
            <v>0.95161290322580649</v>
          </cell>
        </row>
        <row r="342">
          <cell r="B342" t="str">
            <v>KC SAMARINDA PELITA</v>
          </cell>
          <cell r="G342">
            <v>0.92307692307692313</v>
          </cell>
        </row>
        <row r="343">
          <cell r="B343" t="str">
            <v>KC Sampang</v>
          </cell>
          <cell r="G343">
            <v>1</v>
          </cell>
        </row>
        <row r="344">
          <cell r="B344" t="str">
            <v>KC Sampit</v>
          </cell>
          <cell r="G344">
            <v>0.98181818181818181</v>
          </cell>
        </row>
        <row r="345">
          <cell r="B345" t="str">
            <v>KC Sangatta</v>
          </cell>
          <cell r="G345">
            <v>1</v>
          </cell>
        </row>
        <row r="346">
          <cell r="B346" t="str">
            <v>KC Sanggau</v>
          </cell>
          <cell r="G346">
            <v>1</v>
          </cell>
        </row>
        <row r="347">
          <cell r="B347" t="str">
            <v>KC Sarolangun</v>
          </cell>
          <cell r="G347">
            <v>1</v>
          </cell>
        </row>
        <row r="348">
          <cell r="B348" t="str">
            <v>KC Saumlaki</v>
          </cell>
          <cell r="G348">
            <v>1</v>
          </cell>
        </row>
        <row r="349">
          <cell r="B349" t="str">
            <v>KC Sekayu</v>
          </cell>
          <cell r="G349">
            <v>0.98780487804878048</v>
          </cell>
        </row>
        <row r="350">
          <cell r="B350" t="str">
            <v>KC Selat Panjang</v>
          </cell>
          <cell r="G350">
            <v>1</v>
          </cell>
        </row>
        <row r="351">
          <cell r="B351" t="str">
            <v>KC Selong</v>
          </cell>
          <cell r="G351">
            <v>0.97872340425531912</v>
          </cell>
        </row>
        <row r="352">
          <cell r="B352" t="str">
            <v>KC Semarang A. Yani</v>
          </cell>
          <cell r="G352">
            <v>0.98947368421052628</v>
          </cell>
        </row>
        <row r="353">
          <cell r="B353" t="str">
            <v>KC Semarang Pandanaran</v>
          </cell>
          <cell r="G353">
            <v>0.9850746268656716</v>
          </cell>
        </row>
        <row r="354">
          <cell r="B354" t="str">
            <v>KC Semarang Patimura</v>
          </cell>
          <cell r="G354">
            <v>0.94285714285714284</v>
          </cell>
        </row>
        <row r="355">
          <cell r="B355" t="str">
            <v>KC Semarapura</v>
          </cell>
          <cell r="G355">
            <v>1</v>
          </cell>
        </row>
        <row r="356">
          <cell r="B356" t="str">
            <v>KC Sendawar</v>
          </cell>
          <cell r="G356">
            <v>1</v>
          </cell>
        </row>
        <row r="357">
          <cell r="B357" t="str">
            <v>KC Sengkang</v>
          </cell>
          <cell r="G357">
            <v>1</v>
          </cell>
        </row>
        <row r="358">
          <cell r="B358" t="str">
            <v>KC Sentani</v>
          </cell>
          <cell r="G358">
            <v>1</v>
          </cell>
        </row>
        <row r="359">
          <cell r="B359" t="str">
            <v>KC Serang</v>
          </cell>
          <cell r="G359">
            <v>0.93125000000000002</v>
          </cell>
        </row>
        <row r="360">
          <cell r="B360" t="str">
            <v>KC Serui</v>
          </cell>
          <cell r="G360">
            <v>0.91666666666666663</v>
          </cell>
        </row>
        <row r="361">
          <cell r="B361" t="str">
            <v>KC Siak</v>
          </cell>
          <cell r="G361">
            <v>1</v>
          </cell>
        </row>
        <row r="362">
          <cell r="B362" t="str">
            <v>KC Sibolga</v>
          </cell>
          <cell r="G362">
            <v>0.97058823529411764</v>
          </cell>
        </row>
        <row r="363">
          <cell r="B363" t="str">
            <v>KC Sibuhuan</v>
          </cell>
          <cell r="G363">
            <v>1</v>
          </cell>
        </row>
        <row r="364">
          <cell r="B364" t="str">
            <v>KC Sidikalang</v>
          </cell>
          <cell r="G364">
            <v>0.96296296296296291</v>
          </cell>
        </row>
        <row r="365">
          <cell r="B365" t="str">
            <v>KC Sidoarjo</v>
          </cell>
          <cell r="G365">
            <v>0.95833333333333337</v>
          </cell>
        </row>
        <row r="366">
          <cell r="B366" t="str">
            <v>KC Sidrap</v>
          </cell>
          <cell r="G366">
            <v>1</v>
          </cell>
        </row>
        <row r="367">
          <cell r="B367" t="str">
            <v>KC Sijunjung</v>
          </cell>
          <cell r="G367">
            <v>0.97058823529411764</v>
          </cell>
        </row>
        <row r="368">
          <cell r="B368" t="str">
            <v>KC Simpang Empat</v>
          </cell>
          <cell r="G368">
            <v>0.98305084745762716</v>
          </cell>
        </row>
        <row r="369">
          <cell r="B369" t="str">
            <v>KC Singaparna</v>
          </cell>
          <cell r="G369">
            <v>1</v>
          </cell>
        </row>
        <row r="370">
          <cell r="B370" t="str">
            <v>KC Singaraja</v>
          </cell>
          <cell r="G370">
            <v>1</v>
          </cell>
        </row>
        <row r="371">
          <cell r="B371" t="str">
            <v>KC Singkawang</v>
          </cell>
          <cell r="G371">
            <v>1</v>
          </cell>
        </row>
        <row r="372">
          <cell r="B372" t="str">
            <v>KC Sinjai</v>
          </cell>
          <cell r="G372">
            <v>0.97142857142857142</v>
          </cell>
        </row>
        <row r="373">
          <cell r="B373" t="str">
            <v>KC Sintang</v>
          </cell>
          <cell r="G373">
            <v>1</v>
          </cell>
        </row>
        <row r="374">
          <cell r="B374" t="str">
            <v>KC Situbondo</v>
          </cell>
          <cell r="G374">
            <v>1</v>
          </cell>
        </row>
        <row r="375">
          <cell r="B375" t="str">
            <v>KC Slawi</v>
          </cell>
          <cell r="G375">
            <v>1</v>
          </cell>
        </row>
        <row r="376">
          <cell r="B376" t="str">
            <v>KC Sleman</v>
          </cell>
          <cell r="G376">
            <v>1</v>
          </cell>
        </row>
        <row r="377">
          <cell r="B377" t="str">
            <v>KC Soa-Sio</v>
          </cell>
          <cell r="G377">
            <v>1</v>
          </cell>
        </row>
        <row r="378">
          <cell r="B378" t="str">
            <v>KC Soe</v>
          </cell>
          <cell r="G378">
            <v>1</v>
          </cell>
        </row>
        <row r="379">
          <cell r="B379" t="str">
            <v>KC Solo - Sudirman</v>
          </cell>
          <cell r="G379">
            <v>0.97222222222222221</v>
          </cell>
        </row>
        <row r="380">
          <cell r="B380" t="str">
            <v>KC Solo Baru</v>
          </cell>
          <cell r="G380">
            <v>1</v>
          </cell>
        </row>
        <row r="381">
          <cell r="B381" t="str">
            <v>KC Solo Kartasura</v>
          </cell>
          <cell r="G381">
            <v>1</v>
          </cell>
        </row>
        <row r="382">
          <cell r="B382" t="str">
            <v>KC Solo Slamet Riyadi</v>
          </cell>
          <cell r="G382">
            <v>0.98630136986301364</v>
          </cell>
        </row>
        <row r="383">
          <cell r="B383" t="str">
            <v>KC Solok</v>
          </cell>
          <cell r="G383">
            <v>0.9838709677419355</v>
          </cell>
        </row>
        <row r="384">
          <cell r="B384" t="str">
            <v>KC Soreang</v>
          </cell>
          <cell r="G384">
            <v>0.90476190476190477</v>
          </cell>
        </row>
        <row r="385">
          <cell r="B385" t="str">
            <v>KC Sorong</v>
          </cell>
          <cell r="G385">
            <v>0.98901098901098905</v>
          </cell>
        </row>
        <row r="386">
          <cell r="B386" t="str">
            <v>KC Sragen</v>
          </cell>
          <cell r="G386">
            <v>1</v>
          </cell>
        </row>
        <row r="387">
          <cell r="B387" t="str">
            <v>KC Stabat</v>
          </cell>
          <cell r="G387">
            <v>0.98039215686274506</v>
          </cell>
        </row>
        <row r="388">
          <cell r="B388" t="str">
            <v>KC Subang</v>
          </cell>
          <cell r="G388">
            <v>0.97058823529411764</v>
          </cell>
        </row>
        <row r="389">
          <cell r="B389" t="str">
            <v>KC SUDIRMAN SEMANGGI</v>
          </cell>
          <cell r="G389">
            <v>0.91176470588235292</v>
          </cell>
        </row>
        <row r="390">
          <cell r="B390" t="str">
            <v>KC Sukabumi</v>
          </cell>
          <cell r="G390">
            <v>0.97674418604651159</v>
          </cell>
        </row>
        <row r="391">
          <cell r="B391" t="str">
            <v>KC Sukoharjo</v>
          </cell>
          <cell r="G391">
            <v>1</v>
          </cell>
        </row>
        <row r="392">
          <cell r="B392" t="str">
            <v>KC Sumbawa Besar</v>
          </cell>
          <cell r="G392">
            <v>1</v>
          </cell>
        </row>
        <row r="393">
          <cell r="B393" t="str">
            <v>KC Sumedang</v>
          </cell>
          <cell r="G393">
            <v>0.99090909090909096</v>
          </cell>
        </row>
        <row r="394">
          <cell r="B394" t="str">
            <v>KC Sumenep</v>
          </cell>
          <cell r="G394">
            <v>1</v>
          </cell>
        </row>
        <row r="395">
          <cell r="B395" t="str">
            <v>KC Sungai Liat</v>
          </cell>
          <cell r="G395">
            <v>1</v>
          </cell>
        </row>
        <row r="396">
          <cell r="B396" t="str">
            <v>KC Sungai Penuh</v>
          </cell>
          <cell r="G396">
            <v>0.97142857142857142</v>
          </cell>
        </row>
        <row r="397">
          <cell r="B397" t="str">
            <v>KC Sungguminasa</v>
          </cell>
          <cell r="G397">
            <v>0.98863636363636365</v>
          </cell>
        </row>
        <row r="398">
          <cell r="B398" t="str">
            <v>KC Surabaya Diponegoro</v>
          </cell>
          <cell r="G398">
            <v>0.97435897435897434</v>
          </cell>
        </row>
        <row r="399">
          <cell r="B399" t="str">
            <v>KC Surabaya HR Muhammad</v>
          </cell>
          <cell r="G399">
            <v>1</v>
          </cell>
        </row>
        <row r="400">
          <cell r="B400" t="str">
            <v>KC Surabaya Jemursari</v>
          </cell>
          <cell r="G400">
            <v>1</v>
          </cell>
        </row>
        <row r="401">
          <cell r="B401" t="str">
            <v>KC Surabaya Kaliasin</v>
          </cell>
          <cell r="G401">
            <v>0.9642857142857143</v>
          </cell>
        </row>
        <row r="402">
          <cell r="B402" t="str">
            <v>KC Surabaya Kertajaya</v>
          </cell>
          <cell r="G402">
            <v>0.96875</v>
          </cell>
        </row>
        <row r="403">
          <cell r="B403" t="str">
            <v>KC Surabaya Kusuma bangsa</v>
          </cell>
          <cell r="G403">
            <v>1</v>
          </cell>
        </row>
        <row r="404">
          <cell r="B404" t="str">
            <v>KC Surabaya Pahlawan</v>
          </cell>
          <cell r="G404">
            <v>0.98076923076923073</v>
          </cell>
        </row>
        <row r="405">
          <cell r="B405" t="str">
            <v>KC Surabaya Rajawali</v>
          </cell>
          <cell r="G405">
            <v>1</v>
          </cell>
        </row>
        <row r="406">
          <cell r="B406" t="str">
            <v>KC Surabaya Tanjung Perak</v>
          </cell>
          <cell r="G406">
            <v>0.94594594594594594</v>
          </cell>
        </row>
        <row r="407">
          <cell r="B407" t="str">
            <v>KC Tabanan</v>
          </cell>
          <cell r="G407">
            <v>1</v>
          </cell>
        </row>
        <row r="408">
          <cell r="B408" t="str">
            <v>KC Tabanan Kediri</v>
          </cell>
          <cell r="G408">
            <v>1</v>
          </cell>
        </row>
        <row r="409">
          <cell r="B409" t="str">
            <v>KC Tahuna</v>
          </cell>
          <cell r="G409">
            <v>1</v>
          </cell>
        </row>
        <row r="410">
          <cell r="B410" t="str">
            <v>KC Takalar</v>
          </cell>
          <cell r="G410">
            <v>1</v>
          </cell>
        </row>
        <row r="411">
          <cell r="B411" t="str">
            <v>KC Tamalanrea</v>
          </cell>
          <cell r="G411">
            <v>0.97546012269938653</v>
          </cell>
        </row>
        <row r="412">
          <cell r="B412" t="str">
            <v>KC Tambun</v>
          </cell>
          <cell r="G412">
            <v>0.98734177215189878</v>
          </cell>
        </row>
        <row r="413">
          <cell r="B413" t="str">
            <v>KC Tanah Grogot</v>
          </cell>
          <cell r="G413">
            <v>1</v>
          </cell>
        </row>
        <row r="414">
          <cell r="B414" t="str">
            <v>KC Tangerang City</v>
          </cell>
          <cell r="G414">
            <v>0.94594594594594594</v>
          </cell>
        </row>
        <row r="415">
          <cell r="B415" t="str">
            <v>KC Tangerang Merdeka</v>
          </cell>
          <cell r="G415">
            <v>0.97297297297297303</v>
          </cell>
        </row>
        <row r="416">
          <cell r="B416" t="str">
            <v>KC Tanjung Balai</v>
          </cell>
          <cell r="G416">
            <v>1</v>
          </cell>
        </row>
        <row r="417">
          <cell r="B417" t="str">
            <v>KC Tanjung Balai Karimun</v>
          </cell>
          <cell r="G417">
            <v>0.98666666666666669</v>
          </cell>
        </row>
        <row r="418">
          <cell r="B418" t="str">
            <v>KC Tanjung Karang</v>
          </cell>
          <cell r="G418">
            <v>0.98425196850393704</v>
          </cell>
        </row>
        <row r="419">
          <cell r="B419" t="str">
            <v>KC Tanjung Pandan</v>
          </cell>
          <cell r="G419">
            <v>1</v>
          </cell>
        </row>
        <row r="420">
          <cell r="B420" t="str">
            <v>KC Tanjung Pinang</v>
          </cell>
          <cell r="G420">
            <v>0.99568965517241381</v>
          </cell>
        </row>
        <row r="421">
          <cell r="B421" t="str">
            <v>KC Tanjung Redeb</v>
          </cell>
          <cell r="G421">
            <v>0.967741935483871</v>
          </cell>
        </row>
        <row r="422">
          <cell r="B422" t="str">
            <v>KC Tanjung Selor</v>
          </cell>
          <cell r="G422">
            <v>0.9555555555555556</v>
          </cell>
        </row>
        <row r="423">
          <cell r="B423" t="str">
            <v>KC Tanjung Tabalong</v>
          </cell>
          <cell r="G423">
            <v>1</v>
          </cell>
        </row>
        <row r="424">
          <cell r="B424" t="str">
            <v>KC Tarakan</v>
          </cell>
          <cell r="G424">
            <v>0.9821428571428571</v>
          </cell>
        </row>
        <row r="425">
          <cell r="B425" t="str">
            <v>KC Tarutung</v>
          </cell>
          <cell r="G425">
            <v>1</v>
          </cell>
        </row>
        <row r="426">
          <cell r="B426" t="str">
            <v>KC Tasikmalaya</v>
          </cell>
          <cell r="G426">
            <v>0.92307692307692313</v>
          </cell>
        </row>
        <row r="427">
          <cell r="B427" t="str">
            <v>KC Tebing Tinggi</v>
          </cell>
          <cell r="G427">
            <v>1</v>
          </cell>
        </row>
        <row r="428">
          <cell r="B428" t="str">
            <v>KC Tegal</v>
          </cell>
          <cell r="G428">
            <v>1</v>
          </cell>
        </row>
        <row r="429">
          <cell r="B429" t="str">
            <v>KC Teluk Betung</v>
          </cell>
          <cell r="G429">
            <v>1</v>
          </cell>
        </row>
        <row r="430">
          <cell r="B430" t="str">
            <v>KC Teluk Kuantan</v>
          </cell>
          <cell r="G430">
            <v>1</v>
          </cell>
        </row>
        <row r="431">
          <cell r="B431" t="str">
            <v>KC Temanggung</v>
          </cell>
          <cell r="G431">
            <v>1</v>
          </cell>
        </row>
        <row r="432">
          <cell r="B432" t="str">
            <v>KC Tembilahan</v>
          </cell>
          <cell r="G432">
            <v>0.88888888888888884</v>
          </cell>
        </row>
        <row r="433">
          <cell r="B433" t="str">
            <v>KC Tenggarong</v>
          </cell>
          <cell r="G433">
            <v>0.96491228070175439</v>
          </cell>
        </row>
        <row r="434">
          <cell r="B434" t="str">
            <v>KC Ternate</v>
          </cell>
          <cell r="G434">
            <v>0.97727272727272729</v>
          </cell>
        </row>
        <row r="435">
          <cell r="B435" t="str">
            <v>KC Timika</v>
          </cell>
          <cell r="G435">
            <v>0.95652173913043481</v>
          </cell>
        </row>
        <row r="436">
          <cell r="B436" t="str">
            <v>KC Tobelo</v>
          </cell>
          <cell r="G436">
            <v>1</v>
          </cell>
        </row>
        <row r="437">
          <cell r="B437" t="str">
            <v>KC Toli-Toli</v>
          </cell>
          <cell r="G437">
            <v>1</v>
          </cell>
        </row>
        <row r="438">
          <cell r="B438" t="str">
            <v>KC Tondano</v>
          </cell>
          <cell r="G438">
            <v>1</v>
          </cell>
        </row>
        <row r="439">
          <cell r="B439" t="str">
            <v>KC Trenggalek</v>
          </cell>
          <cell r="G439">
            <v>1</v>
          </cell>
        </row>
        <row r="440">
          <cell r="B440" t="str">
            <v>KC Tuban</v>
          </cell>
          <cell r="G440">
            <v>0.90909090909090906</v>
          </cell>
        </row>
        <row r="441">
          <cell r="B441" t="str">
            <v>KC Tulang Bawang</v>
          </cell>
          <cell r="G441">
            <v>0.94736842105263153</v>
          </cell>
        </row>
        <row r="442">
          <cell r="B442" t="str">
            <v>KC Tulungagung</v>
          </cell>
          <cell r="G442">
            <v>0.94444444444444442</v>
          </cell>
        </row>
        <row r="443">
          <cell r="B443" t="str">
            <v>KC Ujung Batu</v>
          </cell>
          <cell r="G443">
            <v>1</v>
          </cell>
        </row>
        <row r="444">
          <cell r="B444" t="str">
            <v>KC Ungaran</v>
          </cell>
          <cell r="G444">
            <v>1</v>
          </cell>
        </row>
        <row r="445">
          <cell r="B445" t="str">
            <v>KC Waikabubak</v>
          </cell>
          <cell r="G445">
            <v>1</v>
          </cell>
        </row>
        <row r="446">
          <cell r="B446" t="str">
            <v>KC Waingapu</v>
          </cell>
          <cell r="G446">
            <v>1</v>
          </cell>
        </row>
        <row r="447">
          <cell r="B447" t="str">
            <v>KC Wamena</v>
          </cell>
          <cell r="G447">
            <v>1</v>
          </cell>
        </row>
        <row r="448">
          <cell r="B448" t="str">
            <v>KC Waru</v>
          </cell>
          <cell r="G448">
            <v>1</v>
          </cell>
        </row>
        <row r="449">
          <cell r="B449" t="str">
            <v>KC Watampone</v>
          </cell>
          <cell r="G449">
            <v>0.99337748344370858</v>
          </cell>
        </row>
        <row r="450">
          <cell r="B450" t="str">
            <v>KC Watansopeng</v>
          </cell>
          <cell r="G450">
            <v>1</v>
          </cell>
        </row>
        <row r="451">
          <cell r="B451" t="str">
            <v>KC Wates</v>
          </cell>
          <cell r="G451">
            <v>0.96</v>
          </cell>
        </row>
        <row r="452">
          <cell r="B452" t="str">
            <v>KC Wonogiri</v>
          </cell>
          <cell r="G452">
            <v>1</v>
          </cell>
        </row>
        <row r="453">
          <cell r="B453" t="str">
            <v>KC Wonosari</v>
          </cell>
          <cell r="G453">
            <v>1</v>
          </cell>
        </row>
        <row r="454">
          <cell r="B454" t="str">
            <v>KC Wonosobo</v>
          </cell>
          <cell r="G454">
            <v>0.9375</v>
          </cell>
        </row>
        <row r="455">
          <cell r="B455" t="str">
            <v>KC Yogyakarta Adisucipto</v>
          </cell>
          <cell r="G455">
            <v>0.99285714285714288</v>
          </cell>
        </row>
        <row r="456">
          <cell r="B456" t="str">
            <v>KC Yogyakarta Cik Ditiro</v>
          </cell>
          <cell r="G456">
            <v>0.99333333333333329</v>
          </cell>
        </row>
        <row r="457">
          <cell r="B457" t="str">
            <v>KC Yogyakarta Katamso</v>
          </cell>
          <cell r="G457">
            <v>1</v>
          </cell>
        </row>
        <row r="458">
          <cell r="B458" t="str">
            <v>KC Yogyakarta Mlati</v>
          </cell>
          <cell r="G458">
            <v>0.97802197802197799</v>
          </cell>
        </row>
        <row r="459">
          <cell r="B459" t="str">
            <v xml:space="preserve">KC Malang Sutoyo              </v>
          </cell>
          <cell r="G459">
            <v>1</v>
          </cell>
        </row>
        <row r="460">
          <cell r="B460" t="str">
            <v xml:space="preserve">KC Malang Sutoyo                        </v>
          </cell>
          <cell r="G460">
            <v>1</v>
          </cell>
        </row>
        <row r="461">
          <cell r="B461" t="str">
            <v xml:space="preserve">KC Mamuju                     </v>
          </cell>
          <cell r="G461">
            <v>1</v>
          </cell>
        </row>
        <row r="462">
          <cell r="B462" t="str">
            <v xml:space="preserve">KC Mamuju                               </v>
          </cell>
          <cell r="G462">
            <v>1</v>
          </cell>
        </row>
        <row r="463">
          <cell r="B463" t="str">
            <v xml:space="preserve">KC Manado                     </v>
          </cell>
          <cell r="G463">
            <v>1</v>
          </cell>
        </row>
        <row r="464">
          <cell r="B464" t="str">
            <v xml:space="preserve">KC Manado                               </v>
          </cell>
          <cell r="G464">
            <v>1</v>
          </cell>
        </row>
        <row r="465">
          <cell r="B465" t="str">
            <v xml:space="preserve">KC Manado Boulevard           </v>
          </cell>
          <cell r="G465">
            <v>1</v>
          </cell>
        </row>
        <row r="466">
          <cell r="B466" t="str">
            <v xml:space="preserve">KC Manado Boulevard                     </v>
          </cell>
          <cell r="G466">
            <v>1</v>
          </cell>
        </row>
        <row r="467">
          <cell r="B467" t="str">
            <v xml:space="preserve">KC Manna                      </v>
          </cell>
          <cell r="G467">
            <v>1</v>
          </cell>
        </row>
        <row r="468">
          <cell r="B468" t="str">
            <v xml:space="preserve">KC Manna                                </v>
          </cell>
          <cell r="G468">
            <v>1</v>
          </cell>
        </row>
        <row r="469">
          <cell r="B469" t="str">
            <v xml:space="preserve">KC Manokwari                  </v>
          </cell>
          <cell r="G469">
            <v>1</v>
          </cell>
        </row>
        <row r="470">
          <cell r="B470" t="str">
            <v xml:space="preserve">KC Manokwari                            </v>
          </cell>
          <cell r="G470">
            <v>1</v>
          </cell>
        </row>
        <row r="471">
          <cell r="B471" t="str">
            <v xml:space="preserve">KC Manukan                    </v>
          </cell>
          <cell r="G471">
            <v>1</v>
          </cell>
        </row>
        <row r="472">
          <cell r="B472" t="str">
            <v xml:space="preserve">KC Manukan                              </v>
          </cell>
          <cell r="G472">
            <v>0.90909090909090906</v>
          </cell>
        </row>
        <row r="473">
          <cell r="B473" t="str">
            <v xml:space="preserve">KC Marabahan                  </v>
          </cell>
          <cell r="G473">
            <v>1</v>
          </cell>
        </row>
        <row r="474">
          <cell r="B474" t="str">
            <v xml:space="preserve">KC Marabahan                            </v>
          </cell>
          <cell r="G474">
            <v>0.69230769230769229</v>
          </cell>
        </row>
        <row r="475">
          <cell r="B475" t="str">
            <v xml:space="preserve">KC Marisa                     </v>
          </cell>
          <cell r="G475">
            <v>1</v>
          </cell>
        </row>
        <row r="476">
          <cell r="B476" t="str">
            <v xml:space="preserve">KC Marisa                               </v>
          </cell>
          <cell r="G476">
            <v>1</v>
          </cell>
        </row>
        <row r="477">
          <cell r="B477" t="str">
            <v xml:space="preserve">KC Maros                      </v>
          </cell>
          <cell r="G477">
            <v>1</v>
          </cell>
        </row>
        <row r="478">
          <cell r="B478" t="str">
            <v xml:space="preserve">KC Maros                                </v>
          </cell>
          <cell r="G478">
            <v>1</v>
          </cell>
        </row>
        <row r="479">
          <cell r="B479" t="str">
            <v xml:space="preserve">KC Martapura                  </v>
          </cell>
          <cell r="G479">
            <v>1</v>
          </cell>
        </row>
        <row r="480">
          <cell r="B480" t="str">
            <v xml:space="preserve">KC Martapura                            </v>
          </cell>
          <cell r="G480">
            <v>0.98484848484848486</v>
          </cell>
        </row>
        <row r="481">
          <cell r="B481" t="str">
            <v xml:space="preserve">KC Masamba                    </v>
          </cell>
          <cell r="G481">
            <v>1</v>
          </cell>
        </row>
        <row r="482">
          <cell r="B482" t="str">
            <v xml:space="preserve">KC Masamba                              </v>
          </cell>
          <cell r="G482">
            <v>1</v>
          </cell>
        </row>
        <row r="483">
          <cell r="B483" t="str">
            <v xml:space="preserve">KC Masohi                     </v>
          </cell>
          <cell r="G483">
            <v>1</v>
          </cell>
        </row>
        <row r="484">
          <cell r="B484" t="str">
            <v xml:space="preserve">KC Masohi                               </v>
          </cell>
          <cell r="G484">
            <v>1</v>
          </cell>
        </row>
        <row r="485">
          <cell r="B485" t="str">
            <v xml:space="preserve">KC Mataram                    </v>
          </cell>
          <cell r="G485">
            <v>1</v>
          </cell>
        </row>
        <row r="486">
          <cell r="B486" t="str">
            <v xml:space="preserve">KC Mataram                              </v>
          </cell>
          <cell r="G486">
            <v>0.99236641221374045</v>
          </cell>
        </row>
        <row r="487">
          <cell r="B487" t="str">
            <v xml:space="preserve">KC Maumere                    </v>
          </cell>
          <cell r="G487">
            <v>1</v>
          </cell>
        </row>
        <row r="488">
          <cell r="B488" t="str">
            <v xml:space="preserve">KC Maumere                              </v>
          </cell>
          <cell r="G488">
            <v>1</v>
          </cell>
        </row>
        <row r="489">
          <cell r="B489" t="str">
            <v xml:space="preserve">KC Medan Gatot Subroto        </v>
          </cell>
          <cell r="G489">
            <v>1</v>
          </cell>
        </row>
        <row r="490">
          <cell r="B490" t="str">
            <v xml:space="preserve">KC Medan Gatot Subroto                  </v>
          </cell>
          <cell r="G490">
            <v>1</v>
          </cell>
        </row>
        <row r="491">
          <cell r="B491" t="str">
            <v xml:space="preserve">KC Medan Iskandar Muda        </v>
          </cell>
          <cell r="G491">
            <v>1</v>
          </cell>
        </row>
        <row r="492">
          <cell r="B492" t="str">
            <v xml:space="preserve">KC Medan Iskandar Muda                  </v>
          </cell>
          <cell r="G492">
            <v>0.97938144329896903</v>
          </cell>
        </row>
        <row r="493">
          <cell r="B493" t="str">
            <v xml:space="preserve">KC Medan Putri Hijau          </v>
          </cell>
          <cell r="G493">
            <v>1</v>
          </cell>
        </row>
        <row r="494">
          <cell r="B494" t="str">
            <v xml:space="preserve">KC Medan Putri Hijau                    </v>
          </cell>
          <cell r="G494">
            <v>0.93939393939393945</v>
          </cell>
        </row>
        <row r="495">
          <cell r="B495" t="str">
            <v xml:space="preserve">KC Medan Sisingamangaraja     </v>
          </cell>
          <cell r="G495">
            <v>1</v>
          </cell>
        </row>
        <row r="496">
          <cell r="B496" t="str">
            <v xml:space="preserve">KC Medan Sisingamangaraja               </v>
          </cell>
          <cell r="G496">
            <v>0.94736842105263153</v>
          </cell>
        </row>
        <row r="497">
          <cell r="B497" t="str">
            <v xml:space="preserve">KC Medan Thamrin              </v>
          </cell>
          <cell r="G497">
            <v>1</v>
          </cell>
        </row>
        <row r="498">
          <cell r="B498" t="str">
            <v xml:space="preserve">KC Medan Thamrin                        </v>
          </cell>
          <cell r="G498">
            <v>0.97560975609756095</v>
          </cell>
        </row>
        <row r="499">
          <cell r="B499" t="str">
            <v xml:space="preserve">KC Melawi                     </v>
          </cell>
          <cell r="G499">
            <v>1</v>
          </cell>
        </row>
        <row r="500">
          <cell r="B500" t="str">
            <v xml:space="preserve">KC Melawi                               </v>
          </cell>
          <cell r="G500">
            <v>1</v>
          </cell>
        </row>
        <row r="501">
          <cell r="B501" t="str">
            <v xml:space="preserve">KC Mempawah                   </v>
          </cell>
          <cell r="G501">
            <v>1</v>
          </cell>
        </row>
        <row r="502">
          <cell r="B502" t="str">
            <v xml:space="preserve">KC Mempawah                             </v>
          </cell>
          <cell r="G502">
            <v>1</v>
          </cell>
        </row>
        <row r="503">
          <cell r="B503" t="str">
            <v xml:space="preserve">KC Merauke                    </v>
          </cell>
          <cell r="G503">
            <v>1</v>
          </cell>
        </row>
        <row r="504">
          <cell r="B504" t="str">
            <v xml:space="preserve">KC Merauke                              </v>
          </cell>
          <cell r="G504">
            <v>0.90476190476190477</v>
          </cell>
        </row>
        <row r="505">
          <cell r="B505" t="str">
            <v xml:space="preserve">KC Metro                      </v>
          </cell>
          <cell r="G505">
            <v>1</v>
          </cell>
        </row>
        <row r="506">
          <cell r="B506" t="str">
            <v xml:space="preserve">KC Metro                                </v>
          </cell>
          <cell r="G506">
            <v>0.97142857142857142</v>
          </cell>
        </row>
        <row r="507">
          <cell r="B507" t="str">
            <v xml:space="preserve">KC Mojokerto                  </v>
          </cell>
          <cell r="G507">
            <v>1</v>
          </cell>
        </row>
        <row r="508">
          <cell r="B508" t="str">
            <v xml:space="preserve">KC Mojokerto                            </v>
          </cell>
          <cell r="G508">
            <v>1</v>
          </cell>
        </row>
        <row r="509">
          <cell r="B509" t="str">
            <v xml:space="preserve">KC MOROWALI                   </v>
          </cell>
          <cell r="G509">
            <v>1</v>
          </cell>
        </row>
        <row r="510">
          <cell r="B510" t="str">
            <v xml:space="preserve">KC MOROWALI                             </v>
          </cell>
          <cell r="G510">
            <v>1</v>
          </cell>
        </row>
        <row r="511">
          <cell r="B511" t="str">
            <v xml:space="preserve">KC Muara Bulian               </v>
          </cell>
          <cell r="G511">
            <v>1</v>
          </cell>
        </row>
        <row r="512">
          <cell r="B512" t="str">
            <v xml:space="preserve">KC Muara Bulian                         </v>
          </cell>
          <cell r="G512">
            <v>1</v>
          </cell>
        </row>
        <row r="513">
          <cell r="B513" t="str">
            <v xml:space="preserve">KC Muara Bungo                </v>
          </cell>
          <cell r="G513">
            <v>1</v>
          </cell>
        </row>
        <row r="514">
          <cell r="B514" t="str">
            <v xml:space="preserve">KC Muara Bungo                          </v>
          </cell>
          <cell r="G514">
            <v>1</v>
          </cell>
        </row>
        <row r="515">
          <cell r="B515" t="str">
            <v xml:space="preserve">KC Muara Enim                 </v>
          </cell>
          <cell r="G515">
            <v>1</v>
          </cell>
        </row>
        <row r="516">
          <cell r="B516" t="str">
            <v xml:space="preserve">KC Muara Enim                           </v>
          </cell>
          <cell r="G516">
            <v>1</v>
          </cell>
        </row>
        <row r="517">
          <cell r="B517" t="str">
            <v xml:space="preserve">KC Muara Teweh                </v>
          </cell>
          <cell r="G517">
            <v>1</v>
          </cell>
        </row>
        <row r="518">
          <cell r="B518" t="str">
            <v xml:space="preserve">KC Muara Teweh                          </v>
          </cell>
          <cell r="G518">
            <v>0.63043478260869568</v>
          </cell>
        </row>
        <row r="519">
          <cell r="B519" t="str">
            <v xml:space="preserve">KC Muko Muko                  </v>
          </cell>
          <cell r="G519">
            <v>1</v>
          </cell>
        </row>
        <row r="520">
          <cell r="B520" t="str">
            <v xml:space="preserve">KC Muko Muko                            </v>
          </cell>
          <cell r="G520">
            <v>1</v>
          </cell>
        </row>
        <row r="521">
          <cell r="B521" t="str">
            <v xml:space="preserve">KC Mulyosari                  </v>
          </cell>
          <cell r="G521">
            <v>1</v>
          </cell>
        </row>
        <row r="522">
          <cell r="B522" t="str">
            <v xml:space="preserve">KC Mulyosari                            </v>
          </cell>
          <cell r="G522">
            <v>1</v>
          </cell>
        </row>
        <row r="523">
          <cell r="B523" t="str">
            <v xml:space="preserve">KC Muntilan                   </v>
          </cell>
          <cell r="G523">
            <v>1</v>
          </cell>
        </row>
        <row r="524">
          <cell r="B524" t="str">
            <v xml:space="preserve">KC Muntilan                             </v>
          </cell>
          <cell r="G524">
            <v>1</v>
          </cell>
        </row>
        <row r="525">
          <cell r="B525" t="str">
            <v xml:space="preserve">KC Nabire                     </v>
          </cell>
          <cell r="G525">
            <v>1</v>
          </cell>
        </row>
        <row r="526">
          <cell r="B526" t="str">
            <v xml:space="preserve">KC Nabire                               </v>
          </cell>
          <cell r="G526">
            <v>1</v>
          </cell>
        </row>
        <row r="527">
          <cell r="B527" t="str">
            <v xml:space="preserve">KC Negara                     </v>
          </cell>
          <cell r="G527">
            <v>1</v>
          </cell>
        </row>
        <row r="528">
          <cell r="B528" t="str">
            <v xml:space="preserve">KC Negara                               </v>
          </cell>
          <cell r="G528">
            <v>1</v>
          </cell>
        </row>
        <row r="529">
          <cell r="B529" t="str">
            <v xml:space="preserve">KC Nganjuk                    </v>
          </cell>
          <cell r="G529">
            <v>1</v>
          </cell>
        </row>
        <row r="530">
          <cell r="B530" t="str">
            <v xml:space="preserve">KC Nganjuk                              </v>
          </cell>
          <cell r="G530">
            <v>1</v>
          </cell>
        </row>
        <row r="531">
          <cell r="B531" t="str">
            <v xml:space="preserve">KC Ngawi                      </v>
          </cell>
          <cell r="G531">
            <v>1</v>
          </cell>
        </row>
        <row r="532">
          <cell r="B532" t="str">
            <v xml:space="preserve">KC Ngawi                                </v>
          </cell>
          <cell r="G532">
            <v>1</v>
          </cell>
        </row>
        <row r="533">
          <cell r="B533" t="str">
            <v xml:space="preserve">KC Nunukan                    </v>
          </cell>
          <cell r="G533">
            <v>1</v>
          </cell>
        </row>
        <row r="534">
          <cell r="B534" t="str">
            <v xml:space="preserve">KC Nunukan                              </v>
          </cell>
          <cell r="G534">
            <v>0.8</v>
          </cell>
        </row>
        <row r="535">
          <cell r="B535" t="str">
            <v xml:space="preserve">KC Pacitan                    </v>
          </cell>
          <cell r="G535">
            <v>1</v>
          </cell>
        </row>
        <row r="536">
          <cell r="B536" t="str">
            <v xml:space="preserve">KC Pacitan                              </v>
          </cell>
          <cell r="G536">
            <v>1</v>
          </cell>
        </row>
        <row r="537">
          <cell r="B537" t="str">
            <v xml:space="preserve">KC Padang                     </v>
          </cell>
          <cell r="G537">
            <v>1</v>
          </cell>
        </row>
        <row r="538">
          <cell r="B538" t="str">
            <v xml:space="preserve">KC Padang                               </v>
          </cell>
          <cell r="G538">
            <v>0.97560975609756095</v>
          </cell>
        </row>
        <row r="539">
          <cell r="B539" t="str">
            <v xml:space="preserve">KC Padang Panjang             </v>
          </cell>
          <cell r="G539">
            <v>1</v>
          </cell>
        </row>
        <row r="540">
          <cell r="B540" t="str">
            <v xml:space="preserve">KC Padang Panjang                       </v>
          </cell>
          <cell r="G540">
            <v>1</v>
          </cell>
        </row>
        <row r="541">
          <cell r="B541" t="str">
            <v xml:space="preserve">KC Padang Sidempuan           </v>
          </cell>
          <cell r="G541">
            <v>1</v>
          </cell>
        </row>
        <row r="542">
          <cell r="B542" t="str">
            <v xml:space="preserve">KC Padang Sidempuan                     </v>
          </cell>
          <cell r="G542">
            <v>0.98</v>
          </cell>
        </row>
        <row r="543">
          <cell r="B543" t="str">
            <v xml:space="preserve">KC Pagar Alam                 </v>
          </cell>
          <cell r="G543">
            <v>1</v>
          </cell>
        </row>
        <row r="544">
          <cell r="B544" t="str">
            <v xml:space="preserve">KC Pagar Alam                           </v>
          </cell>
          <cell r="G544">
            <v>1</v>
          </cell>
        </row>
        <row r="545">
          <cell r="B545" t="str">
            <v xml:space="preserve">KC Painan                     </v>
          </cell>
          <cell r="G545">
            <v>1</v>
          </cell>
        </row>
        <row r="546">
          <cell r="B546" t="str">
            <v xml:space="preserve">KC Painan                               </v>
          </cell>
          <cell r="G546">
            <v>0.92307692307692313</v>
          </cell>
        </row>
        <row r="547">
          <cell r="B547" t="str">
            <v xml:space="preserve">KC Palangkaraya               </v>
          </cell>
          <cell r="G547">
            <v>1</v>
          </cell>
        </row>
        <row r="548">
          <cell r="B548" t="str">
            <v xml:space="preserve">KC Palangkaraya                         </v>
          </cell>
          <cell r="G548">
            <v>0.95867768595041325</v>
          </cell>
        </row>
        <row r="549">
          <cell r="B549" t="str">
            <v xml:space="preserve">KC Palembang A. Rivai         </v>
          </cell>
          <cell r="G549">
            <v>1</v>
          </cell>
        </row>
        <row r="550">
          <cell r="B550" t="str">
            <v xml:space="preserve">KC Palembang A. Rivai                   </v>
          </cell>
          <cell r="G550">
            <v>1</v>
          </cell>
        </row>
        <row r="551">
          <cell r="B551" t="str">
            <v xml:space="preserve">KC Palembang Sriwijaya        </v>
          </cell>
          <cell r="G551">
            <v>1</v>
          </cell>
        </row>
        <row r="552">
          <cell r="B552" t="str">
            <v xml:space="preserve">KC Palembang Sriwijaya                  </v>
          </cell>
          <cell r="G552">
            <v>1</v>
          </cell>
        </row>
        <row r="553">
          <cell r="B553" t="str">
            <v xml:space="preserve">KC Palopo                     </v>
          </cell>
          <cell r="G553">
            <v>1</v>
          </cell>
        </row>
        <row r="554">
          <cell r="B554" t="str">
            <v xml:space="preserve">KC Palopo                               </v>
          </cell>
          <cell r="G554">
            <v>0.96551724137931039</v>
          </cell>
        </row>
        <row r="555">
          <cell r="B555" t="str">
            <v xml:space="preserve">KC Palu                       </v>
          </cell>
          <cell r="G555">
            <v>1</v>
          </cell>
        </row>
        <row r="556">
          <cell r="B556" t="str">
            <v xml:space="preserve">KC Palu                                 </v>
          </cell>
          <cell r="G556">
            <v>1</v>
          </cell>
        </row>
        <row r="557">
          <cell r="B557" t="str">
            <v xml:space="preserve">KC Pamanukan                  </v>
          </cell>
          <cell r="G557">
            <v>1</v>
          </cell>
        </row>
        <row r="558">
          <cell r="B558" t="str">
            <v xml:space="preserve">KC Pamanukan                            </v>
          </cell>
          <cell r="G558">
            <v>1</v>
          </cell>
        </row>
        <row r="559">
          <cell r="B559" t="str">
            <v xml:space="preserve">KC Pamekasan                  </v>
          </cell>
          <cell r="G559">
            <v>1</v>
          </cell>
        </row>
        <row r="560">
          <cell r="B560" t="str">
            <v xml:space="preserve">KC Pamekasan                            </v>
          </cell>
          <cell r="G560">
            <v>0.95652173913043481</v>
          </cell>
        </row>
        <row r="561">
          <cell r="B561" t="str">
            <v xml:space="preserve">KC Pamulang                   </v>
          </cell>
          <cell r="G561">
            <v>1</v>
          </cell>
        </row>
        <row r="562">
          <cell r="B562" t="str">
            <v xml:space="preserve">KC Pamulang                             </v>
          </cell>
          <cell r="G562">
            <v>0.98076923076923073</v>
          </cell>
        </row>
        <row r="563">
          <cell r="B563" t="str">
            <v xml:space="preserve">KC Panakkukang                </v>
          </cell>
          <cell r="G563">
            <v>1</v>
          </cell>
        </row>
        <row r="564">
          <cell r="B564" t="str">
            <v xml:space="preserve">KC Panakkukang                          </v>
          </cell>
          <cell r="G564">
            <v>0.92500000000000004</v>
          </cell>
        </row>
        <row r="565">
          <cell r="B565" t="str">
            <v xml:space="preserve">KC Pandeglang                 </v>
          </cell>
          <cell r="G565">
            <v>1</v>
          </cell>
        </row>
        <row r="566">
          <cell r="B566" t="str">
            <v xml:space="preserve">KC Pandeglang                           </v>
          </cell>
          <cell r="G566">
            <v>0.77777777777777779</v>
          </cell>
        </row>
        <row r="567">
          <cell r="B567" t="str">
            <v xml:space="preserve">KC Pangkal Pinang             </v>
          </cell>
          <cell r="G567">
            <v>1</v>
          </cell>
        </row>
        <row r="568">
          <cell r="B568" t="str">
            <v xml:space="preserve">KC Pangkal Pinang                       </v>
          </cell>
          <cell r="G568">
            <v>1</v>
          </cell>
        </row>
        <row r="569">
          <cell r="B569" t="str">
            <v xml:space="preserve">KC Pangkalan Bun              </v>
          </cell>
          <cell r="G569">
            <v>1</v>
          </cell>
        </row>
        <row r="570">
          <cell r="B570" t="str">
            <v xml:space="preserve">KC Pangkalan Bun                        </v>
          </cell>
          <cell r="G570">
            <v>0.98</v>
          </cell>
        </row>
        <row r="571">
          <cell r="B571" t="str">
            <v xml:space="preserve">KC Pangkalan Kerinci          </v>
          </cell>
          <cell r="G571">
            <v>1</v>
          </cell>
        </row>
        <row r="572">
          <cell r="B572" t="str">
            <v xml:space="preserve">KC Pangkalan Kerinci                    </v>
          </cell>
          <cell r="G572">
            <v>1</v>
          </cell>
        </row>
        <row r="573">
          <cell r="B573" t="str">
            <v xml:space="preserve">KC Pangkep                    </v>
          </cell>
          <cell r="G573">
            <v>1</v>
          </cell>
        </row>
        <row r="574">
          <cell r="B574" t="str">
            <v xml:space="preserve">KC Pangkep                              </v>
          </cell>
          <cell r="G574">
            <v>1</v>
          </cell>
        </row>
        <row r="575">
          <cell r="B575" t="str">
            <v xml:space="preserve">KC Panyabungan                </v>
          </cell>
          <cell r="G575">
            <v>1</v>
          </cell>
        </row>
        <row r="576">
          <cell r="B576" t="str">
            <v xml:space="preserve">KC Panyabungan                          </v>
          </cell>
          <cell r="G576">
            <v>0.8666666666666667</v>
          </cell>
        </row>
        <row r="577">
          <cell r="B577" t="str">
            <v xml:space="preserve">KC Parakan                    </v>
          </cell>
          <cell r="G577">
            <v>1</v>
          </cell>
        </row>
        <row r="578">
          <cell r="B578" t="str">
            <v xml:space="preserve">KC Parakan                              </v>
          </cell>
          <cell r="G578">
            <v>1</v>
          </cell>
        </row>
        <row r="579">
          <cell r="B579" t="str">
            <v xml:space="preserve">KC Pare                       </v>
          </cell>
          <cell r="G579">
            <v>1</v>
          </cell>
        </row>
        <row r="580">
          <cell r="B580" t="str">
            <v xml:space="preserve">KC Pare                                 </v>
          </cell>
          <cell r="G580">
            <v>1</v>
          </cell>
        </row>
        <row r="581">
          <cell r="B581" t="str">
            <v xml:space="preserve">KC Pare-Pare                  </v>
          </cell>
          <cell r="G581">
            <v>1</v>
          </cell>
        </row>
        <row r="582">
          <cell r="B582" t="str">
            <v xml:space="preserve">KC Pare-Pare                            </v>
          </cell>
          <cell r="G582">
            <v>1</v>
          </cell>
        </row>
        <row r="583">
          <cell r="B583" t="str">
            <v xml:space="preserve">KC Pariaman                   </v>
          </cell>
          <cell r="G583">
            <v>1</v>
          </cell>
        </row>
        <row r="584">
          <cell r="B584" t="str">
            <v xml:space="preserve">KC Pariaman                             </v>
          </cell>
          <cell r="G584">
            <v>0.9555555555555556</v>
          </cell>
        </row>
        <row r="585">
          <cell r="B585" t="str">
            <v xml:space="preserve">KC Parigi                     </v>
          </cell>
          <cell r="G585">
            <v>1</v>
          </cell>
        </row>
        <row r="586">
          <cell r="B586" t="str">
            <v xml:space="preserve">KC Parigi                               </v>
          </cell>
          <cell r="G586">
            <v>1</v>
          </cell>
        </row>
        <row r="587">
          <cell r="B587" t="str">
            <v xml:space="preserve">KC Pasir Pengaraian           </v>
          </cell>
          <cell r="G587">
            <v>1</v>
          </cell>
        </row>
        <row r="588">
          <cell r="B588" t="str">
            <v xml:space="preserve">KC Pasir Pengaraian                     </v>
          </cell>
          <cell r="G588">
            <v>1</v>
          </cell>
        </row>
        <row r="589">
          <cell r="B589" t="str">
            <v xml:space="preserve">KC Pasuruan                   </v>
          </cell>
          <cell r="G589">
            <v>1</v>
          </cell>
        </row>
        <row r="590">
          <cell r="B590" t="str">
            <v xml:space="preserve">KC Pasuruan                             </v>
          </cell>
          <cell r="G590">
            <v>0.95454545454545459</v>
          </cell>
        </row>
        <row r="591">
          <cell r="B591" t="str">
            <v xml:space="preserve">KC Pati                       </v>
          </cell>
          <cell r="G591">
            <v>1</v>
          </cell>
        </row>
        <row r="592">
          <cell r="B592" t="str">
            <v xml:space="preserve">KC Pati                                 </v>
          </cell>
          <cell r="G592">
            <v>0.91666666666666663</v>
          </cell>
        </row>
        <row r="593">
          <cell r="B593" t="str">
            <v xml:space="preserve">KC Payakumbuh                 </v>
          </cell>
          <cell r="G593">
            <v>1</v>
          </cell>
        </row>
        <row r="594">
          <cell r="B594" t="str">
            <v xml:space="preserve">KC Payakumbuh                           </v>
          </cell>
          <cell r="G594">
            <v>0.97435897435897434</v>
          </cell>
        </row>
        <row r="595">
          <cell r="B595" t="str">
            <v xml:space="preserve">KC Pekalongan                 </v>
          </cell>
          <cell r="G595">
            <v>1</v>
          </cell>
        </row>
        <row r="596">
          <cell r="B596" t="str">
            <v xml:space="preserve">KC Pekalongan                           </v>
          </cell>
          <cell r="G596">
            <v>0.95454545454545459</v>
          </cell>
        </row>
        <row r="597">
          <cell r="B597" t="str">
            <v xml:space="preserve">KC Pekanbaru Lancang Kuning   </v>
          </cell>
          <cell r="G597">
            <v>1</v>
          </cell>
        </row>
        <row r="598">
          <cell r="B598" t="str">
            <v xml:space="preserve">KC Pekanbaru Lancang Kuning             </v>
          </cell>
          <cell r="G598">
            <v>0.83333333333333337</v>
          </cell>
        </row>
        <row r="599">
          <cell r="B599" t="str">
            <v xml:space="preserve">KC Pekanbaru Sudirman         </v>
          </cell>
          <cell r="G599">
            <v>1</v>
          </cell>
        </row>
        <row r="600">
          <cell r="B600" t="str">
            <v xml:space="preserve">KC Pekanbaru Sudirman                   </v>
          </cell>
          <cell r="G600">
            <v>0.95918367346938771</v>
          </cell>
        </row>
        <row r="601">
          <cell r="B601" t="str">
            <v xml:space="preserve">KC Pekanbaru Tuanku Tambusai  </v>
          </cell>
          <cell r="G601">
            <v>1</v>
          </cell>
        </row>
        <row r="602">
          <cell r="B602" t="str">
            <v xml:space="preserve">KC Pekanbaru Tuanku Tambusai            </v>
          </cell>
          <cell r="G602">
            <v>1</v>
          </cell>
        </row>
        <row r="603">
          <cell r="B603" t="str">
            <v xml:space="preserve">KC Pemalang                   </v>
          </cell>
          <cell r="G603">
            <v>1</v>
          </cell>
        </row>
        <row r="604">
          <cell r="B604" t="str">
            <v xml:space="preserve">KC Pemalang                             </v>
          </cell>
          <cell r="G604">
            <v>1</v>
          </cell>
        </row>
        <row r="605">
          <cell r="B605" t="str">
            <v xml:space="preserve">KC Pematang Siantar           </v>
          </cell>
          <cell r="G605">
            <v>1</v>
          </cell>
        </row>
        <row r="606">
          <cell r="B606" t="str">
            <v xml:space="preserve">KC Pematang Siantar                     </v>
          </cell>
          <cell r="G606">
            <v>0.98245614035087714</v>
          </cell>
        </row>
        <row r="607">
          <cell r="B607" t="str">
            <v xml:space="preserve">KC Perawang                   </v>
          </cell>
          <cell r="G607">
            <v>1</v>
          </cell>
        </row>
        <row r="608">
          <cell r="B608" t="str">
            <v xml:space="preserve">KC Perawang                             </v>
          </cell>
          <cell r="G608">
            <v>1</v>
          </cell>
        </row>
        <row r="609">
          <cell r="B609" t="str">
            <v xml:space="preserve">KC Perdagangan                </v>
          </cell>
          <cell r="G609">
            <v>1</v>
          </cell>
        </row>
        <row r="610">
          <cell r="B610" t="str">
            <v xml:space="preserve">KC Perdagangan                          </v>
          </cell>
          <cell r="G610">
            <v>1</v>
          </cell>
        </row>
        <row r="611">
          <cell r="B611" t="str">
            <v xml:space="preserve">KC Pinrang                    </v>
          </cell>
          <cell r="G611">
            <v>1</v>
          </cell>
        </row>
        <row r="612">
          <cell r="B612" t="str">
            <v xml:space="preserve">KC Pinrang                              </v>
          </cell>
          <cell r="G612">
            <v>1</v>
          </cell>
        </row>
        <row r="613">
          <cell r="B613" t="str">
            <v xml:space="preserve">KC Pleihari                   </v>
          </cell>
          <cell r="G613">
            <v>1</v>
          </cell>
        </row>
        <row r="614">
          <cell r="B614" t="str">
            <v xml:space="preserve">KC Pleihari                             </v>
          </cell>
          <cell r="G614">
            <v>0.8</v>
          </cell>
        </row>
        <row r="615">
          <cell r="B615" t="str">
            <v xml:space="preserve">KC POGOGUL BUOL               </v>
          </cell>
          <cell r="G615">
            <v>1</v>
          </cell>
        </row>
        <row r="616">
          <cell r="B616" t="str">
            <v xml:space="preserve">KC POGOGUL BUOL                         </v>
          </cell>
          <cell r="G616">
            <v>1</v>
          </cell>
        </row>
        <row r="617">
          <cell r="B617" t="str">
            <v xml:space="preserve">KC Polewali                   </v>
          </cell>
          <cell r="G617">
            <v>1</v>
          </cell>
        </row>
        <row r="618">
          <cell r="B618" t="str">
            <v xml:space="preserve">KC Polewali                             </v>
          </cell>
          <cell r="G618">
            <v>1</v>
          </cell>
        </row>
        <row r="619">
          <cell r="B619" t="str">
            <v xml:space="preserve">KC Pondok Gede                </v>
          </cell>
          <cell r="G619">
            <v>1</v>
          </cell>
        </row>
        <row r="620">
          <cell r="B620" t="str">
            <v xml:space="preserve">KC Pondok Gede                          </v>
          </cell>
          <cell r="G620">
            <v>0.98684210526315785</v>
          </cell>
        </row>
        <row r="621">
          <cell r="B621" t="str">
            <v xml:space="preserve">KC Ponorogo                   </v>
          </cell>
          <cell r="G621">
            <v>1</v>
          </cell>
        </row>
        <row r="622">
          <cell r="B622" t="str">
            <v xml:space="preserve">KC Ponorogo                             </v>
          </cell>
          <cell r="G622">
            <v>1</v>
          </cell>
        </row>
        <row r="623">
          <cell r="B623" t="str">
            <v xml:space="preserve">KC Pontianak                  </v>
          </cell>
          <cell r="G623">
            <v>1</v>
          </cell>
        </row>
        <row r="624">
          <cell r="B624" t="str">
            <v xml:space="preserve">KC Pontianak                            </v>
          </cell>
          <cell r="G624">
            <v>0.96894409937888204</v>
          </cell>
        </row>
        <row r="625">
          <cell r="B625" t="str">
            <v xml:space="preserve">KC Pontianak Gajah Mada       </v>
          </cell>
          <cell r="G625">
            <v>1</v>
          </cell>
        </row>
        <row r="626">
          <cell r="B626" t="str">
            <v xml:space="preserve">KC Pontianak Gajah Mada                 </v>
          </cell>
          <cell r="G626">
            <v>0.92</v>
          </cell>
        </row>
        <row r="627">
          <cell r="B627" t="str">
            <v xml:space="preserve">KC Poso                       </v>
          </cell>
          <cell r="G627">
            <v>1</v>
          </cell>
        </row>
        <row r="628">
          <cell r="B628" t="str">
            <v xml:space="preserve">KC Poso                                 </v>
          </cell>
          <cell r="G628">
            <v>1</v>
          </cell>
        </row>
        <row r="629">
          <cell r="B629" t="str">
            <v xml:space="preserve">KC Prabumulih                 </v>
          </cell>
          <cell r="G629">
            <v>1</v>
          </cell>
        </row>
        <row r="630">
          <cell r="B630" t="str">
            <v xml:space="preserve">KC Prabumulih                           </v>
          </cell>
          <cell r="G630">
            <v>1</v>
          </cell>
        </row>
        <row r="631">
          <cell r="B631" t="str">
            <v xml:space="preserve">KC Praya                      </v>
          </cell>
          <cell r="G631">
            <v>1</v>
          </cell>
        </row>
        <row r="632">
          <cell r="B632" t="str">
            <v xml:space="preserve">KC Praya                                </v>
          </cell>
          <cell r="G632">
            <v>1</v>
          </cell>
        </row>
        <row r="633">
          <cell r="B633" t="str">
            <v xml:space="preserve">KC Pringsewu                  </v>
          </cell>
          <cell r="G633">
            <v>1</v>
          </cell>
        </row>
        <row r="634">
          <cell r="B634" t="str">
            <v xml:space="preserve">KC Pringsewu                            </v>
          </cell>
          <cell r="G634">
            <v>1</v>
          </cell>
        </row>
        <row r="635">
          <cell r="B635" t="str">
            <v xml:space="preserve">KC Probolinggo                </v>
          </cell>
          <cell r="G635">
            <v>1</v>
          </cell>
        </row>
        <row r="636">
          <cell r="B636" t="str">
            <v xml:space="preserve">KC Probolinggo                          </v>
          </cell>
          <cell r="G636">
            <v>0.95238095238095233</v>
          </cell>
        </row>
        <row r="637">
          <cell r="B637" t="str">
            <v xml:space="preserve">KC PULAU ARU                  </v>
          </cell>
          <cell r="G637">
            <v>1</v>
          </cell>
        </row>
        <row r="638">
          <cell r="B638" t="str">
            <v xml:space="preserve">KC PULAU ARU                            </v>
          </cell>
          <cell r="G638">
            <v>0.94117647058823528</v>
          </cell>
        </row>
        <row r="639">
          <cell r="B639" t="str">
            <v xml:space="preserve">KC Purbalingga                </v>
          </cell>
          <cell r="G639">
            <v>1</v>
          </cell>
        </row>
        <row r="640">
          <cell r="B640" t="str">
            <v xml:space="preserve">KC Purbalingga                          </v>
          </cell>
          <cell r="G640">
            <v>1</v>
          </cell>
        </row>
        <row r="641">
          <cell r="B641" t="str">
            <v xml:space="preserve">KC Purwakarta                 </v>
          </cell>
          <cell r="G641">
            <v>1</v>
          </cell>
        </row>
        <row r="642">
          <cell r="B642" t="str">
            <v xml:space="preserve">KC Purwakarta                           </v>
          </cell>
          <cell r="G642">
            <v>0.93333333333333335</v>
          </cell>
        </row>
        <row r="643">
          <cell r="B643" t="str">
            <v xml:space="preserve">KC Purwodadi                  </v>
          </cell>
          <cell r="G643">
            <v>1</v>
          </cell>
        </row>
        <row r="644">
          <cell r="B644" t="str">
            <v xml:space="preserve">KC Purwodadi                            </v>
          </cell>
          <cell r="G644">
            <v>1</v>
          </cell>
        </row>
        <row r="645">
          <cell r="B645" t="str">
            <v xml:space="preserve">KC Purwokerto                 </v>
          </cell>
          <cell r="G645">
            <v>1</v>
          </cell>
        </row>
        <row r="646">
          <cell r="B646" t="str">
            <v xml:space="preserve">KC Purwokerto                           </v>
          </cell>
          <cell r="G646">
            <v>0.98989898989898994</v>
          </cell>
        </row>
        <row r="647">
          <cell r="B647" t="str">
            <v xml:space="preserve">KC Purworejo                  </v>
          </cell>
          <cell r="G647">
            <v>1</v>
          </cell>
        </row>
        <row r="648">
          <cell r="B648" t="str">
            <v xml:space="preserve">KC Purworejo                            </v>
          </cell>
          <cell r="G648">
            <v>1</v>
          </cell>
        </row>
        <row r="649">
          <cell r="B649" t="str">
            <v xml:space="preserve">KC Putussibau                 </v>
          </cell>
          <cell r="G649">
            <v>1</v>
          </cell>
        </row>
        <row r="650">
          <cell r="B650" t="str">
            <v xml:space="preserve">KC Putussibau                           </v>
          </cell>
          <cell r="G650">
            <v>0.95454545454545459</v>
          </cell>
        </row>
        <row r="651">
          <cell r="B651" t="str">
            <v xml:space="preserve">KC Raba Bima                  </v>
          </cell>
          <cell r="G651">
            <v>1</v>
          </cell>
        </row>
        <row r="652">
          <cell r="B652" t="str">
            <v xml:space="preserve">KC Raba Bima                            </v>
          </cell>
          <cell r="G652">
            <v>1</v>
          </cell>
        </row>
        <row r="653">
          <cell r="B653" t="str">
            <v xml:space="preserve">KC Raha                       </v>
          </cell>
          <cell r="G653">
            <v>1</v>
          </cell>
        </row>
        <row r="654">
          <cell r="B654" t="str">
            <v xml:space="preserve">KC Raha                                 </v>
          </cell>
          <cell r="G654">
            <v>1</v>
          </cell>
        </row>
        <row r="655">
          <cell r="B655" t="str">
            <v xml:space="preserve">KC Rangkasbitung              </v>
          </cell>
          <cell r="G655">
            <v>1</v>
          </cell>
        </row>
        <row r="656">
          <cell r="B656" t="str">
            <v xml:space="preserve">KC Rangkasbitung                        </v>
          </cell>
          <cell r="G656">
            <v>0.90476190476190477</v>
          </cell>
        </row>
        <row r="657">
          <cell r="B657" t="str">
            <v xml:space="preserve">KC Rantau                     </v>
          </cell>
          <cell r="G657">
            <v>1</v>
          </cell>
        </row>
        <row r="658">
          <cell r="B658" t="str">
            <v xml:space="preserve">KC Rantau                               </v>
          </cell>
          <cell r="G658">
            <v>1</v>
          </cell>
        </row>
        <row r="659">
          <cell r="B659" t="str">
            <v xml:space="preserve">KC Rantau Prapat              </v>
          </cell>
          <cell r="G659">
            <v>1</v>
          </cell>
        </row>
        <row r="660">
          <cell r="B660" t="str">
            <v xml:space="preserve">KC Rantau Prapat                        </v>
          </cell>
          <cell r="G660">
            <v>1</v>
          </cell>
        </row>
        <row r="661">
          <cell r="B661" t="str">
            <v xml:space="preserve">KC Rantepao                   </v>
          </cell>
          <cell r="G661">
            <v>1</v>
          </cell>
        </row>
        <row r="662">
          <cell r="B662" t="str">
            <v xml:space="preserve">KC Rantepao                             </v>
          </cell>
          <cell r="G662">
            <v>1</v>
          </cell>
        </row>
        <row r="663">
          <cell r="B663" t="str">
            <v xml:space="preserve">KC Rembang                    </v>
          </cell>
          <cell r="G663">
            <v>1</v>
          </cell>
        </row>
        <row r="664">
          <cell r="B664" t="str">
            <v xml:space="preserve">KC Rembang                              </v>
          </cell>
          <cell r="G664">
            <v>1</v>
          </cell>
        </row>
        <row r="665">
          <cell r="B665" t="str">
            <v xml:space="preserve">KC Rengat                     </v>
          </cell>
          <cell r="G665">
            <v>1</v>
          </cell>
        </row>
        <row r="666">
          <cell r="B666" t="str">
            <v xml:space="preserve">KC Rengat                               </v>
          </cell>
          <cell r="G666">
            <v>1</v>
          </cell>
        </row>
        <row r="667">
          <cell r="B667" t="str">
            <v xml:space="preserve">KC Rimbo Bujang               </v>
          </cell>
          <cell r="G667">
            <v>1</v>
          </cell>
        </row>
        <row r="668">
          <cell r="B668" t="str">
            <v xml:space="preserve">KC Rimbo Bujang                         </v>
          </cell>
          <cell r="G668">
            <v>1</v>
          </cell>
        </row>
        <row r="669">
          <cell r="B669" t="str">
            <v xml:space="preserve">KC Ruteng                     </v>
          </cell>
          <cell r="G669">
            <v>1</v>
          </cell>
        </row>
        <row r="670">
          <cell r="B670" t="str">
            <v xml:space="preserve">KC Ruteng                               </v>
          </cell>
          <cell r="G670">
            <v>1</v>
          </cell>
        </row>
        <row r="671">
          <cell r="B671" t="str">
            <v xml:space="preserve">KC Salatiga                   </v>
          </cell>
          <cell r="G671">
            <v>1</v>
          </cell>
        </row>
        <row r="672">
          <cell r="B672" t="str">
            <v xml:space="preserve">KC Salatiga                             </v>
          </cell>
          <cell r="G672">
            <v>0.86363636363636365</v>
          </cell>
        </row>
        <row r="673">
          <cell r="B673" t="str">
            <v xml:space="preserve">KC SAMARINDA GAJAH MADA       </v>
          </cell>
          <cell r="G673">
            <v>1</v>
          </cell>
        </row>
        <row r="674">
          <cell r="B674" t="str">
            <v xml:space="preserve">KC SAMARINDA GAJAH MADA                 </v>
          </cell>
          <cell r="G674">
            <v>0.9196428571428571</v>
          </cell>
        </row>
        <row r="675">
          <cell r="B675" t="str">
            <v xml:space="preserve">KC SAMARINDA PELITA                     </v>
          </cell>
          <cell r="G675">
            <v>0.92307692307692313</v>
          </cell>
        </row>
        <row r="676">
          <cell r="B676" t="str">
            <v xml:space="preserve">KC Sampang                    </v>
          </cell>
          <cell r="G676">
            <v>1</v>
          </cell>
        </row>
        <row r="677">
          <cell r="B677" t="str">
            <v xml:space="preserve">KC Sampang                              </v>
          </cell>
          <cell r="G677">
            <v>1</v>
          </cell>
        </row>
        <row r="678">
          <cell r="B678" t="str">
            <v xml:space="preserve">KC Sampit                     </v>
          </cell>
          <cell r="G678">
            <v>1</v>
          </cell>
        </row>
        <row r="679">
          <cell r="B679" t="str">
            <v xml:space="preserve">KC Sampit                               </v>
          </cell>
          <cell r="G679">
            <v>0.97499999999999998</v>
          </cell>
        </row>
        <row r="680">
          <cell r="B680" t="str">
            <v xml:space="preserve">KC Sangatta                   </v>
          </cell>
          <cell r="G680">
            <v>1</v>
          </cell>
        </row>
        <row r="681">
          <cell r="B681" t="str">
            <v xml:space="preserve">KC Sangatta                             </v>
          </cell>
          <cell r="G681">
            <v>1</v>
          </cell>
        </row>
        <row r="682">
          <cell r="B682" t="str">
            <v xml:space="preserve">KC Sanggau                    </v>
          </cell>
          <cell r="G682">
            <v>1</v>
          </cell>
        </row>
        <row r="683">
          <cell r="B683" t="str">
            <v xml:space="preserve">KC Sanggau                              </v>
          </cell>
          <cell r="G683">
            <v>1</v>
          </cell>
        </row>
        <row r="684">
          <cell r="B684" t="str">
            <v xml:space="preserve">KC Sarolangun                 </v>
          </cell>
          <cell r="G684">
            <v>1</v>
          </cell>
        </row>
        <row r="685">
          <cell r="B685" t="str">
            <v xml:space="preserve">KC Sarolangun                           </v>
          </cell>
          <cell r="G685">
            <v>1</v>
          </cell>
        </row>
        <row r="686">
          <cell r="B686" t="str">
            <v xml:space="preserve">KC Saumlaki                   </v>
          </cell>
          <cell r="G686">
            <v>1</v>
          </cell>
        </row>
        <row r="687">
          <cell r="B687" t="str">
            <v xml:space="preserve">KC Saumlaki                             </v>
          </cell>
          <cell r="G687">
            <v>1</v>
          </cell>
        </row>
        <row r="688">
          <cell r="B688" t="str">
            <v xml:space="preserve">KC Sekayu                     </v>
          </cell>
          <cell r="G688">
            <v>1</v>
          </cell>
        </row>
        <row r="689">
          <cell r="B689" t="str">
            <v xml:space="preserve">KC Sekayu                               </v>
          </cell>
          <cell r="G689">
            <v>0.97959183673469385</v>
          </cell>
        </row>
        <row r="690">
          <cell r="B690" t="str">
            <v xml:space="preserve">KC Selat Panjang              </v>
          </cell>
          <cell r="G690">
            <v>1</v>
          </cell>
        </row>
        <row r="691">
          <cell r="B691" t="str">
            <v xml:space="preserve">KC Selat Panjang                        </v>
          </cell>
          <cell r="G691">
            <v>1</v>
          </cell>
        </row>
        <row r="692">
          <cell r="B692" t="str">
            <v xml:space="preserve">KC Selong                     </v>
          </cell>
          <cell r="G692">
            <v>1</v>
          </cell>
        </row>
        <row r="693">
          <cell r="B693" t="str">
            <v xml:space="preserve">KC Selong                               </v>
          </cell>
          <cell r="G693">
            <v>0.96875</v>
          </cell>
        </row>
        <row r="694">
          <cell r="B694" t="str">
            <v xml:space="preserve">KC Semarang A. Yani           </v>
          </cell>
          <cell r="G694">
            <v>1</v>
          </cell>
        </row>
        <row r="695">
          <cell r="B695" t="str">
            <v xml:space="preserve">KC Semarang A. Yani                     </v>
          </cell>
          <cell r="G695">
            <v>0.98550724637681164</v>
          </cell>
        </row>
        <row r="696">
          <cell r="B696" t="str">
            <v xml:space="preserve">KC Semarang Pandanaran        </v>
          </cell>
          <cell r="G696">
            <v>1</v>
          </cell>
        </row>
        <row r="697">
          <cell r="B697" t="str">
            <v xml:space="preserve">KC Semarang Pandanaran                  </v>
          </cell>
          <cell r="G697">
            <v>0.97727272727272729</v>
          </cell>
        </row>
        <row r="698">
          <cell r="B698" t="str">
            <v xml:space="preserve">KC Semarang Patimura          </v>
          </cell>
          <cell r="G698">
            <v>1</v>
          </cell>
        </row>
        <row r="699">
          <cell r="B699" t="str">
            <v xml:space="preserve">KC Semarang Patimura                    </v>
          </cell>
          <cell r="G699">
            <v>0.91304347826086951</v>
          </cell>
        </row>
        <row r="700">
          <cell r="B700" t="str">
            <v xml:space="preserve">KC Semarapura                 </v>
          </cell>
          <cell r="G700">
            <v>1</v>
          </cell>
        </row>
        <row r="701">
          <cell r="B701" t="str">
            <v xml:space="preserve">KC Semarapura                           </v>
          </cell>
          <cell r="G701">
            <v>1</v>
          </cell>
        </row>
        <row r="702">
          <cell r="B702" t="str">
            <v xml:space="preserve">KC Sendawar                   </v>
          </cell>
          <cell r="G702">
            <v>1</v>
          </cell>
        </row>
        <row r="703">
          <cell r="B703" t="str">
            <v xml:space="preserve">KC Sendawar                             </v>
          </cell>
          <cell r="G703">
            <v>1</v>
          </cell>
        </row>
        <row r="704">
          <cell r="B704" t="str">
            <v xml:space="preserve">KC Sengkang                   </v>
          </cell>
          <cell r="G704">
            <v>1</v>
          </cell>
        </row>
        <row r="705">
          <cell r="B705" t="str">
            <v xml:space="preserve">KC Sengkang                             </v>
          </cell>
          <cell r="G705">
            <v>1</v>
          </cell>
        </row>
        <row r="706">
          <cell r="B706" t="str">
            <v xml:space="preserve">KC Sentani                    </v>
          </cell>
          <cell r="G706">
            <v>1</v>
          </cell>
        </row>
        <row r="707">
          <cell r="B707" t="str">
            <v xml:space="preserve">KC Sentani                              </v>
          </cell>
          <cell r="G707">
            <v>1</v>
          </cell>
        </row>
        <row r="708">
          <cell r="B708" t="str">
            <v xml:space="preserve">KC Serang                     </v>
          </cell>
          <cell r="G708">
            <v>1</v>
          </cell>
        </row>
        <row r="709">
          <cell r="B709" t="str">
            <v xml:space="preserve">KC Serang                               </v>
          </cell>
          <cell r="G709">
            <v>0.89320388349514568</v>
          </cell>
        </row>
        <row r="710">
          <cell r="B710" t="str">
            <v xml:space="preserve">KC Serui                      </v>
          </cell>
          <cell r="G710">
            <v>1</v>
          </cell>
        </row>
        <row r="711">
          <cell r="B711" t="str">
            <v xml:space="preserve">KC Serui                                </v>
          </cell>
          <cell r="G711">
            <v>0.8571428571428571</v>
          </cell>
        </row>
        <row r="712">
          <cell r="B712" t="str">
            <v xml:space="preserve">KC Siak                       </v>
          </cell>
          <cell r="G712">
            <v>1</v>
          </cell>
        </row>
        <row r="713">
          <cell r="B713" t="str">
            <v xml:space="preserve">KC Siak                                 </v>
          </cell>
          <cell r="G713">
            <v>1</v>
          </cell>
        </row>
        <row r="714">
          <cell r="B714" t="str">
            <v xml:space="preserve">KC Sibolga                    </v>
          </cell>
          <cell r="G714">
            <v>1</v>
          </cell>
        </row>
        <row r="715">
          <cell r="B715" t="str">
            <v xml:space="preserve">KC Sibolga                              </v>
          </cell>
          <cell r="G715">
            <v>0.96666666666666667</v>
          </cell>
        </row>
        <row r="716">
          <cell r="B716" t="str">
            <v xml:space="preserve">KC Sibuhuan                   </v>
          </cell>
          <cell r="G716">
            <v>1</v>
          </cell>
        </row>
        <row r="717">
          <cell r="B717" t="str">
            <v xml:space="preserve">KC Sibuhuan                             </v>
          </cell>
          <cell r="G717">
            <v>1</v>
          </cell>
        </row>
        <row r="718">
          <cell r="B718" t="str">
            <v xml:space="preserve">KC Sidikalang                 </v>
          </cell>
          <cell r="G718">
            <v>1</v>
          </cell>
        </row>
        <row r="719">
          <cell r="B719" t="str">
            <v xml:space="preserve">KC Sidikalang                           </v>
          </cell>
          <cell r="G719">
            <v>0.94736842105263153</v>
          </cell>
        </row>
        <row r="720">
          <cell r="B720" t="str">
            <v xml:space="preserve">KC Sidoarjo                   </v>
          </cell>
          <cell r="G720">
            <v>1</v>
          </cell>
        </row>
        <row r="721">
          <cell r="B721" t="str">
            <v xml:space="preserve">KC Sidoarjo                             </v>
          </cell>
          <cell r="G721">
            <v>0.94339622641509435</v>
          </cell>
        </row>
        <row r="722">
          <cell r="B722" t="str">
            <v xml:space="preserve">KC Sidrap                     </v>
          </cell>
          <cell r="G722">
            <v>1</v>
          </cell>
        </row>
        <row r="723">
          <cell r="B723" t="str">
            <v xml:space="preserve">KC Sidrap                               </v>
          </cell>
          <cell r="G723">
            <v>1</v>
          </cell>
        </row>
        <row r="724">
          <cell r="B724" t="str">
            <v xml:space="preserve">KC Sijunjung                  </v>
          </cell>
          <cell r="G724">
            <v>1</v>
          </cell>
        </row>
        <row r="725">
          <cell r="B725" t="str">
            <v xml:space="preserve">KC Sijunjung                            </v>
          </cell>
          <cell r="G725">
            <v>0.96</v>
          </cell>
        </row>
        <row r="726">
          <cell r="B726" t="str">
            <v xml:space="preserve">KC Simpang Empat              </v>
          </cell>
          <cell r="G726">
            <v>1</v>
          </cell>
        </row>
        <row r="727">
          <cell r="B727" t="str">
            <v xml:space="preserve">KC Simpang Empat                        </v>
          </cell>
          <cell r="G727">
            <v>0.97297297297297303</v>
          </cell>
        </row>
        <row r="728">
          <cell r="B728" t="str">
            <v xml:space="preserve">KC Singaparna                 </v>
          </cell>
          <cell r="G728">
            <v>1</v>
          </cell>
        </row>
        <row r="729">
          <cell r="B729" t="str">
            <v xml:space="preserve">KC Singaparna                           </v>
          </cell>
          <cell r="G729">
            <v>1</v>
          </cell>
        </row>
        <row r="730">
          <cell r="B730" t="str">
            <v xml:space="preserve">KC Singaraja                  </v>
          </cell>
          <cell r="G730">
            <v>1</v>
          </cell>
        </row>
        <row r="731">
          <cell r="B731" t="str">
            <v xml:space="preserve">KC Singaraja                            </v>
          </cell>
          <cell r="G731">
            <v>1</v>
          </cell>
        </row>
        <row r="732">
          <cell r="B732" t="str">
            <v xml:space="preserve">KC Singkawang                 </v>
          </cell>
          <cell r="G732">
            <v>1</v>
          </cell>
        </row>
        <row r="733">
          <cell r="B733" t="str">
            <v xml:space="preserve">KC Singkawang                           </v>
          </cell>
          <cell r="G733">
            <v>1</v>
          </cell>
        </row>
        <row r="734">
          <cell r="B734" t="str">
            <v xml:space="preserve">KC Sinjai                     </v>
          </cell>
          <cell r="G734">
            <v>1</v>
          </cell>
        </row>
        <row r="735">
          <cell r="B735" t="str">
            <v xml:space="preserve">KC Sinjai                               </v>
          </cell>
          <cell r="G735">
            <v>0.96153846153846156</v>
          </cell>
        </row>
        <row r="736">
          <cell r="B736" t="str">
            <v xml:space="preserve">KC Sintang                    </v>
          </cell>
          <cell r="G736">
            <v>1</v>
          </cell>
        </row>
        <row r="737">
          <cell r="B737" t="str">
            <v xml:space="preserve">KC Sintang                              </v>
          </cell>
          <cell r="G737">
            <v>1</v>
          </cell>
        </row>
        <row r="738">
          <cell r="B738" t="str">
            <v xml:space="preserve">KC Situbondo                  </v>
          </cell>
          <cell r="G738">
            <v>1</v>
          </cell>
        </row>
        <row r="739">
          <cell r="B739" t="str">
            <v xml:space="preserve">KC Situbondo                            </v>
          </cell>
          <cell r="G739">
            <v>1</v>
          </cell>
        </row>
        <row r="740">
          <cell r="B740" t="str">
            <v xml:space="preserve">KC Slawi                      </v>
          </cell>
          <cell r="G740">
            <v>1</v>
          </cell>
        </row>
        <row r="741">
          <cell r="B741" t="str">
            <v xml:space="preserve">KC Slawi                                </v>
          </cell>
          <cell r="G741">
            <v>1</v>
          </cell>
        </row>
        <row r="742">
          <cell r="B742" t="str">
            <v xml:space="preserve">KC Sleman                     </v>
          </cell>
          <cell r="G742">
            <v>1</v>
          </cell>
        </row>
        <row r="743">
          <cell r="B743" t="str">
            <v xml:space="preserve">KC Sleman                               </v>
          </cell>
          <cell r="G743">
            <v>1</v>
          </cell>
        </row>
        <row r="744">
          <cell r="B744" t="str">
            <v xml:space="preserve">KC Soa-Sio                    </v>
          </cell>
          <cell r="G744">
            <v>1</v>
          </cell>
        </row>
        <row r="745">
          <cell r="B745" t="str">
            <v xml:space="preserve">KC Soa-Sio                              </v>
          </cell>
          <cell r="G745">
            <v>1</v>
          </cell>
        </row>
        <row r="746">
          <cell r="B746" t="str">
            <v xml:space="preserve">KC Soe                        </v>
          </cell>
          <cell r="G746">
            <v>1</v>
          </cell>
        </row>
        <row r="747">
          <cell r="B747" t="str">
            <v xml:space="preserve">KC Soe                                  </v>
          </cell>
          <cell r="G747">
            <v>1</v>
          </cell>
        </row>
        <row r="748">
          <cell r="B748" t="str">
            <v xml:space="preserve">KC Solo - Sudirman            </v>
          </cell>
          <cell r="G748">
            <v>1</v>
          </cell>
        </row>
        <row r="749">
          <cell r="B749" t="str">
            <v xml:space="preserve">KC Solo - Sudirman                      </v>
          </cell>
          <cell r="G749">
            <v>0.95454545454545459</v>
          </cell>
        </row>
        <row r="750">
          <cell r="B750" t="str">
            <v xml:space="preserve">KC Solo Baru                  </v>
          </cell>
          <cell r="G750">
            <v>1</v>
          </cell>
        </row>
        <row r="751">
          <cell r="B751" t="str">
            <v xml:space="preserve">KC Solo Baru                            </v>
          </cell>
          <cell r="G751">
            <v>1</v>
          </cell>
        </row>
        <row r="752">
          <cell r="B752" t="str">
            <v xml:space="preserve">KC Solo Kartasura             </v>
          </cell>
          <cell r="G752">
            <v>1</v>
          </cell>
        </row>
        <row r="753">
          <cell r="B753" t="str">
            <v xml:space="preserve">KC Solo Kartasura                       </v>
          </cell>
          <cell r="G753">
            <v>1</v>
          </cell>
        </row>
        <row r="754">
          <cell r="B754" t="str">
            <v xml:space="preserve">KC Solo Slamet Riyadi         </v>
          </cell>
          <cell r="G754">
            <v>1</v>
          </cell>
        </row>
        <row r="755">
          <cell r="B755" t="str">
            <v xml:space="preserve">KC Solo Slamet Riyadi                   </v>
          </cell>
          <cell r="G755">
            <v>0.97872340425531912</v>
          </cell>
        </row>
        <row r="756">
          <cell r="B756" t="str">
            <v xml:space="preserve">KC Solok                      </v>
          </cell>
          <cell r="G756">
            <v>1</v>
          </cell>
        </row>
        <row r="757">
          <cell r="B757" t="str">
            <v xml:space="preserve">KC Solok                                </v>
          </cell>
          <cell r="G757">
            <v>0.97619047619047616</v>
          </cell>
        </row>
        <row r="758">
          <cell r="B758" t="str">
            <v xml:space="preserve">KC Soreang                    </v>
          </cell>
          <cell r="G758">
            <v>1</v>
          </cell>
        </row>
        <row r="759">
          <cell r="B759" t="str">
            <v xml:space="preserve">KC Soreang                              </v>
          </cell>
          <cell r="G759">
            <v>0.875</v>
          </cell>
        </row>
        <row r="760">
          <cell r="B760" t="str">
            <v xml:space="preserve">KC Sorong                     </v>
          </cell>
          <cell r="G760">
            <v>1</v>
          </cell>
        </row>
        <row r="761">
          <cell r="B761" t="str">
            <v xml:space="preserve">KC Sorong                               </v>
          </cell>
          <cell r="G761">
            <v>0.9838709677419355</v>
          </cell>
        </row>
        <row r="762">
          <cell r="B762" t="str">
            <v xml:space="preserve">KC Sragen                     </v>
          </cell>
          <cell r="G762">
            <v>1</v>
          </cell>
        </row>
        <row r="763">
          <cell r="B763" t="str">
            <v xml:space="preserve">KC Sragen                               </v>
          </cell>
          <cell r="G763">
            <v>1</v>
          </cell>
        </row>
        <row r="764">
          <cell r="B764" t="str">
            <v xml:space="preserve">KC Stabat                     </v>
          </cell>
          <cell r="G764">
            <v>1</v>
          </cell>
        </row>
        <row r="765">
          <cell r="B765" t="str">
            <v xml:space="preserve">KC Stabat                               </v>
          </cell>
          <cell r="G765">
            <v>0.96875</v>
          </cell>
        </row>
        <row r="766">
          <cell r="B766" t="str">
            <v xml:space="preserve">KC Subang                     </v>
          </cell>
          <cell r="G766">
            <v>1</v>
          </cell>
        </row>
        <row r="767">
          <cell r="B767" t="str">
            <v xml:space="preserve">KC Subang                               </v>
          </cell>
          <cell r="G767">
            <v>0.94444444444444442</v>
          </cell>
        </row>
        <row r="768">
          <cell r="B768" t="str">
            <v xml:space="preserve">KC SUDIRMAN SEMANGGI                    </v>
          </cell>
          <cell r="G768">
            <v>0.91176470588235292</v>
          </cell>
        </row>
        <row r="769">
          <cell r="B769" t="str">
            <v xml:space="preserve">KC Sukabumi                   </v>
          </cell>
          <cell r="G769">
            <v>1</v>
          </cell>
        </row>
        <row r="770">
          <cell r="B770" t="str">
            <v xml:space="preserve">KC Sukabumi                             </v>
          </cell>
          <cell r="G770">
            <v>0.9642857142857143</v>
          </cell>
        </row>
        <row r="771">
          <cell r="B771" t="str">
            <v xml:space="preserve">KC Sukoharjo                  </v>
          </cell>
          <cell r="G771">
            <v>1</v>
          </cell>
        </row>
        <row r="772">
          <cell r="B772" t="str">
            <v xml:space="preserve">KC Sukoharjo                            </v>
          </cell>
          <cell r="G772">
            <v>1</v>
          </cell>
        </row>
        <row r="773">
          <cell r="B773" t="str">
            <v xml:space="preserve">KC Sumbawa Besar              </v>
          </cell>
          <cell r="G773">
            <v>1</v>
          </cell>
        </row>
        <row r="774">
          <cell r="B774" t="str">
            <v xml:space="preserve">KC Sumbawa Besar                        </v>
          </cell>
          <cell r="G774">
            <v>1</v>
          </cell>
        </row>
        <row r="775">
          <cell r="B775" t="str">
            <v xml:space="preserve">KC Sumedang                   </v>
          </cell>
          <cell r="G775">
            <v>1</v>
          </cell>
        </row>
        <row r="776">
          <cell r="B776" t="str">
            <v xml:space="preserve">KC Sumedang                             </v>
          </cell>
          <cell r="G776">
            <v>0.98989898989898994</v>
          </cell>
        </row>
        <row r="777">
          <cell r="B777" t="str">
            <v xml:space="preserve">KC Sumenep                    </v>
          </cell>
          <cell r="G777">
            <v>1</v>
          </cell>
        </row>
        <row r="778">
          <cell r="B778" t="str">
            <v xml:space="preserve">KC Sumenep                              </v>
          </cell>
          <cell r="G778">
            <v>1</v>
          </cell>
        </row>
        <row r="779">
          <cell r="B779" t="str">
            <v xml:space="preserve">KC Sungai Liat                </v>
          </cell>
          <cell r="G779">
            <v>1</v>
          </cell>
        </row>
        <row r="780">
          <cell r="B780" t="str">
            <v xml:space="preserve">KC Sungai Liat                          </v>
          </cell>
          <cell r="G780">
            <v>1</v>
          </cell>
        </row>
        <row r="781">
          <cell r="B781" t="str">
            <v xml:space="preserve">KC Sungai Penuh               </v>
          </cell>
          <cell r="G781">
            <v>1</v>
          </cell>
        </row>
        <row r="782">
          <cell r="B782" t="str">
            <v xml:space="preserve">KC Sungai Penuh                         </v>
          </cell>
          <cell r="G782">
            <v>0.96</v>
          </cell>
        </row>
        <row r="783">
          <cell r="B783" t="str">
            <v xml:space="preserve">KC Sungguminasa               </v>
          </cell>
          <cell r="G783">
            <v>1</v>
          </cell>
        </row>
        <row r="784">
          <cell r="B784" t="str">
            <v xml:space="preserve">KC Sungguminasa                         </v>
          </cell>
          <cell r="G784">
            <v>0.9838709677419355</v>
          </cell>
        </row>
        <row r="785">
          <cell r="B785" t="str">
            <v xml:space="preserve">KC Surabaya Diponegoro        </v>
          </cell>
          <cell r="G785">
            <v>1</v>
          </cell>
        </row>
        <row r="786">
          <cell r="B786" t="str">
            <v xml:space="preserve">KC Surabaya Diponegoro                  </v>
          </cell>
          <cell r="G786">
            <v>0.96296296296296291</v>
          </cell>
        </row>
        <row r="787">
          <cell r="B787" t="str">
            <v xml:space="preserve">KC Surabaya HR Muhammad       </v>
          </cell>
          <cell r="G787">
            <v>1</v>
          </cell>
        </row>
        <row r="788">
          <cell r="B788" t="str">
            <v xml:space="preserve">KC Surabaya HR Muhammad                 </v>
          </cell>
          <cell r="G788">
            <v>1</v>
          </cell>
        </row>
        <row r="789">
          <cell r="B789" t="str">
            <v xml:space="preserve">KC Surabaya Jemursari         </v>
          </cell>
          <cell r="G789">
            <v>1</v>
          </cell>
        </row>
        <row r="790">
          <cell r="B790" t="str">
            <v xml:space="preserve">KC Surabaya Jemursari                   </v>
          </cell>
          <cell r="G790">
            <v>1</v>
          </cell>
        </row>
        <row r="791">
          <cell r="B791" t="str">
            <v xml:space="preserve">KC Surabaya Kaliasin          </v>
          </cell>
          <cell r="G791">
            <v>1</v>
          </cell>
        </row>
        <row r="792">
          <cell r="B792" t="str">
            <v xml:space="preserve">KC Surabaya Kaliasin                    </v>
          </cell>
          <cell r="G792">
            <v>0.95833333333333337</v>
          </cell>
        </row>
        <row r="793">
          <cell r="B793" t="str">
            <v xml:space="preserve">KC Surabaya Kertajaya         </v>
          </cell>
          <cell r="G793">
            <v>1</v>
          </cell>
        </row>
        <row r="794">
          <cell r="B794" t="str">
            <v xml:space="preserve">KC Surabaya Kertajaya                   </v>
          </cell>
          <cell r="G794">
            <v>0.96153846153846156</v>
          </cell>
        </row>
        <row r="795">
          <cell r="B795" t="str">
            <v xml:space="preserve">KC Surabaya Kusuma bangsa     </v>
          </cell>
          <cell r="G795">
            <v>1</v>
          </cell>
        </row>
        <row r="796">
          <cell r="B796" t="str">
            <v xml:space="preserve">KC Surabaya Kusuma bangsa               </v>
          </cell>
          <cell r="G796">
            <v>1</v>
          </cell>
        </row>
        <row r="797">
          <cell r="B797" t="str">
            <v xml:space="preserve">KC Surabaya Pahlawan          </v>
          </cell>
          <cell r="G797">
            <v>1</v>
          </cell>
        </row>
        <row r="798">
          <cell r="B798" t="str">
            <v xml:space="preserve">KC Surabaya Pahlawan                    </v>
          </cell>
          <cell r="G798">
            <v>0.97619047619047616</v>
          </cell>
        </row>
        <row r="799">
          <cell r="B799" t="str">
            <v xml:space="preserve">KC Surabaya Rajawali          </v>
          </cell>
          <cell r="G799">
            <v>1</v>
          </cell>
        </row>
        <row r="800">
          <cell r="B800" t="str">
            <v xml:space="preserve">KC Surabaya Rajawali                    </v>
          </cell>
          <cell r="G800">
            <v>1</v>
          </cell>
        </row>
        <row r="801">
          <cell r="B801" t="str">
            <v xml:space="preserve">KC Surabaya Tanjung Perak     </v>
          </cell>
          <cell r="G801">
            <v>1</v>
          </cell>
        </row>
        <row r="802">
          <cell r="B802" t="str">
            <v xml:space="preserve">KC Surabaya Tanjung Perak               </v>
          </cell>
          <cell r="G802">
            <v>0.92592592592592593</v>
          </cell>
        </row>
        <row r="803">
          <cell r="B803" t="str">
            <v xml:space="preserve">KC Tabanan                    </v>
          </cell>
          <cell r="G803">
            <v>1</v>
          </cell>
        </row>
        <row r="804">
          <cell r="B804" t="str">
            <v xml:space="preserve">KC Tabanan                              </v>
          </cell>
          <cell r="G804">
            <v>1</v>
          </cell>
        </row>
        <row r="805">
          <cell r="B805" t="str">
            <v xml:space="preserve">KC Tabanan Kediri             </v>
          </cell>
          <cell r="G805">
            <v>1</v>
          </cell>
        </row>
        <row r="806">
          <cell r="B806" t="str">
            <v xml:space="preserve">KC Tabanan Kediri                       </v>
          </cell>
          <cell r="G806">
            <v>1</v>
          </cell>
        </row>
        <row r="807">
          <cell r="B807" t="str">
            <v xml:space="preserve">KC Tahuna                     </v>
          </cell>
          <cell r="G807">
            <v>1</v>
          </cell>
        </row>
        <row r="808">
          <cell r="B808" t="str">
            <v xml:space="preserve">KC Tahuna                               </v>
          </cell>
          <cell r="G808">
            <v>1</v>
          </cell>
        </row>
        <row r="809">
          <cell r="B809" t="str">
            <v xml:space="preserve">KC Takalar                    </v>
          </cell>
          <cell r="G809">
            <v>1</v>
          </cell>
        </row>
        <row r="810">
          <cell r="B810" t="str">
            <v xml:space="preserve">KC Takalar                              </v>
          </cell>
          <cell r="G810">
            <v>1</v>
          </cell>
        </row>
        <row r="811">
          <cell r="B811" t="str">
            <v xml:space="preserve">KC Tamalanrea                 </v>
          </cell>
          <cell r="G811">
            <v>1</v>
          </cell>
        </row>
        <row r="812">
          <cell r="B812" t="str">
            <v xml:space="preserve">KC Tamalanrea                           </v>
          </cell>
          <cell r="G812">
            <v>0.96666666666666667</v>
          </cell>
        </row>
        <row r="813">
          <cell r="B813" t="str">
            <v xml:space="preserve">KC Tambun                     </v>
          </cell>
          <cell r="G813">
            <v>1</v>
          </cell>
        </row>
        <row r="814">
          <cell r="B814" t="str">
            <v xml:space="preserve">KC Tambun                               </v>
          </cell>
          <cell r="G814">
            <v>0.98148148148148151</v>
          </cell>
        </row>
        <row r="815">
          <cell r="B815" t="str">
            <v xml:space="preserve">KC Tanah Grogot               </v>
          </cell>
          <cell r="G815">
            <v>1</v>
          </cell>
        </row>
        <row r="816">
          <cell r="B816" t="str">
            <v xml:space="preserve">KC Tanah Grogot                         </v>
          </cell>
          <cell r="G816">
            <v>1</v>
          </cell>
        </row>
        <row r="817">
          <cell r="B817" t="str">
            <v xml:space="preserve">KC Tangerang City             </v>
          </cell>
          <cell r="G817">
            <v>1</v>
          </cell>
        </row>
        <row r="818">
          <cell r="B818" t="str">
            <v xml:space="preserve">KC Tangerang City                       </v>
          </cell>
          <cell r="G818">
            <v>0.92</v>
          </cell>
        </row>
        <row r="819">
          <cell r="B819" t="str">
            <v xml:space="preserve">KC Tangerang Merdeka          </v>
          </cell>
          <cell r="G819">
            <v>1</v>
          </cell>
        </row>
        <row r="820">
          <cell r="B820" t="str">
            <v xml:space="preserve">KC Tangerang Merdeka                    </v>
          </cell>
          <cell r="G820">
            <v>0.96</v>
          </cell>
        </row>
        <row r="821">
          <cell r="B821" t="str">
            <v xml:space="preserve">KC Tanjung Balai              </v>
          </cell>
          <cell r="G821">
            <v>1</v>
          </cell>
        </row>
        <row r="822">
          <cell r="B822" t="str">
            <v xml:space="preserve">KC Tanjung Balai                        </v>
          </cell>
          <cell r="G822">
            <v>1</v>
          </cell>
        </row>
        <row r="823">
          <cell r="B823" t="str">
            <v xml:space="preserve">KC Tanjung Balai Karimun      </v>
          </cell>
          <cell r="G823">
            <v>1</v>
          </cell>
        </row>
        <row r="824">
          <cell r="B824" t="str">
            <v xml:space="preserve">KC Tanjung Balai Karimun                </v>
          </cell>
          <cell r="G824">
            <v>0.98</v>
          </cell>
        </row>
        <row r="825">
          <cell r="B825" t="str">
            <v xml:space="preserve">KC Tanjung Karang             </v>
          </cell>
          <cell r="G825">
            <v>1</v>
          </cell>
        </row>
        <row r="826">
          <cell r="B826" t="str">
            <v xml:space="preserve">KC Tanjung Karang                       </v>
          </cell>
          <cell r="G826">
            <v>0.97297297297297303</v>
          </cell>
        </row>
        <row r="827">
          <cell r="B827" t="str">
            <v xml:space="preserve">KC Tanjung Pandan             </v>
          </cell>
          <cell r="G827">
            <v>1</v>
          </cell>
        </row>
        <row r="828">
          <cell r="B828" t="str">
            <v xml:space="preserve">KC Tanjung Pandan                       </v>
          </cell>
          <cell r="G828">
            <v>1</v>
          </cell>
        </row>
        <row r="829">
          <cell r="B829" t="str">
            <v xml:space="preserve">KC Tanjung Pinang             </v>
          </cell>
          <cell r="G829">
            <v>1</v>
          </cell>
        </row>
        <row r="830">
          <cell r="B830" t="str">
            <v xml:space="preserve">KC Tanjung Pinang                       </v>
          </cell>
          <cell r="G830">
            <v>0.99333333333333329</v>
          </cell>
        </row>
        <row r="831">
          <cell r="B831" t="str">
            <v xml:space="preserve">KC Tanjung Redeb              </v>
          </cell>
          <cell r="G831">
            <v>1</v>
          </cell>
        </row>
        <row r="832">
          <cell r="B832" t="str">
            <v xml:space="preserve">KC Tanjung Redeb                        </v>
          </cell>
          <cell r="G832">
            <v>0.95454545454545459</v>
          </cell>
        </row>
        <row r="833">
          <cell r="B833" t="str">
            <v xml:space="preserve">KC Tanjung Selor              </v>
          </cell>
          <cell r="G833">
            <v>1</v>
          </cell>
        </row>
        <row r="834">
          <cell r="B834" t="str">
            <v xml:space="preserve">KC Tanjung Selor                        </v>
          </cell>
          <cell r="G834">
            <v>0.93939393939393945</v>
          </cell>
        </row>
        <row r="835">
          <cell r="B835" t="str">
            <v xml:space="preserve">KC Tanjung Tabalong           </v>
          </cell>
          <cell r="G835">
            <v>1</v>
          </cell>
        </row>
        <row r="836">
          <cell r="B836" t="str">
            <v xml:space="preserve">KC Tanjung Tabalong                     </v>
          </cell>
          <cell r="G836">
            <v>1</v>
          </cell>
        </row>
        <row r="837">
          <cell r="B837" t="str">
            <v xml:space="preserve">KC Tarakan                    </v>
          </cell>
          <cell r="G837">
            <v>1</v>
          </cell>
        </row>
        <row r="838">
          <cell r="B838" t="str">
            <v xml:space="preserve">KC Tarakan                              </v>
          </cell>
          <cell r="G838">
            <v>0.97560975609756095</v>
          </cell>
        </row>
        <row r="839">
          <cell r="B839" t="str">
            <v xml:space="preserve">KC Tarutung                   </v>
          </cell>
          <cell r="G839">
            <v>1</v>
          </cell>
        </row>
        <row r="840">
          <cell r="B840" t="str">
            <v xml:space="preserve">KC Tarutung                             </v>
          </cell>
          <cell r="G840">
            <v>1</v>
          </cell>
        </row>
        <row r="841">
          <cell r="B841" t="str">
            <v xml:space="preserve">KC Tasikmalaya                </v>
          </cell>
          <cell r="G841">
            <v>1</v>
          </cell>
        </row>
        <row r="842">
          <cell r="B842" t="str">
            <v xml:space="preserve">KC Tasikmalaya                          </v>
          </cell>
          <cell r="G842">
            <v>0.89130434782608692</v>
          </cell>
        </row>
        <row r="843">
          <cell r="B843" t="str">
            <v xml:space="preserve">KC Tebing Tinggi              </v>
          </cell>
          <cell r="G843">
            <v>1</v>
          </cell>
        </row>
        <row r="844">
          <cell r="B844" t="str">
            <v xml:space="preserve">KC Tebing Tinggi                        </v>
          </cell>
          <cell r="G844">
            <v>1</v>
          </cell>
        </row>
        <row r="845">
          <cell r="B845" t="str">
            <v xml:space="preserve">KC Tegal                      </v>
          </cell>
          <cell r="G845">
            <v>1</v>
          </cell>
        </row>
        <row r="846">
          <cell r="B846" t="str">
            <v xml:space="preserve">KC Tegal                                </v>
          </cell>
          <cell r="G846">
            <v>1</v>
          </cell>
        </row>
        <row r="847">
          <cell r="B847" t="str">
            <v xml:space="preserve">KC Teluk Betung               </v>
          </cell>
          <cell r="G847">
            <v>1</v>
          </cell>
        </row>
        <row r="848">
          <cell r="B848" t="str">
            <v xml:space="preserve">KC Teluk Betung                         </v>
          </cell>
          <cell r="G848">
            <v>1</v>
          </cell>
        </row>
        <row r="849">
          <cell r="B849" t="str">
            <v xml:space="preserve">KC Teluk Kuantan              </v>
          </cell>
          <cell r="G849">
            <v>1</v>
          </cell>
        </row>
        <row r="850">
          <cell r="B850" t="str">
            <v xml:space="preserve">KC Teluk Kuantan                        </v>
          </cell>
          <cell r="G850">
            <v>1</v>
          </cell>
        </row>
        <row r="851">
          <cell r="B851" t="str">
            <v xml:space="preserve">KC Temanggung                 </v>
          </cell>
          <cell r="G851">
            <v>1</v>
          </cell>
        </row>
        <row r="852">
          <cell r="B852" t="str">
            <v xml:space="preserve">KC Temanggung                           </v>
          </cell>
          <cell r="G852">
            <v>1</v>
          </cell>
        </row>
        <row r="853">
          <cell r="B853" t="str">
            <v xml:space="preserve">KC Tembilahan                 </v>
          </cell>
          <cell r="G853">
            <v>1</v>
          </cell>
        </row>
        <row r="854">
          <cell r="B854" t="str">
            <v xml:space="preserve">KC Tembilahan                           </v>
          </cell>
          <cell r="G854">
            <v>0.875</v>
          </cell>
        </row>
        <row r="855">
          <cell r="B855" t="str">
            <v xml:space="preserve">KC Tenggarong                 </v>
          </cell>
          <cell r="G855">
            <v>1</v>
          </cell>
        </row>
        <row r="856">
          <cell r="B856" t="str">
            <v xml:space="preserve">KC Tenggarong                           </v>
          </cell>
          <cell r="G856">
            <v>0.94117647058823528</v>
          </cell>
        </row>
        <row r="857">
          <cell r="B857" t="str">
            <v xml:space="preserve">KC Ternate                    </v>
          </cell>
          <cell r="G857">
            <v>1</v>
          </cell>
        </row>
        <row r="858">
          <cell r="B858" t="str">
            <v xml:space="preserve">KC Ternate                              </v>
          </cell>
          <cell r="G858">
            <v>0.96666666666666667</v>
          </cell>
        </row>
        <row r="859">
          <cell r="B859" t="str">
            <v xml:space="preserve">KC Timika                     </v>
          </cell>
          <cell r="G859">
            <v>1</v>
          </cell>
        </row>
        <row r="860">
          <cell r="B860" t="str">
            <v xml:space="preserve">KC Timika                               </v>
          </cell>
          <cell r="G860">
            <v>0.93939393939393945</v>
          </cell>
        </row>
        <row r="861">
          <cell r="B861" t="str">
            <v xml:space="preserve">KC Tobelo                     </v>
          </cell>
          <cell r="G861">
            <v>1</v>
          </cell>
        </row>
        <row r="862">
          <cell r="B862" t="str">
            <v xml:space="preserve">KC Tobelo                               </v>
          </cell>
          <cell r="G862">
            <v>1</v>
          </cell>
        </row>
        <row r="863">
          <cell r="B863" t="str">
            <v xml:space="preserve">KC Toli-Toli                  </v>
          </cell>
          <cell r="G863">
            <v>1</v>
          </cell>
        </row>
        <row r="864">
          <cell r="B864" t="str">
            <v xml:space="preserve">KC Toli-Toli                            </v>
          </cell>
          <cell r="G864">
            <v>1</v>
          </cell>
        </row>
        <row r="865">
          <cell r="B865" t="str">
            <v xml:space="preserve">KC Tondano                    </v>
          </cell>
          <cell r="G865">
            <v>1</v>
          </cell>
        </row>
        <row r="866">
          <cell r="B866" t="str">
            <v xml:space="preserve">KC Tondano                              </v>
          </cell>
          <cell r="G866">
            <v>1</v>
          </cell>
        </row>
        <row r="867">
          <cell r="B867" t="str">
            <v xml:space="preserve">KC Trenggalek                 </v>
          </cell>
          <cell r="G867">
            <v>1</v>
          </cell>
        </row>
        <row r="868">
          <cell r="B868" t="str">
            <v xml:space="preserve">KC Trenggalek                           </v>
          </cell>
          <cell r="G868">
            <v>1</v>
          </cell>
        </row>
        <row r="869">
          <cell r="B869" t="str">
            <v xml:space="preserve">KC Tuban                      </v>
          </cell>
          <cell r="G869">
            <v>1</v>
          </cell>
        </row>
        <row r="870">
          <cell r="B870" t="str">
            <v xml:space="preserve">KC Tuban                                </v>
          </cell>
          <cell r="G870">
            <v>0.83333333333333337</v>
          </cell>
        </row>
        <row r="871">
          <cell r="B871" t="str">
            <v xml:space="preserve">KC Tulang Bawang              </v>
          </cell>
          <cell r="G871">
            <v>1</v>
          </cell>
        </row>
        <row r="872">
          <cell r="B872" t="str">
            <v xml:space="preserve">KC Tulang Bawang                        </v>
          </cell>
          <cell r="G872">
            <v>0.9285714285714286</v>
          </cell>
        </row>
        <row r="873">
          <cell r="B873" t="str">
            <v xml:space="preserve">KC Tulungagung                </v>
          </cell>
          <cell r="G873">
            <v>1</v>
          </cell>
        </row>
        <row r="874">
          <cell r="B874" t="str">
            <v xml:space="preserve">KC Tulungagung                          </v>
          </cell>
          <cell r="G874">
            <v>0.88888888888888884</v>
          </cell>
        </row>
        <row r="875">
          <cell r="B875" t="str">
            <v xml:space="preserve">KC Ujung Batu                 </v>
          </cell>
          <cell r="G875">
            <v>1</v>
          </cell>
        </row>
        <row r="876">
          <cell r="B876" t="str">
            <v xml:space="preserve">KC Ujung Batu                           </v>
          </cell>
          <cell r="G876">
            <v>1</v>
          </cell>
        </row>
        <row r="877">
          <cell r="B877" t="str">
            <v xml:space="preserve">KC Ungaran                    </v>
          </cell>
          <cell r="G877">
            <v>1</v>
          </cell>
        </row>
        <row r="878">
          <cell r="B878" t="str">
            <v xml:space="preserve">KC Ungaran                              </v>
          </cell>
          <cell r="G878">
            <v>1</v>
          </cell>
        </row>
        <row r="879">
          <cell r="B879" t="str">
            <v xml:space="preserve">KC Waikabubak                 </v>
          </cell>
          <cell r="G879">
            <v>1</v>
          </cell>
        </row>
        <row r="880">
          <cell r="B880" t="str">
            <v xml:space="preserve">KC Waikabubak                           </v>
          </cell>
          <cell r="G880">
            <v>1</v>
          </cell>
        </row>
        <row r="881">
          <cell r="B881" t="str">
            <v xml:space="preserve">KC Waingapu                   </v>
          </cell>
          <cell r="G881">
            <v>1</v>
          </cell>
        </row>
        <row r="882">
          <cell r="B882" t="str">
            <v xml:space="preserve">KC Waingapu                             </v>
          </cell>
          <cell r="G882">
            <v>1</v>
          </cell>
        </row>
        <row r="883">
          <cell r="B883" t="str">
            <v xml:space="preserve">KC Wamena                     </v>
          </cell>
          <cell r="G883">
            <v>1</v>
          </cell>
        </row>
        <row r="884">
          <cell r="B884" t="str">
            <v xml:space="preserve">KC Wamena                               </v>
          </cell>
          <cell r="G884">
            <v>1</v>
          </cell>
        </row>
        <row r="885">
          <cell r="B885" t="str">
            <v xml:space="preserve">KC Waru                       </v>
          </cell>
          <cell r="G885">
            <v>1</v>
          </cell>
        </row>
        <row r="886">
          <cell r="B886" t="str">
            <v xml:space="preserve">KC Waru                                 </v>
          </cell>
          <cell r="G886">
            <v>1</v>
          </cell>
        </row>
        <row r="887">
          <cell r="B887" t="str">
            <v xml:space="preserve">KC Watampone                  </v>
          </cell>
          <cell r="G887">
            <v>1</v>
          </cell>
        </row>
        <row r="888">
          <cell r="B888" t="str">
            <v xml:space="preserve">KC Watampone                            </v>
          </cell>
          <cell r="G888">
            <v>0.99038461538461542</v>
          </cell>
        </row>
        <row r="889">
          <cell r="B889" t="str">
            <v xml:space="preserve">KC Watansopeng                </v>
          </cell>
          <cell r="G889">
            <v>1</v>
          </cell>
        </row>
        <row r="890">
          <cell r="B890" t="str">
            <v xml:space="preserve">KC Watansopeng                          </v>
          </cell>
          <cell r="G890">
            <v>1</v>
          </cell>
        </row>
        <row r="891">
          <cell r="B891" t="str">
            <v xml:space="preserve">KC Wates                      </v>
          </cell>
          <cell r="G891">
            <v>1</v>
          </cell>
        </row>
        <row r="892">
          <cell r="B892" t="str">
            <v xml:space="preserve">KC Wates                                </v>
          </cell>
          <cell r="G892">
            <v>0.95238095238095233</v>
          </cell>
        </row>
        <row r="893">
          <cell r="B893" t="str">
            <v xml:space="preserve">KC Wonogiri                   </v>
          </cell>
          <cell r="G893">
            <v>1</v>
          </cell>
        </row>
        <row r="894">
          <cell r="B894" t="str">
            <v xml:space="preserve">KC Wonogiri                             </v>
          </cell>
          <cell r="G894">
            <v>1</v>
          </cell>
        </row>
        <row r="895">
          <cell r="B895" t="str">
            <v xml:space="preserve">KC Wonosari                   </v>
          </cell>
          <cell r="G895">
            <v>1</v>
          </cell>
        </row>
        <row r="896">
          <cell r="B896" t="str">
            <v xml:space="preserve">KC Wonosari                             </v>
          </cell>
          <cell r="G896">
            <v>1</v>
          </cell>
        </row>
        <row r="897">
          <cell r="B897" t="str">
            <v xml:space="preserve">KC Wonosobo                   </v>
          </cell>
          <cell r="G897">
            <v>1</v>
          </cell>
        </row>
        <row r="898">
          <cell r="B898" t="str">
            <v xml:space="preserve">KC Wonosobo                             </v>
          </cell>
          <cell r="G898">
            <v>0.90909090909090906</v>
          </cell>
        </row>
        <row r="899">
          <cell r="B899" t="str">
            <v xml:space="preserve">KC Yogyakarta Adisucipto      </v>
          </cell>
          <cell r="G899">
            <v>1</v>
          </cell>
        </row>
        <row r="900">
          <cell r="B900" t="str">
            <v xml:space="preserve">KC Yogyakarta Adisucipto                </v>
          </cell>
          <cell r="G900">
            <v>0.98750000000000004</v>
          </cell>
        </row>
        <row r="901">
          <cell r="B901" t="str">
            <v xml:space="preserve">KC Yogyakarta Cik Ditiro      </v>
          </cell>
          <cell r="G901">
            <v>1</v>
          </cell>
        </row>
        <row r="902">
          <cell r="B902" t="str">
            <v xml:space="preserve">KC Yogyakarta Cik Ditiro                </v>
          </cell>
          <cell r="G902">
            <v>0.99090909090909096</v>
          </cell>
        </row>
        <row r="903">
          <cell r="B903" t="str">
            <v xml:space="preserve">KC Yogyakarta Katamso         </v>
          </cell>
          <cell r="G903">
            <v>1</v>
          </cell>
        </row>
        <row r="904">
          <cell r="B904" t="str">
            <v xml:space="preserve">KC Yogyakarta Katamso                   </v>
          </cell>
          <cell r="G904">
            <v>1</v>
          </cell>
        </row>
        <row r="905">
          <cell r="B905" t="str">
            <v xml:space="preserve">KC Yogyakarta Mlati           </v>
          </cell>
          <cell r="G905">
            <v>1</v>
          </cell>
        </row>
        <row r="906">
          <cell r="B906" t="str">
            <v xml:space="preserve">KC Yogyakarta Mlati                     </v>
          </cell>
          <cell r="G906">
            <v>0.97058823529411764</v>
          </cell>
        </row>
      </sheetData>
      <sheetData sheetId="7"/>
      <sheetData sheetId="8">
        <row r="2">
          <cell r="C2" t="str">
            <v>Andi Faisal Putra</v>
          </cell>
          <cell r="D2">
            <v>95.208333330000002</v>
          </cell>
        </row>
        <row r="3">
          <cell r="C3" t="str">
            <v>Andi Faisal Putra</v>
          </cell>
          <cell r="D3">
            <v>95.294117650000004</v>
          </cell>
        </row>
        <row r="4">
          <cell r="C4" t="str">
            <v>Andi Faisal Putra</v>
          </cell>
          <cell r="D4">
            <v>95.321637429999996</v>
          </cell>
        </row>
        <row r="5">
          <cell r="C5" t="str">
            <v>Andi Faisal Putra</v>
          </cell>
          <cell r="D5">
            <v>93.069306929999996</v>
          </cell>
        </row>
        <row r="6">
          <cell r="C6" t="str">
            <v>Andi Faisal Putra</v>
          </cell>
          <cell r="D6">
            <v>94.271844659999999</v>
          </cell>
        </row>
        <row r="7">
          <cell r="C7" t="str">
            <v>Andi Faisal Putra</v>
          </cell>
          <cell r="D7">
            <v>93.296703300000004</v>
          </cell>
        </row>
        <row r="8">
          <cell r="C8" t="str">
            <v>Andi Faisal Putra</v>
          </cell>
          <cell r="D8">
            <v>93.739130430000003</v>
          </cell>
        </row>
        <row r="9">
          <cell r="C9" t="str">
            <v>Andi Faisal Putra</v>
          </cell>
          <cell r="D9">
            <v>93.452380950000006</v>
          </cell>
        </row>
        <row r="10">
          <cell r="C10" t="str">
            <v>Andi Faisal Putra</v>
          </cell>
          <cell r="D10">
            <v>92.702702700000003</v>
          </cell>
        </row>
        <row r="11">
          <cell r="C11" t="str">
            <v>Andi Faisal Putra</v>
          </cell>
          <cell r="D11">
            <v>94.32624113</v>
          </cell>
        </row>
        <row r="12">
          <cell r="C12" t="str">
            <v>Andi Perkasa</v>
          </cell>
          <cell r="D12">
            <v>98.272727270000004</v>
          </cell>
        </row>
        <row r="13">
          <cell r="C13" t="str">
            <v>Andi Perkasa</v>
          </cell>
          <cell r="D13">
            <v>92</v>
          </cell>
        </row>
        <row r="14">
          <cell r="C14" t="str">
            <v>Andi Perkasa</v>
          </cell>
          <cell r="D14">
            <v>92.822580650000006</v>
          </cell>
        </row>
        <row r="15">
          <cell r="C15" t="str">
            <v>Andi Perkasa</v>
          </cell>
          <cell r="D15">
            <v>94.109589040000003</v>
          </cell>
        </row>
        <row r="16">
          <cell r="C16" t="str">
            <v>Andi Perkasa</v>
          </cell>
          <cell r="D16">
            <v>96.666666669999998</v>
          </cell>
        </row>
        <row r="17">
          <cell r="C17" t="str">
            <v>Andi Perkasa</v>
          </cell>
          <cell r="D17">
            <v>90</v>
          </cell>
        </row>
        <row r="18">
          <cell r="C18" t="str">
            <v>Andi Perkasa</v>
          </cell>
          <cell r="D18">
            <v>94.9375</v>
          </cell>
        </row>
        <row r="19">
          <cell r="C19" t="str">
            <v>Andi Perkasa</v>
          </cell>
          <cell r="D19">
            <v>82</v>
          </cell>
        </row>
        <row r="20">
          <cell r="C20" t="str">
            <v>Andi Perkasa</v>
          </cell>
          <cell r="D20">
            <v>95.213675210000005</v>
          </cell>
        </row>
        <row r="21">
          <cell r="C21" t="str">
            <v>Janse Paburru</v>
          </cell>
          <cell r="D21">
            <v>94.355828220000006</v>
          </cell>
        </row>
        <row r="22">
          <cell r="C22" t="str">
            <v>Janse Paburru</v>
          </cell>
          <cell r="D22">
            <v>92.857142859999996</v>
          </cell>
        </row>
        <row r="23">
          <cell r="C23" t="str">
            <v>Janse Paburru</v>
          </cell>
          <cell r="D23">
            <v>95.655172410000006</v>
          </cell>
        </row>
        <row r="24">
          <cell r="C24" t="str">
            <v>Janse Paburru</v>
          </cell>
          <cell r="D24">
            <v>95.490196080000004</v>
          </cell>
        </row>
        <row r="25">
          <cell r="C25" t="str">
            <v>Janse Paburru</v>
          </cell>
          <cell r="D25">
            <v>93.622047240000001</v>
          </cell>
        </row>
        <row r="26">
          <cell r="C26" t="str">
            <v>Janse Paburru</v>
          </cell>
          <cell r="D26">
            <v>95.578231290000005</v>
          </cell>
        </row>
        <row r="27">
          <cell r="C27" t="str">
            <v>Janse Paburru</v>
          </cell>
          <cell r="D27">
            <v>93.510638299999997</v>
          </cell>
        </row>
        <row r="28">
          <cell r="C28" t="str">
            <v>Janse Paburru</v>
          </cell>
          <cell r="D28">
            <v>98.387096769999999</v>
          </cell>
        </row>
        <row r="29">
          <cell r="C29" t="str">
            <v>M Sardi Rampo</v>
          </cell>
          <cell r="D29">
            <v>96.612903230000001</v>
          </cell>
        </row>
        <row r="30">
          <cell r="C30" t="str">
            <v>M Sardi Rampo</v>
          </cell>
          <cell r="D30">
            <v>93.904761899999997</v>
          </cell>
        </row>
        <row r="31">
          <cell r="C31" t="str">
            <v>M Sardi Rampo</v>
          </cell>
          <cell r="D31">
            <v>93.973509930000006</v>
          </cell>
        </row>
        <row r="32">
          <cell r="C32" t="str">
            <v>M Sardi Rampo</v>
          </cell>
          <cell r="D32">
            <v>95.501858740000003</v>
          </cell>
        </row>
        <row r="33">
          <cell r="C33" t="str">
            <v>M Sardi Rampo</v>
          </cell>
          <cell r="D33">
            <v>95.310344830000005</v>
          </cell>
        </row>
        <row r="34">
          <cell r="C34" t="str">
            <v>M Sardi Rampo</v>
          </cell>
          <cell r="D34">
            <v>93.8172043</v>
          </cell>
        </row>
        <row r="35">
          <cell r="C35" t="str">
            <v>M Sardi Rampo</v>
          </cell>
          <cell r="D35">
            <v>95.052083330000002</v>
          </cell>
        </row>
        <row r="36">
          <cell r="C36" t="str">
            <v>M Sardi Rampo</v>
          </cell>
          <cell r="D36">
            <v>95.113636360000001</v>
          </cell>
        </row>
        <row r="37">
          <cell r="C37" t="str">
            <v>M Sardi Rampo</v>
          </cell>
          <cell r="D37">
            <v>94.910179639999996</v>
          </cell>
        </row>
        <row r="38">
          <cell r="C38" t="str">
            <v>M Sardi Rampo</v>
          </cell>
          <cell r="D38">
            <v>95</v>
          </cell>
        </row>
        <row r="39">
          <cell r="D39" t="e">
            <v>#N/A</v>
          </cell>
        </row>
        <row r="40">
          <cell r="C40" t="str">
            <v>Ariyanto B</v>
          </cell>
          <cell r="D40">
            <v>97.818181820000007</v>
          </cell>
        </row>
        <row r="41">
          <cell r="C41" t="str">
            <v>Ariyanto B</v>
          </cell>
          <cell r="D41">
            <v>98.16176471</v>
          </cell>
        </row>
        <row r="42">
          <cell r="C42" t="str">
            <v>Ariyanto B</v>
          </cell>
          <cell r="D42">
            <v>98.807339450000001</v>
          </cell>
        </row>
        <row r="43">
          <cell r="C43" t="str">
            <v>Ariyanto B</v>
          </cell>
          <cell r="D43">
            <v>98.867924529999996</v>
          </cell>
        </row>
        <row r="44">
          <cell r="C44" t="str">
            <v>Ariyanto B</v>
          </cell>
          <cell r="D44">
            <v>98.540540539999995</v>
          </cell>
        </row>
        <row r="45">
          <cell r="C45" t="str">
            <v>Ariyanto B</v>
          </cell>
          <cell r="D45">
            <v>98.356164379999996</v>
          </cell>
        </row>
        <row r="46">
          <cell r="C46" t="str">
            <v>Ariyanto B</v>
          </cell>
          <cell r="D46">
            <v>97.857142859999996</v>
          </cell>
        </row>
        <row r="47">
          <cell r="C47" t="str">
            <v>Ryan Fabella Lisa</v>
          </cell>
          <cell r="D47">
            <v>98.079096050000004</v>
          </cell>
        </row>
        <row r="48">
          <cell r="C48" t="str">
            <v>Ryan Fabella Lisa</v>
          </cell>
          <cell r="D48">
            <v>98.298611109999996</v>
          </cell>
        </row>
        <row r="49">
          <cell r="C49" t="str">
            <v>Ryan Fabella Lisa</v>
          </cell>
          <cell r="D49">
            <v>98.345864660000004</v>
          </cell>
        </row>
        <row r="50">
          <cell r="C50" t="str">
            <v>Ryan Fabella Lisa</v>
          </cell>
          <cell r="D50">
            <v>98.809523810000002</v>
          </cell>
        </row>
        <row r="51">
          <cell r="C51" t="str">
            <v>Ryan Fabella Lisa</v>
          </cell>
          <cell r="D51">
            <v>98.46153846</v>
          </cell>
        </row>
        <row r="52">
          <cell r="C52" t="str">
            <v>Ryan Fabella Lisa</v>
          </cell>
          <cell r="D52">
            <v>98.185328190000007</v>
          </cell>
        </row>
        <row r="53">
          <cell r="C53" t="str">
            <v>Ryan Fabella Lisa</v>
          </cell>
          <cell r="D53">
            <v>98.918918919999996</v>
          </cell>
        </row>
        <row r="54">
          <cell r="D54" t="e">
            <v>#N/A</v>
          </cell>
        </row>
        <row r="55">
          <cell r="C55" t="str">
            <v>Rinaldi Wicaksana</v>
          </cell>
          <cell r="D55">
            <v>98.785714290000001</v>
          </cell>
        </row>
        <row r="56">
          <cell r="C56" t="str">
            <v>Rinaldi Wicaksana</v>
          </cell>
          <cell r="D56">
            <v>98.709677420000006</v>
          </cell>
        </row>
        <row r="57">
          <cell r="C57" t="str">
            <v>Rinaldi Wicaksana</v>
          </cell>
          <cell r="D57">
            <v>95.925925930000005</v>
          </cell>
        </row>
        <row r="58">
          <cell r="C58" t="str">
            <v>Rinaldi Wicaksana</v>
          </cell>
          <cell r="D58">
            <v>97.31707317</v>
          </cell>
        </row>
        <row r="59">
          <cell r="C59" t="str">
            <v>Rinaldi Wicaksana</v>
          </cell>
          <cell r="D59">
            <v>95.479452050000006</v>
          </cell>
        </row>
        <row r="60">
          <cell r="C60" t="str">
            <v>Rinaldi Wicaksana</v>
          </cell>
          <cell r="D60">
            <v>97.59398496</v>
          </cell>
        </row>
        <row r="61">
          <cell r="C61" t="str">
            <v>Rinaldi Wicaksana</v>
          </cell>
          <cell r="D61">
            <v>98.451612900000001</v>
          </cell>
        </row>
        <row r="62">
          <cell r="C62" t="str">
            <v>Rinaldi Wicaksana</v>
          </cell>
          <cell r="D62">
            <v>97.920792079999998</v>
          </cell>
        </row>
        <row r="63">
          <cell r="C63" t="str">
            <v>Rinaldi Wicaksana</v>
          </cell>
          <cell r="D63">
            <v>98.226950349999996</v>
          </cell>
        </row>
        <row r="64">
          <cell r="C64" t="str">
            <v>Rinaldi Wicaksana</v>
          </cell>
          <cell r="D64">
            <v>95.964912279999993</v>
          </cell>
        </row>
        <row r="65">
          <cell r="C65" t="str">
            <v>Rinaldi Wicaksana</v>
          </cell>
          <cell r="D65">
            <v>98.504672900000003</v>
          </cell>
        </row>
        <row r="66">
          <cell r="C66" t="str">
            <v>Rinaldi Wicaksana</v>
          </cell>
          <cell r="D66">
            <v>98.260869569999997</v>
          </cell>
        </row>
        <row r="67">
          <cell r="C67" t="str">
            <v>Rinaldi Wicaksana</v>
          </cell>
          <cell r="D67">
            <v>97.971014490000002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92</v>
          </cell>
        </row>
        <row r="70">
          <cell r="C70" t="str">
            <v>Imelda Mayestika P.</v>
          </cell>
          <cell r="D70">
            <v>97.248322150000007</v>
          </cell>
        </row>
        <row r="71">
          <cell r="C71" t="str">
            <v>Imelda Mayestika P.</v>
          </cell>
          <cell r="D71">
            <v>91.25</v>
          </cell>
        </row>
        <row r="72">
          <cell r="C72" t="str">
            <v>Imelda Mayestika P.</v>
          </cell>
          <cell r="D72">
            <v>97.838709679999994</v>
          </cell>
        </row>
        <row r="73">
          <cell r="C73" t="str">
            <v>Imelda Mayestika P.</v>
          </cell>
          <cell r="D73">
            <v>97.4609375</v>
          </cell>
        </row>
        <row r="74">
          <cell r="C74" t="str">
            <v>Imelda Mayestika P.</v>
          </cell>
          <cell r="D74">
            <v>93.333333330000002</v>
          </cell>
        </row>
        <row r="75">
          <cell r="C75" t="str">
            <v>Imelda Mayestika P.</v>
          </cell>
          <cell r="D75">
            <v>96.33484163</v>
          </cell>
        </row>
        <row r="76">
          <cell r="C76" t="str">
            <v>Imelda Mayestika P.</v>
          </cell>
          <cell r="D76">
            <v>93.671497579999993</v>
          </cell>
        </row>
        <row r="77">
          <cell r="C77" t="str">
            <v>Imelda Mayestika P.</v>
          </cell>
          <cell r="D77">
            <v>97.710437709999994</v>
          </cell>
        </row>
        <row r="78">
          <cell r="C78" t="str">
            <v>Imelda Mayestika P.</v>
          </cell>
          <cell r="D78">
            <v>95.340909089999997</v>
          </cell>
        </row>
        <row r="79">
          <cell r="C79" t="str">
            <v>Imelda Mayestika P.</v>
          </cell>
          <cell r="D79">
            <v>93.703703700000005</v>
          </cell>
        </row>
        <row r="80">
          <cell r="C80" t="str">
            <v>Imelda Mayestika P.</v>
          </cell>
          <cell r="D80">
            <v>98.006329109999996</v>
          </cell>
        </row>
        <row r="81">
          <cell r="C81" t="str">
            <v>Imelda Mayestika P.</v>
          </cell>
          <cell r="D81">
            <v>95.142857140000004</v>
          </cell>
        </row>
        <row r="82">
          <cell r="C82" t="str">
            <v>Imelda Mayestika P.</v>
          </cell>
          <cell r="D82">
            <v>97.426470589999994</v>
          </cell>
        </row>
        <row r="83">
          <cell r="C83" t="str">
            <v>Imelda Mayestika P.</v>
          </cell>
          <cell r="D83">
            <v>96.785714290000001</v>
          </cell>
        </row>
        <row r="84">
          <cell r="C84" t="str">
            <v>Imelda Mayestika P.</v>
          </cell>
          <cell r="D84">
            <v>98.720930229999993</v>
          </cell>
        </row>
        <row r="85">
          <cell r="C85" t="str">
            <v>Imelda Mayestika P.</v>
          </cell>
          <cell r="D85">
            <v>97.647058819999998</v>
          </cell>
        </row>
        <row r="86">
          <cell r="C86" t="str">
            <v>Imelda Mayestika P.</v>
          </cell>
          <cell r="D86">
            <v>97.173913040000002</v>
          </cell>
        </row>
        <row r="87">
          <cell r="C87" t="str">
            <v>Imelda Mayestika P.</v>
          </cell>
          <cell r="D87">
            <v>97.333333330000002</v>
          </cell>
        </row>
        <row r="88">
          <cell r="C88" t="str">
            <v>Imelda Mayestika P.</v>
          </cell>
          <cell r="D88">
            <v>94.545454550000002</v>
          </cell>
        </row>
        <row r="89">
          <cell r="C89" t="str">
            <v>Imelda Mayestika P.</v>
          </cell>
          <cell r="D89">
            <v>97.839506170000007</v>
          </cell>
        </row>
        <row r="90">
          <cell r="C90" t="str">
            <v>Imelda Mayestika P.</v>
          </cell>
          <cell r="D90">
            <v>93.157894740000003</v>
          </cell>
        </row>
        <row r="91">
          <cell r="C91" t="str">
            <v>Imelda Mayestika P.</v>
          </cell>
          <cell r="D91">
            <v>94.178082189999998</v>
          </cell>
        </row>
        <row r="92">
          <cell r="C92" t="str">
            <v>Imelda Mayestika P.</v>
          </cell>
          <cell r="D92">
            <v>98.983050849999998</v>
          </cell>
        </row>
        <row r="93">
          <cell r="C93" t="str">
            <v>Imelda Mayestika P.</v>
          </cell>
          <cell r="D93">
            <v>97.710843370000006</v>
          </cell>
        </row>
        <row r="94">
          <cell r="C94" t="str">
            <v>Imelda Mayestika P.</v>
          </cell>
          <cell r="D94">
            <v>97.5</v>
          </cell>
        </row>
        <row r="95">
          <cell r="C95" t="str">
            <v>Imelda Mayestika P.</v>
          </cell>
          <cell r="D95">
            <v>97.56097561</v>
          </cell>
        </row>
        <row r="96">
          <cell r="C96" t="str">
            <v>Imelda Mayestika P.</v>
          </cell>
          <cell r="D96">
            <v>96.666666669999998</v>
          </cell>
        </row>
        <row r="97">
          <cell r="C97" t="str">
            <v>Imelda Mayestika P.</v>
          </cell>
          <cell r="D97">
            <v>97.125</v>
          </cell>
        </row>
        <row r="98">
          <cell r="C98" t="str">
            <v>Imelda Mayestika P.</v>
          </cell>
          <cell r="D98">
            <v>98.169014079999997</v>
          </cell>
        </row>
        <row r="99">
          <cell r="C99" t="str">
            <v>Imelda Mayestika P.</v>
          </cell>
          <cell r="D99">
            <v>98.219178080000006</v>
          </cell>
        </row>
        <row r="100">
          <cell r="C100" t="str">
            <v>Imelda Mayestika P.</v>
          </cell>
          <cell r="D100">
            <v>94.41176471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97.671957669999998</v>
          </cell>
        </row>
        <row r="103">
          <cell r="C103" t="str">
            <v>I Made Budiartha</v>
          </cell>
          <cell r="D103">
            <v>96.904761899999997</v>
          </cell>
        </row>
        <row r="104">
          <cell r="C104" t="str">
            <v>I Made Budiartha</v>
          </cell>
          <cell r="D104">
            <v>95.447154470000001</v>
          </cell>
        </row>
        <row r="105">
          <cell r="C105" t="str">
            <v>Dewa Nyoman Wedana</v>
          </cell>
          <cell r="D105">
            <v>94.466019419999995</v>
          </cell>
        </row>
        <row r="106">
          <cell r="C106" t="str">
            <v>Dewa Nyoman Wedana</v>
          </cell>
          <cell r="D106">
            <v>97.803030300000003</v>
          </cell>
        </row>
        <row r="107">
          <cell r="C107" t="str">
            <v>Ida Bagus Pidada Manuaba</v>
          </cell>
          <cell r="D107">
            <v>98.582677169999997</v>
          </cell>
        </row>
        <row r="108">
          <cell r="C108" t="str">
            <v>Ida Bagus Pidada Manuaba</v>
          </cell>
          <cell r="D108">
            <v>96.717557249999999</v>
          </cell>
        </row>
        <row r="109">
          <cell r="C109" t="str">
            <v>Dewa Nyoman Wedana</v>
          </cell>
          <cell r="D109">
            <v>96.851851850000003</v>
          </cell>
        </row>
        <row r="110">
          <cell r="C110" t="str">
            <v>I Made Budiartha</v>
          </cell>
          <cell r="D110">
            <v>97.606837609999999</v>
          </cell>
        </row>
        <row r="111">
          <cell r="C111" t="str">
            <v>I Made Budiartha</v>
          </cell>
          <cell r="D111">
            <v>98.701298699999995</v>
          </cell>
        </row>
        <row r="112">
          <cell r="C112" t="str">
            <v>Dewa Nyoman Wedana</v>
          </cell>
          <cell r="D112">
            <v>99.245283020000002</v>
          </cell>
        </row>
        <row r="113">
          <cell r="C113" t="str">
            <v>Dewa Nyoman Wedana</v>
          </cell>
          <cell r="D113">
            <v>98.482142859999996</v>
          </cell>
        </row>
        <row r="114">
          <cell r="C114" t="str">
            <v>I Made Budiartha</v>
          </cell>
          <cell r="D114">
            <v>96.016949150000002</v>
          </cell>
        </row>
        <row r="115">
          <cell r="C115" t="str">
            <v>I Made Budiartha</v>
          </cell>
          <cell r="D115">
            <v>96.955128209999998</v>
          </cell>
        </row>
        <row r="116">
          <cell r="C116" t="str">
            <v>I Made Budiartha</v>
          </cell>
          <cell r="D116">
            <v>94.506172840000005</v>
          </cell>
        </row>
        <row r="117">
          <cell r="C117" t="str">
            <v>Ida Bagus Pidada Manuaba</v>
          </cell>
          <cell r="D117">
            <v>98.376623379999998</v>
          </cell>
        </row>
        <row r="118">
          <cell r="C118" t="str">
            <v>Ida Bagus Pidada Manuaba</v>
          </cell>
          <cell r="D118">
            <v>96.734693879999995</v>
          </cell>
        </row>
        <row r="119">
          <cell r="C119" t="str">
            <v>I Made Budiartha</v>
          </cell>
          <cell r="D119">
            <v>97.980769230000007</v>
          </cell>
        </row>
        <row r="120">
          <cell r="C120" t="str">
            <v>Dewa Nyoman Wedana</v>
          </cell>
          <cell r="D120">
            <v>97.151898729999999</v>
          </cell>
        </row>
        <row r="121">
          <cell r="C121" t="str">
            <v>Ida Bagus Pidada Manuaba</v>
          </cell>
          <cell r="D121">
            <v>98.271604940000003</v>
          </cell>
        </row>
        <row r="122">
          <cell r="C122" t="str">
            <v>Dewa Nyoman Wedana</v>
          </cell>
          <cell r="D122">
            <v>96.907216489999996</v>
          </cell>
        </row>
        <row r="123">
          <cell r="C123" t="str">
            <v>I Made Budiartha</v>
          </cell>
          <cell r="D123">
            <v>98.167539270000006</v>
          </cell>
        </row>
        <row r="124">
          <cell r="C124" t="str">
            <v>I Made Budiartha</v>
          </cell>
          <cell r="D124">
            <v>96.115702479999996</v>
          </cell>
        </row>
        <row r="125">
          <cell r="C125" t="str">
            <v>Ida Bagus Pidada Manuaba</v>
          </cell>
          <cell r="D125">
            <v>97.849056599999997</v>
          </cell>
        </row>
        <row r="126">
          <cell r="C126" t="str">
            <v>I Made Budiartha</v>
          </cell>
          <cell r="D126">
            <v>94.714285709999999</v>
          </cell>
        </row>
        <row r="127">
          <cell r="C127" t="str">
            <v>I Made Budiartha</v>
          </cell>
          <cell r="D127">
            <v>97.722772280000001</v>
          </cell>
        </row>
        <row r="128">
          <cell r="C128" t="str">
            <v>Dewa Nyoman Wedana</v>
          </cell>
          <cell r="D128">
            <v>98.24</v>
          </cell>
        </row>
        <row r="129">
          <cell r="C129" t="str">
            <v>I Made Budiartha</v>
          </cell>
          <cell r="D129">
            <v>98.181818179999993</v>
          </cell>
        </row>
        <row r="130">
          <cell r="C130" t="str">
            <v>Dewa Nyoman Wedana</v>
          </cell>
          <cell r="D130">
            <v>98.803418800000003</v>
          </cell>
        </row>
        <row r="131">
          <cell r="C131" t="str">
            <v>Dewa Nyoman Wedana</v>
          </cell>
          <cell r="D131">
            <v>98.522727270000004</v>
          </cell>
        </row>
        <row r="132">
          <cell r="C132" t="str">
            <v>Ida Bagus Pidada Manuaba</v>
          </cell>
          <cell r="D132">
            <v>96.25</v>
          </cell>
        </row>
        <row r="133">
          <cell r="C133" t="str">
            <v>Dewa Nyoman Wedana</v>
          </cell>
          <cell r="D133">
            <v>99.117647059999996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97.866666670000001</v>
          </cell>
        </row>
        <row r="136">
          <cell r="C136" t="str">
            <v>Boby Sukmawijaya</v>
          </cell>
          <cell r="D136">
            <v>95.656565659999998</v>
          </cell>
        </row>
        <row r="137">
          <cell r="C137" t="str">
            <v>Boby Sukmawijaya</v>
          </cell>
          <cell r="D137">
            <v>95.81300813</v>
          </cell>
        </row>
        <row r="138">
          <cell r="C138" t="str">
            <v>Boby Sukmawijaya</v>
          </cell>
          <cell r="D138">
            <v>94.61538462</v>
          </cell>
        </row>
        <row r="139">
          <cell r="C139" t="str">
            <v>Boby Sukmawijaya</v>
          </cell>
          <cell r="D139">
            <v>99.124087590000002</v>
          </cell>
        </row>
        <row r="140">
          <cell r="C140" t="str">
            <v>Boby Sukmawijaya</v>
          </cell>
          <cell r="D140">
            <v>95.945945949999995</v>
          </cell>
        </row>
        <row r="141">
          <cell r="C141" t="str">
            <v>Boby Sukmawijaya</v>
          </cell>
          <cell r="D141">
            <v>96.420454550000002</v>
          </cell>
        </row>
        <row r="142">
          <cell r="C142" t="str">
            <v>Boby Sukmawijaya</v>
          </cell>
          <cell r="D142">
            <v>98.473282440000006</v>
          </cell>
        </row>
        <row r="143">
          <cell r="C143" t="str">
            <v>Boby Sukmawijaya</v>
          </cell>
          <cell r="D143">
            <v>95.887096769999999</v>
          </cell>
        </row>
        <row r="144">
          <cell r="C144" t="str">
            <v>Boby Sukmawijaya</v>
          </cell>
          <cell r="D144">
            <v>99.252336450000001</v>
          </cell>
        </row>
        <row r="145">
          <cell r="C145" t="str">
            <v>Boby Sukmawijaya</v>
          </cell>
          <cell r="D145">
            <v>94.318181820000007</v>
          </cell>
        </row>
        <row r="146">
          <cell r="C146" t="str">
            <v>Boby Sukmawijaya</v>
          </cell>
          <cell r="D146">
            <v>96.19834711</v>
          </cell>
        </row>
        <row r="147">
          <cell r="C147" t="str">
            <v>Boby Sukmawijaya</v>
          </cell>
          <cell r="D147">
            <v>95.056179779999994</v>
          </cell>
        </row>
        <row r="148">
          <cell r="C148" t="str">
            <v>Boby Sukmawijaya</v>
          </cell>
          <cell r="D148">
            <v>95.15418502</v>
          </cell>
        </row>
        <row r="149">
          <cell r="C149" t="str">
            <v>Boby Sukmawijaya</v>
          </cell>
          <cell r="D149">
            <v>94.215686270000006</v>
          </cell>
        </row>
        <row r="150">
          <cell r="C150" t="str">
            <v>Boby Sukmawijaya</v>
          </cell>
          <cell r="D150">
            <v>98.933333329999996</v>
          </cell>
        </row>
        <row r="151">
          <cell r="C151" t="str">
            <v>Boby Sukmawijaya</v>
          </cell>
          <cell r="D151">
            <v>95.390625</v>
          </cell>
        </row>
        <row r="152">
          <cell r="C152" t="str">
            <v>Boby Sukmawijaya</v>
          </cell>
          <cell r="D152">
            <v>98.704453439999995</v>
          </cell>
        </row>
        <row r="153">
          <cell r="C153" t="str">
            <v>Boby Sukmawijaya</v>
          </cell>
          <cell r="D153">
            <v>93.119266060000001</v>
          </cell>
        </row>
        <row r="154">
          <cell r="C154" t="str">
            <v>Boby Sukmawijaya</v>
          </cell>
          <cell r="D154">
            <v>96.4</v>
          </cell>
        </row>
        <row r="155">
          <cell r="C155" t="str">
            <v>Boby Sukmawijaya</v>
          </cell>
          <cell r="D155">
            <v>98.4375</v>
          </cell>
        </row>
        <row r="156">
          <cell r="C156" t="str">
            <v>Boby Sukmawijaya</v>
          </cell>
          <cell r="D156">
            <v>97.727272729999996</v>
          </cell>
        </row>
        <row r="157">
          <cell r="C157" t="str">
            <v>Boby Sukmawijaya</v>
          </cell>
          <cell r="D157">
            <v>96.875</v>
          </cell>
        </row>
        <row r="158">
          <cell r="C158" t="str">
            <v>Boby Sukmawijaya</v>
          </cell>
          <cell r="D158">
            <v>98.034188029999996</v>
          </cell>
        </row>
        <row r="159">
          <cell r="C159" t="str">
            <v>Boby Sukmawijaya</v>
          </cell>
          <cell r="D159">
            <v>97.831325300000003</v>
          </cell>
        </row>
        <row r="160">
          <cell r="C160" t="str">
            <v>Boby Sukmawijaya</v>
          </cell>
          <cell r="D160">
            <v>96.918918919999996</v>
          </cell>
        </row>
        <row r="161">
          <cell r="C161" t="str">
            <v>Boby Sukmawijaya</v>
          </cell>
          <cell r="D161">
            <v>97.702702700000003</v>
          </cell>
        </row>
        <row r="162">
          <cell r="C162" t="str">
            <v>Boby Sukmawijaya</v>
          </cell>
          <cell r="D162">
            <v>97.840909089999997</v>
          </cell>
        </row>
        <row r="163">
          <cell r="C163" t="str">
            <v>Boby Sukmawijaya</v>
          </cell>
          <cell r="D163">
            <v>96.638655459999995</v>
          </cell>
        </row>
        <row r="164">
          <cell r="C164" t="str">
            <v>Boby Sukmawijaya</v>
          </cell>
          <cell r="D164">
            <v>96.690647479999996</v>
          </cell>
        </row>
        <row r="165">
          <cell r="C165" t="str">
            <v>Boby Sukmawijaya</v>
          </cell>
          <cell r="D165">
            <v>98.348623849999996</v>
          </cell>
        </row>
        <row r="166">
          <cell r="C166" t="str">
            <v>Boby Sukmawijaya</v>
          </cell>
          <cell r="D166">
            <v>94.742857139999998</v>
          </cell>
        </row>
        <row r="167">
          <cell r="C167" t="str">
            <v>Boby Sukmawijaya</v>
          </cell>
          <cell r="D167">
            <v>97.737226280000002</v>
          </cell>
        </row>
        <row r="168">
          <cell r="C168" t="str">
            <v>Boby Sukmawijaya</v>
          </cell>
          <cell r="D168">
            <v>98.846153849999993</v>
          </cell>
        </row>
        <row r="169">
          <cell r="C169" t="str">
            <v>Boby Sukmawijaya</v>
          </cell>
          <cell r="D169">
            <v>96.875</v>
          </cell>
        </row>
        <row r="170">
          <cell r="C170" t="str">
            <v>Boby Sukmawijaya</v>
          </cell>
          <cell r="D170">
            <v>98.68852459</v>
          </cell>
        </row>
        <row r="171">
          <cell r="C171" t="str">
            <v>Boby Sukmawijaya</v>
          </cell>
          <cell r="D171">
            <v>96.907894740000003</v>
          </cell>
        </row>
        <row r="172">
          <cell r="C172" t="str">
            <v>Boby Sukmawijaya</v>
          </cell>
          <cell r="D172">
            <v>98.211009169999997</v>
          </cell>
        </row>
        <row r="173">
          <cell r="C173" t="str">
            <v>Boby Sukmawijaya</v>
          </cell>
          <cell r="D173">
            <v>98.149350650000002</v>
          </cell>
        </row>
        <row r="174">
          <cell r="C174" t="str">
            <v>Boby Sukmawijaya</v>
          </cell>
          <cell r="D174">
            <v>98.3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95.581395349999994</v>
          </cell>
        </row>
        <row r="177">
          <cell r="C177" t="str">
            <v>Ari</v>
          </cell>
          <cell r="D177">
            <v>96.734693879999995</v>
          </cell>
        </row>
        <row r="178">
          <cell r="C178" t="str">
            <v>Ari</v>
          </cell>
          <cell r="D178">
            <v>96.733668339999994</v>
          </cell>
        </row>
        <row r="179">
          <cell r="C179" t="str">
            <v>Ari</v>
          </cell>
          <cell r="D179">
            <v>96.421052630000005</v>
          </cell>
        </row>
        <row r="180">
          <cell r="C180" t="str">
            <v>Ari</v>
          </cell>
          <cell r="D180">
            <v>97.60479042</v>
          </cell>
        </row>
        <row r="181">
          <cell r="C181" t="str">
            <v>Ari</v>
          </cell>
          <cell r="D181">
            <v>96.315789469999999</v>
          </cell>
        </row>
        <row r="182">
          <cell r="C182" t="str">
            <v>Ari</v>
          </cell>
          <cell r="D182">
            <v>97.83464567</v>
          </cell>
        </row>
        <row r="183">
          <cell r="C183" t="str">
            <v>Ari</v>
          </cell>
          <cell r="D183">
            <v>97.477477480000005</v>
          </cell>
        </row>
        <row r="184">
          <cell r="C184" t="str">
            <v>Ari</v>
          </cell>
          <cell r="D184">
            <v>96.696428569999995</v>
          </cell>
        </row>
        <row r="185">
          <cell r="C185" t="str">
            <v>Ari</v>
          </cell>
          <cell r="D185">
            <v>96.232876709999999</v>
          </cell>
        </row>
        <row r="186">
          <cell r="C186" t="str">
            <v>Helvi</v>
          </cell>
          <cell r="D186">
            <v>97.869565219999998</v>
          </cell>
        </row>
        <row r="187">
          <cell r="C187" t="str">
            <v>Helvi</v>
          </cell>
          <cell r="D187">
            <v>95.521885519999998</v>
          </cell>
        </row>
        <row r="188">
          <cell r="C188" t="str">
            <v>Helvi</v>
          </cell>
          <cell r="D188">
            <v>96.08</v>
          </cell>
        </row>
        <row r="189">
          <cell r="C189" t="str">
            <v>Helvi</v>
          </cell>
          <cell r="D189">
            <v>96.709401709999995</v>
          </cell>
        </row>
        <row r="190">
          <cell r="C190" t="str">
            <v>Helvi</v>
          </cell>
          <cell r="D190">
            <v>97.398373980000002</v>
          </cell>
        </row>
        <row r="191">
          <cell r="C191" t="str">
            <v>Helvi</v>
          </cell>
          <cell r="D191">
            <v>97.117117120000003</v>
          </cell>
        </row>
        <row r="192">
          <cell r="C192" t="str">
            <v>Helvi</v>
          </cell>
          <cell r="D192">
            <v>98.24</v>
          </cell>
        </row>
        <row r="193">
          <cell r="C193" t="str">
            <v>Helvi</v>
          </cell>
          <cell r="D193">
            <v>95</v>
          </cell>
        </row>
        <row r="194">
          <cell r="C194" t="str">
            <v>Helvi</v>
          </cell>
          <cell r="D194">
            <v>95.769230769999993</v>
          </cell>
        </row>
        <row r="195">
          <cell r="C195" t="str">
            <v>Helvi</v>
          </cell>
          <cell r="D195">
            <v>97.524271839999997</v>
          </cell>
        </row>
        <row r="196">
          <cell r="C196" t="str">
            <v>Helvi</v>
          </cell>
          <cell r="D196">
            <v>97.473684210000002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97.605633800000007</v>
          </cell>
        </row>
        <row r="199">
          <cell r="C199" t="str">
            <v>Ferdi Setiawan</v>
          </cell>
          <cell r="D199">
            <v>97.697160879999998</v>
          </cell>
        </row>
        <row r="200">
          <cell r="C200" t="str">
            <v>Ferdi Setiawan</v>
          </cell>
          <cell r="D200">
            <v>96.594202899999999</v>
          </cell>
        </row>
        <row r="201">
          <cell r="C201" t="str">
            <v>Ferdi Setiawan</v>
          </cell>
          <cell r="D201">
            <v>98.538812789999994</v>
          </cell>
        </row>
        <row r="202">
          <cell r="C202" t="str">
            <v>Ferdi Setiawan</v>
          </cell>
          <cell r="D202">
            <v>97.737226280000002</v>
          </cell>
        </row>
        <row r="203">
          <cell r="C203" t="str">
            <v>Ferdi Setiawan</v>
          </cell>
          <cell r="D203">
            <v>97.401129940000004</v>
          </cell>
        </row>
        <row r="204">
          <cell r="C204" t="str">
            <v>Ferdi Setiawan</v>
          </cell>
          <cell r="D204">
            <v>97.967479670000003</v>
          </cell>
        </row>
        <row r="205">
          <cell r="C205" t="str">
            <v>Ferdi Setiawan</v>
          </cell>
          <cell r="D205">
            <v>96.587677729999996</v>
          </cell>
        </row>
        <row r="206">
          <cell r="C206" t="str">
            <v>Ferdi Setiawan</v>
          </cell>
          <cell r="D206">
            <v>96.551724140000005</v>
          </cell>
        </row>
        <row r="207">
          <cell r="C207" t="str">
            <v>Ferdi Setiawan</v>
          </cell>
          <cell r="D207">
            <v>98.440366969999999</v>
          </cell>
        </row>
        <row r="208">
          <cell r="C208" t="str">
            <v>Ferdi Setiawan</v>
          </cell>
          <cell r="D208">
            <v>97.75</v>
          </cell>
        </row>
        <row r="209">
          <cell r="C209" t="str">
            <v>Ferdi Setiawan</v>
          </cell>
          <cell r="D209">
            <v>95.955882349999996</v>
          </cell>
        </row>
        <row r="210">
          <cell r="C210" t="str">
            <v>Ferdi Setiawan</v>
          </cell>
          <cell r="D210">
            <v>96.977401130000004</v>
          </cell>
        </row>
        <row r="211">
          <cell r="C211" t="str">
            <v>Ferdi Setiawan</v>
          </cell>
          <cell r="D211">
            <v>97.684210530000001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93.181818179999993</v>
          </cell>
        </row>
        <row r="214">
          <cell r="C214" t="str">
            <v>Gesang Jumadi</v>
          </cell>
          <cell r="D214">
            <v>95.212121210000006</v>
          </cell>
        </row>
        <row r="215">
          <cell r="C215" t="str">
            <v>Gesang Jumadi</v>
          </cell>
          <cell r="D215">
            <v>96.444444439999998</v>
          </cell>
        </row>
        <row r="216">
          <cell r="C216" t="str">
            <v>Gesang Jumadi</v>
          </cell>
          <cell r="D216">
            <v>97.530120479999994</v>
          </cell>
        </row>
        <row r="217">
          <cell r="C217" t="str">
            <v>Gesang Jumadi</v>
          </cell>
          <cell r="D217">
            <v>95.555555560000002</v>
          </cell>
        </row>
        <row r="218">
          <cell r="C218" t="str">
            <v>Gesang Jumadi</v>
          </cell>
          <cell r="D218">
            <v>94.68</v>
          </cell>
        </row>
        <row r="219">
          <cell r="C219" t="str">
            <v>Gesang Jumadi</v>
          </cell>
          <cell r="D219">
            <v>96.225596530000004</v>
          </cell>
        </row>
        <row r="220">
          <cell r="C220" t="str">
            <v>Gesang Jumadi</v>
          </cell>
          <cell r="D220">
            <v>94.449339210000005</v>
          </cell>
        </row>
        <row r="221">
          <cell r="C221" t="str">
            <v>Gesang Jumadi</v>
          </cell>
          <cell r="D221">
            <v>91.779141100000004</v>
          </cell>
        </row>
        <row r="222">
          <cell r="C222" t="str">
            <v>Gesang Jumadi</v>
          </cell>
          <cell r="D222">
            <v>96.271186439999994</v>
          </cell>
        </row>
        <row r="223">
          <cell r="C223" t="str">
            <v>Gesang Jumadi</v>
          </cell>
          <cell r="D223">
            <v>96.721991700000004</v>
          </cell>
        </row>
        <row r="224">
          <cell r="C224" t="str">
            <v>Gesang Jumadi</v>
          </cell>
          <cell r="D224">
            <v>96.558891450000004</v>
          </cell>
        </row>
        <row r="225">
          <cell r="C225" t="str">
            <v>Gesang Jumadi</v>
          </cell>
          <cell r="D225">
            <v>97.285067870000006</v>
          </cell>
        </row>
        <row r="226">
          <cell r="C226" t="str">
            <v>Gesang Jumadi</v>
          </cell>
          <cell r="D226">
            <v>97.934782609999999</v>
          </cell>
        </row>
        <row r="227">
          <cell r="C227" t="str">
            <v>Gesang Jumadi</v>
          </cell>
          <cell r="D227">
            <v>96.487119440000001</v>
          </cell>
        </row>
        <row r="228">
          <cell r="C228" t="str">
            <v>Gumilar Rudimaya</v>
          </cell>
          <cell r="D228">
            <v>97.070707069999997</v>
          </cell>
        </row>
        <row r="229">
          <cell r="C229" t="str">
            <v>Gumilar Rudimaya</v>
          </cell>
          <cell r="D229">
            <v>96.012269939999996</v>
          </cell>
        </row>
        <row r="230">
          <cell r="C230" t="str">
            <v>Gumilar Rudimaya</v>
          </cell>
          <cell r="D230">
            <v>90.630630629999999</v>
          </cell>
        </row>
        <row r="231">
          <cell r="C231" t="str">
            <v>Gumilar Rudimaya</v>
          </cell>
          <cell r="D231">
            <v>97.738095240000007</v>
          </cell>
        </row>
        <row r="232">
          <cell r="C232" t="str">
            <v>Gumilar Rudimaya</v>
          </cell>
          <cell r="D232">
            <v>95.555555560000002</v>
          </cell>
        </row>
        <row r="233">
          <cell r="C233" t="str">
            <v>Gumilar Rudimaya</v>
          </cell>
          <cell r="D233">
            <v>91.704545449999998</v>
          </cell>
        </row>
        <row r="234">
          <cell r="C234" t="str">
            <v>Gumilar Rudimaya</v>
          </cell>
          <cell r="D234">
            <v>92.988505750000002</v>
          </cell>
        </row>
        <row r="235">
          <cell r="C235" t="str">
            <v>Gumilar Rudimaya</v>
          </cell>
          <cell r="D235">
            <v>93.379501390000001</v>
          </cell>
        </row>
        <row r="236">
          <cell r="C236" t="str">
            <v>Gumilar Rudimaya</v>
          </cell>
          <cell r="D236">
            <v>97.78846154</v>
          </cell>
        </row>
        <row r="237">
          <cell r="C237" t="str">
            <v>Gumilar Rudimaya</v>
          </cell>
          <cell r="D237">
            <v>96.844106460000006</v>
          </cell>
        </row>
        <row r="238">
          <cell r="C238" t="str">
            <v>Gumilar Rudimaya</v>
          </cell>
          <cell r="D238">
            <v>94.207920790000003</v>
          </cell>
        </row>
        <row r="239">
          <cell r="C239" t="str">
            <v>Gumilar Rudimaya</v>
          </cell>
          <cell r="D239">
            <v>96.327272730000004</v>
          </cell>
        </row>
        <row r="240">
          <cell r="C240" t="str">
            <v>Gumilar Rudimaya</v>
          </cell>
          <cell r="D240">
            <v>96.504297989999998</v>
          </cell>
        </row>
        <row r="241">
          <cell r="C241" t="str">
            <v>Gumilar Rudimaya</v>
          </cell>
          <cell r="D241">
            <v>96.534653469999995</v>
          </cell>
        </row>
        <row r="242">
          <cell r="C242" t="str">
            <v>Gumilar Rudimaya</v>
          </cell>
          <cell r="D242">
            <v>93.502824860000004</v>
          </cell>
        </row>
        <row r="243">
          <cell r="D243" t="e">
            <v>#N/A</v>
          </cell>
        </row>
        <row r="244">
          <cell r="C244" t="str">
            <v>Indra Jantana</v>
          </cell>
          <cell r="D244">
            <v>97.941176470000002</v>
          </cell>
        </row>
        <row r="245">
          <cell r="C245" t="str">
            <v>Indra Jantana</v>
          </cell>
          <cell r="D245">
            <v>95.289256199999997</v>
          </cell>
        </row>
        <row r="246">
          <cell r="C246" t="str">
            <v>Indra Jantana</v>
          </cell>
          <cell r="D246">
            <v>94.434782609999999</v>
          </cell>
        </row>
        <row r="247">
          <cell r="C247" t="str">
            <v>Indra Jantana</v>
          </cell>
          <cell r="D247">
            <v>94.428571430000005</v>
          </cell>
        </row>
        <row r="248">
          <cell r="C248" t="str">
            <v>Indra Jantana</v>
          </cell>
          <cell r="D248">
            <v>97.916666669999998</v>
          </cell>
        </row>
        <row r="249">
          <cell r="C249" t="str">
            <v>Indra Jantana</v>
          </cell>
          <cell r="D249">
            <v>94.859813079999995</v>
          </cell>
        </row>
        <row r="250">
          <cell r="C250" t="str">
            <v>Indra Jantana</v>
          </cell>
          <cell r="D250">
            <v>96.785714290000001</v>
          </cell>
        </row>
        <row r="251">
          <cell r="C251" t="str">
            <v>Indra Jantana</v>
          </cell>
          <cell r="D251">
            <v>95.777777779999994</v>
          </cell>
        </row>
        <row r="252">
          <cell r="C252" t="str">
            <v>Indra Jantana</v>
          </cell>
          <cell r="D252">
            <v>97.027027029999999</v>
          </cell>
        </row>
        <row r="253">
          <cell r="C253" t="str">
            <v>Indra Jantana</v>
          </cell>
          <cell r="D253">
            <v>97.910447759999997</v>
          </cell>
        </row>
        <row r="254">
          <cell r="C254" t="str">
            <v>Indra Jantana</v>
          </cell>
          <cell r="D254">
            <v>96.206896549999996</v>
          </cell>
        </row>
        <row r="255">
          <cell r="C255" t="str">
            <v>Indra Jantana</v>
          </cell>
          <cell r="D255">
            <v>97.868852459999999</v>
          </cell>
        </row>
        <row r="256">
          <cell r="C256" t="str">
            <v>Indra Jantana</v>
          </cell>
          <cell r="D256">
            <v>97.903225809999995</v>
          </cell>
        </row>
        <row r="257">
          <cell r="C257" t="str">
            <v>Indra Jantana</v>
          </cell>
          <cell r="D257">
            <v>97.52173913</v>
          </cell>
        </row>
        <row r="258">
          <cell r="C258" t="str">
            <v>Indra Jantana</v>
          </cell>
          <cell r="D258">
            <v>97.5</v>
          </cell>
        </row>
        <row r="259">
          <cell r="C259" t="str">
            <v>Indra Jantana</v>
          </cell>
          <cell r="D259">
            <v>96.081081080000004</v>
          </cell>
        </row>
        <row r="260">
          <cell r="C260" t="str">
            <v>Indra Jantana</v>
          </cell>
          <cell r="D260">
            <v>96.105263160000007</v>
          </cell>
        </row>
        <row r="261">
          <cell r="C261" t="str">
            <v>Indra Jantana</v>
          </cell>
          <cell r="D261">
            <v>93.647798739999999</v>
          </cell>
        </row>
        <row r="262">
          <cell r="C262" t="str">
            <v>Indra Jantana</v>
          </cell>
          <cell r="D262">
            <v>96.969696970000001</v>
          </cell>
        </row>
        <row r="263">
          <cell r="C263" t="str">
            <v>Indra Jantana</v>
          </cell>
          <cell r="D263">
            <v>95.080645160000003</v>
          </cell>
        </row>
        <row r="264">
          <cell r="C264" t="str">
            <v>Indra Jantana</v>
          </cell>
          <cell r="D264">
            <v>95.662100460000005</v>
          </cell>
        </row>
        <row r="265">
          <cell r="C265" t="str">
            <v>Indra Jantana</v>
          </cell>
          <cell r="D265">
            <v>96.595744679999996</v>
          </cell>
        </row>
        <row r="266">
          <cell r="C266" t="str">
            <v>Indra Jantana</v>
          </cell>
          <cell r="D266">
            <v>97.052631579999996</v>
          </cell>
        </row>
        <row r="267">
          <cell r="C267" t="str">
            <v>Indra Jantana</v>
          </cell>
          <cell r="D267">
            <v>97.25</v>
          </cell>
        </row>
        <row r="268">
          <cell r="D268" t="e">
            <v>#N/A</v>
          </cell>
        </row>
        <row r="269">
          <cell r="C269" t="str">
            <v>Yudi Wahyudi</v>
          </cell>
          <cell r="D269">
            <v>90.666666669999998</v>
          </cell>
        </row>
        <row r="270">
          <cell r="C270" t="str">
            <v>Yudi Wahyudi</v>
          </cell>
          <cell r="D270">
            <v>94.71153846</v>
          </cell>
        </row>
        <row r="271">
          <cell r="C271" t="str">
            <v>Yudi Wahyudi</v>
          </cell>
          <cell r="D271">
            <v>86.547619049999994</v>
          </cell>
        </row>
        <row r="272">
          <cell r="C272" t="str">
            <v>Yudi Wahyudi</v>
          </cell>
          <cell r="D272">
            <v>92.222222220000006</v>
          </cell>
        </row>
        <row r="273">
          <cell r="C273" t="str">
            <v>Yudi Wahyudi</v>
          </cell>
          <cell r="D273">
            <v>89.647887319999995</v>
          </cell>
        </row>
        <row r="274">
          <cell r="C274" t="str">
            <v>Yudi Wahyudi</v>
          </cell>
          <cell r="D274">
            <v>88.878504669999998</v>
          </cell>
        </row>
        <row r="275">
          <cell r="C275" t="str">
            <v>Yudi Wahyudi</v>
          </cell>
          <cell r="D275">
            <v>91.056338030000006</v>
          </cell>
        </row>
        <row r="276">
          <cell r="C276" t="str">
            <v>Yudi Wahyudi</v>
          </cell>
          <cell r="D276">
            <v>91.415094339999996</v>
          </cell>
        </row>
        <row r="277">
          <cell r="C277" t="str">
            <v>Yudi Wahyudi</v>
          </cell>
          <cell r="D277">
            <v>94.59459459</v>
          </cell>
        </row>
        <row r="278">
          <cell r="C278" t="str">
            <v>Yudi Wahyudi</v>
          </cell>
          <cell r="D278">
            <v>89.940119760000002</v>
          </cell>
        </row>
        <row r="279">
          <cell r="C279" t="str">
            <v>Yudi Wahyudi</v>
          </cell>
          <cell r="D279">
            <v>92.264150939999993</v>
          </cell>
        </row>
        <row r="280">
          <cell r="C280" t="str">
            <v>Yudi Wahyudi</v>
          </cell>
          <cell r="D280">
            <v>92.978723400000007</v>
          </cell>
        </row>
        <row r="281">
          <cell r="C281" t="str">
            <v>Yudi Wahyudi</v>
          </cell>
          <cell r="D281">
            <v>90.212765959999999</v>
          </cell>
        </row>
        <row r="282">
          <cell r="C282" t="str">
            <v>Yudi Wahyudi</v>
          </cell>
          <cell r="D282">
            <v>94.390243900000002</v>
          </cell>
        </row>
        <row r="283">
          <cell r="C283" t="str">
            <v>Yudi Wahyudi</v>
          </cell>
          <cell r="D283">
            <v>93.015873020000001</v>
          </cell>
        </row>
        <row r="284">
          <cell r="C284" t="str">
            <v>Yudi Wahyudi</v>
          </cell>
          <cell r="D284">
            <v>92.336448599999997</v>
          </cell>
        </row>
        <row r="285">
          <cell r="C285" t="str">
            <v>Yudi Wahyudi</v>
          </cell>
          <cell r="D285">
            <v>94.444444439999998</v>
          </cell>
        </row>
        <row r="286">
          <cell r="C286" t="str">
            <v>Yudi Wahyudi</v>
          </cell>
          <cell r="D286">
            <v>90.093457939999993</v>
          </cell>
        </row>
        <row r="287">
          <cell r="C287" t="str">
            <v>Yudi Wahyudi</v>
          </cell>
          <cell r="D287">
            <v>93</v>
          </cell>
        </row>
        <row r="288">
          <cell r="C288" t="str">
            <v>Yudi Wahyudi</v>
          </cell>
          <cell r="D288">
            <v>91.987179490000003</v>
          </cell>
        </row>
        <row r="289">
          <cell r="C289" t="str">
            <v>Yudi Wahyudi</v>
          </cell>
          <cell r="D289">
            <v>92.370370370000003</v>
          </cell>
        </row>
        <row r="290">
          <cell r="C290" t="str">
            <v>Yudi Wahyudi</v>
          </cell>
          <cell r="D290">
            <v>93.839285709999999</v>
          </cell>
        </row>
        <row r="291">
          <cell r="C291" t="str">
            <v>Yudi Wahyudi</v>
          </cell>
          <cell r="D291">
            <v>89.682539680000005</v>
          </cell>
        </row>
        <row r="292">
          <cell r="C292" t="str">
            <v>Yudi Wahyudi</v>
          </cell>
          <cell r="D292">
            <v>90</v>
          </cell>
        </row>
        <row r="293">
          <cell r="C293" t="str">
            <v>Yudi Wahyudi</v>
          </cell>
          <cell r="D293">
            <v>87.457627119999998</v>
          </cell>
        </row>
        <row r="294">
          <cell r="C294" t="str">
            <v>Yudi Wahyudi</v>
          </cell>
          <cell r="D294">
            <v>91.509433959999996</v>
          </cell>
        </row>
        <row r="295">
          <cell r="D295" t="e">
            <v>#N/A</v>
          </cell>
        </row>
        <row r="296">
          <cell r="C296" t="str">
            <v>Febri Dwi Prabowo</v>
          </cell>
          <cell r="D296">
            <v>94.487179490000003</v>
          </cell>
        </row>
        <row r="297">
          <cell r="C297" t="str">
            <v>Febri Dwi Prabowo</v>
          </cell>
          <cell r="D297">
            <v>95.172413789999993</v>
          </cell>
        </row>
        <row r="298">
          <cell r="C298" t="str">
            <v>Febri Dwi Prabowo</v>
          </cell>
          <cell r="D298">
            <v>93.521126760000001</v>
          </cell>
        </row>
        <row r="299">
          <cell r="C299" t="str">
            <v>Febri Dwi Prabowo</v>
          </cell>
          <cell r="D299">
            <v>90.616113740000003</v>
          </cell>
        </row>
        <row r="300">
          <cell r="C300" t="str">
            <v>Febri Dwi Prabowo</v>
          </cell>
          <cell r="D300">
            <v>92.215568860000005</v>
          </cell>
        </row>
        <row r="301">
          <cell r="C301" t="str">
            <v>Febri Dwi Prabowo</v>
          </cell>
          <cell r="D301">
            <v>94.787234040000001</v>
          </cell>
        </row>
        <row r="302">
          <cell r="C302" t="str">
            <v>Febri Dwi Prabowo</v>
          </cell>
          <cell r="D302">
            <v>93.851851850000003</v>
          </cell>
        </row>
        <row r="303">
          <cell r="C303" t="str">
            <v>Febri Dwi Prabowo</v>
          </cell>
          <cell r="D303">
            <v>92.480818409999998</v>
          </cell>
        </row>
        <row r="304">
          <cell r="C304" t="str">
            <v>Febri Dwi Prabowo</v>
          </cell>
          <cell r="D304">
            <v>90.267379680000005</v>
          </cell>
        </row>
        <row r="305">
          <cell r="C305" t="str">
            <v>Febri Dwi Prabowo</v>
          </cell>
          <cell r="D305">
            <v>93.814814810000001</v>
          </cell>
        </row>
        <row r="306">
          <cell r="C306" t="str">
            <v>Febri Dwi Prabowo</v>
          </cell>
          <cell r="D306">
            <v>90.223214290000001</v>
          </cell>
        </row>
        <row r="307">
          <cell r="C307" t="str">
            <v>Febri Dwi Prabowo</v>
          </cell>
          <cell r="D307">
            <v>94.837209299999998</v>
          </cell>
        </row>
        <row r="308">
          <cell r="C308" t="str">
            <v>Febri Dwi Prabowo</v>
          </cell>
          <cell r="D308">
            <v>90.151057399999999</v>
          </cell>
        </row>
        <row r="309">
          <cell r="C309" t="str">
            <v>Made Windu Kuntara</v>
          </cell>
          <cell r="D309">
            <v>92.22772277</v>
          </cell>
        </row>
        <row r="310">
          <cell r="C310" t="str">
            <v>Made Windu Kuntara</v>
          </cell>
          <cell r="D310">
            <v>92.04819277</v>
          </cell>
        </row>
        <row r="311">
          <cell r="C311" t="str">
            <v>Made Windu Kuntara</v>
          </cell>
          <cell r="D311">
            <v>92.438478750000002</v>
          </cell>
        </row>
        <row r="312">
          <cell r="C312" t="str">
            <v>Made Windu Kuntara</v>
          </cell>
          <cell r="D312">
            <v>95.776566759999994</v>
          </cell>
        </row>
        <row r="313">
          <cell r="C313" t="str">
            <v>Made Windu Kuntara</v>
          </cell>
          <cell r="D313">
            <v>92.045454550000002</v>
          </cell>
        </row>
        <row r="314">
          <cell r="C314" t="str">
            <v>Made Windu Kuntara</v>
          </cell>
          <cell r="D314">
            <v>88.4375</v>
          </cell>
        </row>
        <row r="315">
          <cell r="C315" t="str">
            <v>Made Windu Kuntara</v>
          </cell>
          <cell r="D315">
            <v>90.666666669999998</v>
          </cell>
        </row>
        <row r="316">
          <cell r="C316" t="str">
            <v>Made Windu Kuntara</v>
          </cell>
          <cell r="D316">
            <v>91.951219510000001</v>
          </cell>
        </row>
        <row r="317">
          <cell r="C317" t="str">
            <v>Made Windu Kuntara</v>
          </cell>
          <cell r="D317">
            <v>91.649746190000002</v>
          </cell>
        </row>
        <row r="318">
          <cell r="C318" t="str">
            <v>Made Windu Kuntara</v>
          </cell>
          <cell r="D318">
            <v>89.690140850000006</v>
          </cell>
        </row>
        <row r="319">
          <cell r="C319" t="str">
            <v>Made Windu Kuntara</v>
          </cell>
          <cell r="D319">
            <v>87.52380952</v>
          </cell>
        </row>
        <row r="320">
          <cell r="C320" t="str">
            <v>Made Windu Kuntara</v>
          </cell>
          <cell r="D320">
            <v>96.52173913</v>
          </cell>
        </row>
        <row r="321">
          <cell r="D321" t="e">
            <v>#N/A</v>
          </cell>
        </row>
        <row r="322">
          <cell r="C322" t="str">
            <v>Jusuf Charles Rumende (PN : 00059432)</v>
          </cell>
          <cell r="D322">
            <v>98.020304569999993</v>
          </cell>
        </row>
        <row r="323">
          <cell r="C323" t="str">
            <v>Jusuf Charles Rumende (PN : 00059432)</v>
          </cell>
          <cell r="D323">
            <v>96.63716814</v>
          </cell>
        </row>
        <row r="324">
          <cell r="C324" t="str">
            <v>Jusuf Charles Rumende (PN : 00059432)</v>
          </cell>
          <cell r="D324">
            <v>96.098484850000006</v>
          </cell>
        </row>
        <row r="325">
          <cell r="C325" t="str">
            <v>Jusuf Charles Rumende (PN : 00059432)</v>
          </cell>
          <cell r="D325">
            <v>98.537549409999997</v>
          </cell>
        </row>
        <row r="326">
          <cell r="C326" t="str">
            <v>Jusuf Charles Rumende (PN : 00059432)</v>
          </cell>
          <cell r="D326">
            <v>94.813278010000005</v>
          </cell>
        </row>
        <row r="327">
          <cell r="C327" t="str">
            <v>Jusuf Charles Rumende (PN : 00059432)</v>
          </cell>
          <cell r="D327">
            <v>98.181818179999993</v>
          </cell>
        </row>
        <row r="328">
          <cell r="C328" t="str">
            <v>Jusuf Charles Rumende (PN : 00059432)</v>
          </cell>
          <cell r="D328">
            <v>98.918918919999996</v>
          </cell>
        </row>
        <row r="329">
          <cell r="C329" t="str">
            <v>Jusuf Charles Rumende (PN : 00059432)</v>
          </cell>
          <cell r="D329">
            <v>97.476635509999994</v>
          </cell>
        </row>
        <row r="330">
          <cell r="C330" t="str">
            <v>Jusuf Charles Rumende (PN : 00059432)</v>
          </cell>
          <cell r="D330">
            <v>98.137931030000004</v>
          </cell>
        </row>
        <row r="331">
          <cell r="C331" t="str">
            <v>Jusuf Charles Rumende (PN : 00059432)</v>
          </cell>
          <cell r="D331">
            <v>98.371559629999993</v>
          </cell>
        </row>
        <row r="332">
          <cell r="C332" t="str">
            <v>Jusuf Charles Rumende (PN : 00059432)</v>
          </cell>
          <cell r="D332">
            <v>98.966942149999994</v>
          </cell>
        </row>
        <row r="333">
          <cell r="C333" t="str">
            <v>Jusuf Charles Rumende (PN : 00059432)</v>
          </cell>
          <cell r="D333">
            <v>97.529411760000002</v>
          </cell>
        </row>
        <row r="334">
          <cell r="C334" t="str">
            <v>Jusuf Charles Rumende (PN : 00059432)</v>
          </cell>
          <cell r="D334">
            <v>94.876033059999997</v>
          </cell>
        </row>
        <row r="335">
          <cell r="C335" t="str">
            <v>Jusuf Charles Rumende (PN : 00059432)</v>
          </cell>
          <cell r="D335">
            <v>98.607594939999998</v>
          </cell>
        </row>
        <row r="336">
          <cell r="C336" t="str">
            <v>Jusuf Charles Rumende (PN : 00059432)</v>
          </cell>
          <cell r="D336">
            <v>98.439306360000003</v>
          </cell>
        </row>
        <row r="337">
          <cell r="C337" t="str">
            <v>Jusuf Charles Rumende (PN : 00059432)</v>
          </cell>
          <cell r="D337">
            <v>96.351351350000002</v>
          </cell>
        </row>
        <row r="338">
          <cell r="C338" t="str">
            <v>Jusuf Charles Rumende (PN : 00059432)</v>
          </cell>
          <cell r="D338">
            <v>98.677685949999997</v>
          </cell>
        </row>
        <row r="339">
          <cell r="C339" t="str">
            <v>Jusuf Charles Rumende (PN : 00059432)</v>
          </cell>
          <cell r="D339">
            <v>98.582375479999996</v>
          </cell>
        </row>
        <row r="340">
          <cell r="C340" t="str">
            <v>Jusuf Charles Rumende (PN : 00059432)</v>
          </cell>
          <cell r="D340">
            <v>98.225806449999993</v>
          </cell>
        </row>
        <row r="341">
          <cell r="C341" t="str">
            <v>Jusuf Charles Rumende (PN : 00059432)</v>
          </cell>
          <cell r="D341">
            <v>99.285714290000001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98.338762209999999</v>
          </cell>
        </row>
        <row r="344">
          <cell r="C344" t="str">
            <v>Syamsul Arifianto</v>
          </cell>
          <cell r="D344">
            <v>96.129032260000002</v>
          </cell>
        </row>
        <row r="345">
          <cell r="C345" t="str">
            <v>Syamsul Arifianto</v>
          </cell>
          <cell r="D345">
            <v>96.40625</v>
          </cell>
        </row>
        <row r="346">
          <cell r="C346" t="str">
            <v>Syamsul Arifianto</v>
          </cell>
          <cell r="D346">
            <v>98.128834359999999</v>
          </cell>
        </row>
        <row r="347">
          <cell r="C347" t="str">
            <v>Syamsul Arifianto</v>
          </cell>
          <cell r="D347">
            <v>97.387820509999997</v>
          </cell>
        </row>
        <row r="348">
          <cell r="C348" t="str">
            <v>Syamsul Arifianto</v>
          </cell>
          <cell r="D348">
            <v>98.401084010000005</v>
          </cell>
        </row>
        <row r="349">
          <cell r="C349" t="str">
            <v>Syamsul Arifianto</v>
          </cell>
          <cell r="D349">
            <v>98.681318680000004</v>
          </cell>
        </row>
        <row r="350">
          <cell r="C350" t="str">
            <v>Syamsul Arifianto</v>
          </cell>
          <cell r="D350">
            <v>97.519685039999999</v>
          </cell>
        </row>
        <row r="351">
          <cell r="C351" t="str">
            <v>Syamsul Arifianto</v>
          </cell>
          <cell r="D351">
            <v>98.07692308</v>
          </cell>
        </row>
        <row r="352">
          <cell r="C352" t="str">
            <v>Syamsul Arifianto</v>
          </cell>
          <cell r="D352">
            <v>98.481012660000005</v>
          </cell>
        </row>
        <row r="353">
          <cell r="C353" t="str">
            <v>Syamsul Arifianto</v>
          </cell>
          <cell r="D353">
            <v>96.046511629999998</v>
          </cell>
        </row>
        <row r="354">
          <cell r="C354" t="str">
            <v>Veronica Dwi Kurniasih</v>
          </cell>
          <cell r="D354">
            <v>98.97654584</v>
          </cell>
        </row>
        <row r="355">
          <cell r="C355" t="str">
            <v>Veronica Dwi Kurniasih</v>
          </cell>
          <cell r="D355">
            <v>97.24770642</v>
          </cell>
        </row>
        <row r="356">
          <cell r="C356" t="str">
            <v>Veronica Dwi Kurniasih</v>
          </cell>
          <cell r="D356">
            <v>97.794117650000004</v>
          </cell>
        </row>
        <row r="357">
          <cell r="C357" t="str">
            <v>Veronica Dwi Kurniasih</v>
          </cell>
          <cell r="D357">
            <v>96.603773579999995</v>
          </cell>
        </row>
        <row r="358">
          <cell r="C358" t="str">
            <v>Veronica Dwi Kurniasih</v>
          </cell>
          <cell r="D358">
            <v>95.081967210000002</v>
          </cell>
        </row>
        <row r="359">
          <cell r="C359" t="str">
            <v>Veronica Dwi Kurniasih</v>
          </cell>
          <cell r="D359">
            <v>98.339350179999997</v>
          </cell>
        </row>
        <row r="360">
          <cell r="C360" t="str">
            <v>Veronica Dwi Kurniasih</v>
          </cell>
          <cell r="D360">
            <v>95.776255710000001</v>
          </cell>
        </row>
        <row r="361">
          <cell r="C361" t="str">
            <v>Veronica Dwi Kurniasih</v>
          </cell>
          <cell r="D361">
            <v>98.07692308</v>
          </cell>
        </row>
        <row r="362">
          <cell r="C362" t="str">
            <v>Veronica Dwi Kurniasih</v>
          </cell>
          <cell r="D362">
            <v>98.888888890000004</v>
          </cell>
        </row>
        <row r="363">
          <cell r="C363" t="str">
            <v>Veronica Dwi Kurniasih</v>
          </cell>
          <cell r="D363">
            <v>99.071428569999995</v>
          </cell>
        </row>
        <row r="364">
          <cell r="C364" t="str">
            <v>Veronica Dwi Kurniasih</v>
          </cell>
          <cell r="D364">
            <v>97.151162790000001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98.754208750000004</v>
          </cell>
        </row>
        <row r="367">
          <cell r="C367" t="str">
            <v>Asep Kristiono</v>
          </cell>
          <cell r="D367">
            <v>98.53470437</v>
          </cell>
        </row>
        <row r="368">
          <cell r="C368" t="str">
            <v>Asep Kristiono</v>
          </cell>
          <cell r="D368">
            <v>98.967136150000002</v>
          </cell>
        </row>
        <row r="369">
          <cell r="C369" t="str">
            <v>Asep Kristiono</v>
          </cell>
          <cell r="D369">
            <v>98.18897638</v>
          </cell>
        </row>
        <row r="370">
          <cell r="C370" t="str">
            <v>Asep Kristiono</v>
          </cell>
          <cell r="D370">
            <v>98.208333330000002</v>
          </cell>
        </row>
        <row r="371">
          <cell r="C371" t="str">
            <v>Asep Kristiono</v>
          </cell>
          <cell r="D371">
            <v>97.990654210000002</v>
          </cell>
        </row>
        <row r="372">
          <cell r="C372" t="str">
            <v>Asep Kristiono</v>
          </cell>
          <cell r="D372">
            <v>98.574610239999998</v>
          </cell>
        </row>
        <row r="373">
          <cell r="C373" t="str">
            <v>Asep Kristiono</v>
          </cell>
          <cell r="D373">
            <v>98.311111109999999</v>
          </cell>
        </row>
        <row r="374">
          <cell r="C374" t="str">
            <v>Asep Kristiono</v>
          </cell>
          <cell r="D374">
            <v>97.391304349999999</v>
          </cell>
        </row>
        <row r="375">
          <cell r="C375" t="str">
            <v>Asep Kristiono</v>
          </cell>
          <cell r="D375">
            <v>98.481012660000005</v>
          </cell>
        </row>
        <row r="376">
          <cell r="C376" t="str">
            <v>Asep Kristiono</v>
          </cell>
          <cell r="D376">
            <v>98.762886600000002</v>
          </cell>
        </row>
        <row r="377">
          <cell r="C377" t="str">
            <v>Dian Septianti</v>
          </cell>
          <cell r="D377">
            <v>98.502024289999994</v>
          </cell>
        </row>
        <row r="378">
          <cell r="C378" t="str">
            <v>Dian Septianti</v>
          </cell>
          <cell r="D378">
            <v>98.772563180000006</v>
          </cell>
        </row>
        <row r="379">
          <cell r="C379" t="str">
            <v>Dian Septianti</v>
          </cell>
          <cell r="D379">
            <v>98.932038829999996</v>
          </cell>
        </row>
        <row r="380">
          <cell r="C380" t="str">
            <v>Dian Septianti</v>
          </cell>
          <cell r="D380">
            <v>98.613861389999997</v>
          </cell>
        </row>
        <row r="381">
          <cell r="C381" t="str">
            <v>Dian Septianti</v>
          </cell>
          <cell r="D381">
            <v>98.986175119999999</v>
          </cell>
        </row>
        <row r="382">
          <cell r="C382" t="str">
            <v>Dian Septianti</v>
          </cell>
          <cell r="D382">
            <v>98.438818569999995</v>
          </cell>
        </row>
        <row r="383">
          <cell r="C383" t="str">
            <v>Dian Septianti</v>
          </cell>
          <cell r="D383">
            <v>97.621145369999994</v>
          </cell>
        </row>
        <row r="384">
          <cell r="C384" t="str">
            <v>Dian Septianti</v>
          </cell>
          <cell r="D384">
            <v>98.962962959999999</v>
          </cell>
        </row>
        <row r="385">
          <cell r="C385" t="str">
            <v>Dian Septianti</v>
          </cell>
          <cell r="D385">
            <v>98.4</v>
          </cell>
        </row>
        <row r="386">
          <cell r="C386" t="str">
            <v>Dian Septianti</v>
          </cell>
          <cell r="D386">
            <v>98.078602619999998</v>
          </cell>
        </row>
        <row r="387">
          <cell r="C387" t="str">
            <v>Dian Septianti</v>
          </cell>
          <cell r="D387">
            <v>98.129496399999994</v>
          </cell>
        </row>
        <row r="388">
          <cell r="C388" t="str">
            <v>Waras Suyitno</v>
          </cell>
          <cell r="D388">
            <v>98.902077149999997</v>
          </cell>
        </row>
        <row r="389">
          <cell r="C389" t="str">
            <v>Waras Suyitno</v>
          </cell>
          <cell r="D389">
            <v>98.84057971</v>
          </cell>
        </row>
        <row r="390">
          <cell r="C390" t="str">
            <v>Waras Suyitno</v>
          </cell>
          <cell r="D390">
            <v>98.675213679999999</v>
          </cell>
        </row>
        <row r="391">
          <cell r="C391" t="str">
            <v>Waras Suyitno</v>
          </cell>
          <cell r="D391">
            <v>98.496732030000004</v>
          </cell>
        </row>
        <row r="392">
          <cell r="C392" t="str">
            <v>Waras Suyitno</v>
          </cell>
          <cell r="D392">
            <v>98.314285709999993</v>
          </cell>
        </row>
        <row r="393">
          <cell r="C393" t="str">
            <v>Waras Suyitno</v>
          </cell>
          <cell r="D393">
            <v>97.868852459999999</v>
          </cell>
        </row>
        <row r="394">
          <cell r="C394" t="str">
            <v>Waras Suyitno</v>
          </cell>
          <cell r="D394">
            <v>97.610062889999995</v>
          </cell>
        </row>
        <row r="395">
          <cell r="C395" t="str">
            <v>Waras Suyitno</v>
          </cell>
          <cell r="D395">
            <v>98.4375</v>
          </cell>
        </row>
        <row r="396">
          <cell r="C396" t="str">
            <v>Waras Suyitno</v>
          </cell>
          <cell r="D396">
            <v>98.584615380000002</v>
          </cell>
        </row>
        <row r="397">
          <cell r="C397" t="str">
            <v>Waras Suyitno</v>
          </cell>
          <cell r="D397">
            <v>98.46153846</v>
          </cell>
        </row>
        <row r="398">
          <cell r="C398" t="str">
            <v>Waras Suyitno</v>
          </cell>
          <cell r="D398">
            <v>98.626760559999994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96.684782609999999</v>
          </cell>
        </row>
        <row r="401">
          <cell r="C401" t="str">
            <v>Moch. Arief Budiman</v>
          </cell>
          <cell r="D401">
            <v>96.255506609999998</v>
          </cell>
        </row>
        <row r="402">
          <cell r="C402" t="str">
            <v>Moch. Arief Budiman</v>
          </cell>
          <cell r="D402">
            <v>96.813417189999996</v>
          </cell>
        </row>
        <row r="403">
          <cell r="C403" t="str">
            <v>Moch. Arief Budiman</v>
          </cell>
          <cell r="D403">
            <v>96.631016040000006</v>
          </cell>
        </row>
        <row r="404">
          <cell r="C404" t="str">
            <v>Moch. Arief Budiman</v>
          </cell>
          <cell r="D404">
            <v>96.381909550000003</v>
          </cell>
        </row>
        <row r="405">
          <cell r="C405" t="str">
            <v>Moch. Arief Budiman</v>
          </cell>
          <cell r="D405">
            <v>91</v>
          </cell>
        </row>
        <row r="406">
          <cell r="C406" t="str">
            <v>Moch. Arief Budiman</v>
          </cell>
          <cell r="D406">
            <v>97.41258741</v>
          </cell>
        </row>
        <row r="407">
          <cell r="C407" t="str">
            <v>Moch. Arief Budiman</v>
          </cell>
          <cell r="D407">
            <v>96.335877859999997</v>
          </cell>
        </row>
        <row r="408">
          <cell r="C408" t="str">
            <v>Rukiyat Prihantoko</v>
          </cell>
          <cell r="D408">
            <v>99.162790700000002</v>
          </cell>
        </row>
        <row r="409">
          <cell r="C409" t="str">
            <v>Rukiyat Prihantoko</v>
          </cell>
          <cell r="D409">
            <v>95.853658539999998</v>
          </cell>
        </row>
        <row r="410">
          <cell r="C410" t="str">
            <v>Rukiyat Prihantoko</v>
          </cell>
          <cell r="D410">
            <v>97.857142859999996</v>
          </cell>
        </row>
        <row r="411">
          <cell r="C411" t="str">
            <v>Rukiyat Prihantoko</v>
          </cell>
          <cell r="D411">
            <v>96.115702479999996</v>
          </cell>
        </row>
        <row r="412">
          <cell r="C412" t="str">
            <v>Rukiyat Prihantoko</v>
          </cell>
          <cell r="D412">
            <v>97.066666670000004</v>
          </cell>
        </row>
        <row r="413">
          <cell r="C413" t="str">
            <v>Rukiyat Prihantoko</v>
          </cell>
          <cell r="D413">
            <v>95.420560750000007</v>
          </cell>
        </row>
        <row r="414">
          <cell r="C414" t="str">
            <v>Rukiyat Prihantoko</v>
          </cell>
          <cell r="D414">
            <v>95.8</v>
          </cell>
        </row>
        <row r="415">
          <cell r="C415" t="str">
            <v>Rukiyat Prihantoko</v>
          </cell>
          <cell r="D415">
            <v>95.116279070000004</v>
          </cell>
        </row>
        <row r="416">
          <cell r="C416" t="str">
            <v>Rukiyat Prihantoko</v>
          </cell>
          <cell r="D416">
            <v>97.833333330000002</v>
          </cell>
        </row>
        <row r="417">
          <cell r="C417" t="str">
            <v>Sutrisno Hadi Pranoto</v>
          </cell>
          <cell r="D417">
            <v>97.255369930000001</v>
          </cell>
        </row>
        <row r="418">
          <cell r="C418" t="str">
            <v>Sutrisno Hadi Pranoto</v>
          </cell>
          <cell r="D418">
            <v>96.738660909999993</v>
          </cell>
        </row>
        <row r="419">
          <cell r="C419" t="str">
            <v>Sutrisno Hadi Pranoto</v>
          </cell>
          <cell r="D419">
            <v>96.909090910000003</v>
          </cell>
        </row>
        <row r="420">
          <cell r="C420" t="str">
            <v>Sutrisno Hadi Pranoto</v>
          </cell>
          <cell r="D420">
            <v>92.918660290000005</v>
          </cell>
        </row>
        <row r="421">
          <cell r="C421" t="str">
            <v>Sutrisno Hadi Pranoto</v>
          </cell>
          <cell r="D421">
            <v>92.727272729999996</v>
          </cell>
        </row>
        <row r="422">
          <cell r="C422" t="str">
            <v>Sutrisno Hadi Pranoto</v>
          </cell>
          <cell r="D422">
            <v>95.723684210000002</v>
          </cell>
        </row>
        <row r="423">
          <cell r="C423" t="str">
            <v>Sutrisno Hadi Pranoto</v>
          </cell>
          <cell r="D423">
            <v>91.627906980000006</v>
          </cell>
        </row>
        <row r="424">
          <cell r="C424" t="str">
            <v>Sutrisno Hadi Pranoto</v>
          </cell>
          <cell r="D424">
            <v>96.403508770000002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98.439716309999994</v>
          </cell>
        </row>
        <row r="427">
          <cell r="C427" t="str">
            <v>Bambang Dwi Raharjo</v>
          </cell>
          <cell r="D427">
            <v>97.482014390000003</v>
          </cell>
        </row>
        <row r="428">
          <cell r="C428" t="str">
            <v>Bambang Dwi Raharjo</v>
          </cell>
          <cell r="D428">
            <v>96.300813009999999</v>
          </cell>
        </row>
        <row r="429">
          <cell r="C429" t="str">
            <v>Bambang Dwi Raharjo</v>
          </cell>
          <cell r="D429">
            <v>97.350746270000002</v>
          </cell>
        </row>
        <row r="430">
          <cell r="C430" t="str">
            <v>Bambang Dwi Raharjo</v>
          </cell>
          <cell r="D430">
            <v>98.592592589999995</v>
          </cell>
        </row>
        <row r="431">
          <cell r="C431" t="str">
            <v>Bambang Dwi Raharjo</v>
          </cell>
          <cell r="D431">
            <v>96.666666669999998</v>
          </cell>
        </row>
        <row r="432">
          <cell r="C432" t="str">
            <v>Herry Kurniawan</v>
          </cell>
          <cell r="D432">
            <v>97.815384620000003</v>
          </cell>
        </row>
        <row r="433">
          <cell r="C433" t="str">
            <v>Herry Kurniawan</v>
          </cell>
          <cell r="D433">
            <v>96.271186439999994</v>
          </cell>
        </row>
        <row r="434">
          <cell r="C434" t="str">
            <v>Herry Kurniawan</v>
          </cell>
          <cell r="D434">
            <v>96.744186049999996</v>
          </cell>
        </row>
        <row r="435">
          <cell r="C435" t="str">
            <v>Herry Kurniawan</v>
          </cell>
          <cell r="D435">
            <v>98.348623849999996</v>
          </cell>
        </row>
        <row r="436">
          <cell r="C436" t="str">
            <v>Herry Kurniawan</v>
          </cell>
          <cell r="D436">
            <v>94.537037040000001</v>
          </cell>
        </row>
        <row r="437">
          <cell r="C437" t="str">
            <v>Herry Kurniawan</v>
          </cell>
          <cell r="D437">
            <v>96.683417090000006</v>
          </cell>
        </row>
        <row r="438">
          <cell r="C438" t="str">
            <v>Richard Siburian</v>
          </cell>
          <cell r="D438">
            <v>97.101449279999997</v>
          </cell>
        </row>
        <row r="439">
          <cell r="C439" t="str">
            <v>Richard Siburian</v>
          </cell>
          <cell r="D439">
            <v>97.5</v>
          </cell>
        </row>
        <row r="440">
          <cell r="C440" t="str">
            <v>Richard Siburian</v>
          </cell>
          <cell r="D440">
            <v>99.338842979999995</v>
          </cell>
        </row>
        <row r="441">
          <cell r="C441" t="str">
            <v>Richard Siburian</v>
          </cell>
          <cell r="D441">
            <v>96.322314050000003</v>
          </cell>
        </row>
        <row r="442">
          <cell r="C442" t="str">
            <v>Richard Siburian</v>
          </cell>
          <cell r="D442">
            <v>97.916666669999998</v>
          </cell>
        </row>
        <row r="443">
          <cell r="C443" t="str">
            <v>Richard Siburian</v>
          </cell>
          <cell r="D443">
            <v>96.124401910000003</v>
          </cell>
        </row>
        <row r="444">
          <cell r="C444" t="str">
            <v>Zulkarnain</v>
          </cell>
          <cell r="D444">
            <v>94.556962029999994</v>
          </cell>
        </row>
        <row r="445">
          <cell r="C445" t="str">
            <v>Zulkarnain</v>
          </cell>
          <cell r="D445">
            <v>94.45</v>
          </cell>
        </row>
        <row r="446">
          <cell r="C446" t="str">
            <v>Zulkarnain</v>
          </cell>
          <cell r="D446">
            <v>95.953757229999994</v>
          </cell>
        </row>
        <row r="447">
          <cell r="C447" t="str">
            <v>Zulkarnain</v>
          </cell>
          <cell r="D447">
            <v>95.148514849999998</v>
          </cell>
        </row>
        <row r="448">
          <cell r="C448" t="str">
            <v>Zulkarnain</v>
          </cell>
          <cell r="D448">
            <v>97.777777779999994</v>
          </cell>
        </row>
        <row r="449">
          <cell r="C449" t="str">
            <v>Zulkarnain</v>
          </cell>
          <cell r="D449">
            <v>95.321100920000006</v>
          </cell>
        </row>
        <row r="450">
          <cell r="D450" t="e">
            <v>#N/A</v>
          </cell>
        </row>
        <row r="451">
          <cell r="C451" t="str">
            <v>Hany Pratiwi</v>
          </cell>
          <cell r="D451">
            <v>96.77248677</v>
          </cell>
        </row>
        <row r="452">
          <cell r="C452" t="str">
            <v>Hany Pratiwi</v>
          </cell>
          <cell r="D452">
            <v>95.779220780000003</v>
          </cell>
        </row>
        <row r="453">
          <cell r="C453" t="str">
            <v>Hany Pratiwi</v>
          </cell>
          <cell r="D453">
            <v>97.008547010000001</v>
          </cell>
        </row>
        <row r="454">
          <cell r="C454" t="str">
            <v>Hany Pratiwi</v>
          </cell>
          <cell r="D454">
            <v>96.978417269999994</v>
          </cell>
        </row>
        <row r="455">
          <cell r="C455" t="str">
            <v>Hany Pratiwi</v>
          </cell>
          <cell r="D455">
            <v>96.170212770000006</v>
          </cell>
        </row>
        <row r="456">
          <cell r="C456" t="str">
            <v>Hany Pratiwi</v>
          </cell>
          <cell r="D456">
            <v>96.896551720000005</v>
          </cell>
        </row>
        <row r="457">
          <cell r="C457" t="str">
            <v>Hany Pratiwi</v>
          </cell>
          <cell r="D457">
            <v>97.53846154</v>
          </cell>
        </row>
        <row r="458">
          <cell r="C458" t="str">
            <v>Hany Pratiwi</v>
          </cell>
          <cell r="D458">
            <v>95.946843849999993</v>
          </cell>
        </row>
        <row r="459">
          <cell r="C459" t="str">
            <v>Hany Pratiwi</v>
          </cell>
          <cell r="D459">
            <v>97.359550560000002</v>
          </cell>
        </row>
        <row r="460">
          <cell r="C460" t="str">
            <v>Hany Pratiwi</v>
          </cell>
          <cell r="D460">
            <v>96.725146199999998</v>
          </cell>
        </row>
        <row r="461">
          <cell r="C461" t="str">
            <v>Hany Pratiwi</v>
          </cell>
          <cell r="D461">
            <v>96.25</v>
          </cell>
        </row>
        <row r="462">
          <cell r="C462" t="str">
            <v>Reifika Dekrin</v>
          </cell>
          <cell r="D462">
            <v>98.363636360000001</v>
          </cell>
        </row>
        <row r="463">
          <cell r="C463" t="str">
            <v>Reifika Dekrin</v>
          </cell>
          <cell r="D463">
            <v>96.030534349999996</v>
          </cell>
        </row>
        <row r="464">
          <cell r="C464" t="str">
            <v>Reifika Dekrin</v>
          </cell>
          <cell r="D464">
            <v>96</v>
          </cell>
        </row>
        <row r="465">
          <cell r="C465" t="str">
            <v>Reifika Dekrin</v>
          </cell>
          <cell r="D465">
            <v>96.933333329999996</v>
          </cell>
        </row>
        <row r="466">
          <cell r="C466" t="str">
            <v>Reifika Dekrin</v>
          </cell>
          <cell r="D466">
            <v>97.344632770000004</v>
          </cell>
        </row>
        <row r="467">
          <cell r="C467" t="str">
            <v>Reifika Dekrin</v>
          </cell>
          <cell r="D467">
            <v>96.627218929999998</v>
          </cell>
        </row>
        <row r="468">
          <cell r="C468" t="str">
            <v>Reifika Dekrin</v>
          </cell>
          <cell r="D468">
            <v>97.142857140000004</v>
          </cell>
        </row>
        <row r="469">
          <cell r="C469" t="str">
            <v>Reifika Dekrin</v>
          </cell>
          <cell r="D469">
            <v>97.958115179999993</v>
          </cell>
        </row>
        <row r="470">
          <cell r="C470" t="str">
            <v>Reifika Dekrin</v>
          </cell>
          <cell r="D470">
            <v>96.946107780000006</v>
          </cell>
        </row>
        <row r="471">
          <cell r="C471" t="str">
            <v>Reifika Dekrin</v>
          </cell>
          <cell r="D471">
            <v>95.333333330000002</v>
          </cell>
        </row>
        <row r="472">
          <cell r="C472" t="str">
            <v>Reifika Dekrin</v>
          </cell>
          <cell r="D472">
            <v>96.323529410000006</v>
          </cell>
        </row>
      </sheetData>
      <sheetData sheetId="9">
        <row r="2">
          <cell r="C2" t="str">
            <v>Andi Faisal Putra</v>
          </cell>
          <cell r="D2">
            <v>0.52747252747252749</v>
          </cell>
        </row>
        <row r="3">
          <cell r="C3" t="str">
            <v>Andi Faisal Putra</v>
          </cell>
          <cell r="D3">
            <v>0.62962962962962965</v>
          </cell>
        </row>
        <row r="4">
          <cell r="C4" t="str">
            <v>Andi Faisal Putra</v>
          </cell>
          <cell r="D4">
            <v>0.97159090909090906</v>
          </cell>
        </row>
        <row r="5">
          <cell r="C5" t="str">
            <v>Andi Faisal Putra</v>
          </cell>
          <cell r="D5">
            <v>0.67785234899328861</v>
          </cell>
        </row>
        <row r="6">
          <cell r="C6" t="str">
            <v>Andi Faisal Putra</v>
          </cell>
          <cell r="D6">
            <v>0.5</v>
          </cell>
        </row>
        <row r="7">
          <cell r="C7" t="str">
            <v>Andi Faisal Putra</v>
          </cell>
          <cell r="D7">
            <v>0.63636363636363635</v>
          </cell>
        </row>
        <row r="8">
          <cell r="C8" t="str">
            <v>Andi Faisal Putra</v>
          </cell>
          <cell r="D8">
            <v>0.58375634517766495</v>
          </cell>
        </row>
        <row r="9">
          <cell r="C9" t="str">
            <v>Andi Faisal Putra</v>
          </cell>
          <cell r="D9">
            <v>0.60869565217391308</v>
          </cell>
        </row>
        <row r="10">
          <cell r="C10" t="str">
            <v>Andi Faisal Putra</v>
          </cell>
          <cell r="D10">
            <v>0.22289156626506024</v>
          </cell>
        </row>
        <row r="11">
          <cell r="C11" t="str">
            <v>Andi Faisal Putra</v>
          </cell>
          <cell r="D11">
            <v>0.8545454545454545</v>
          </cell>
        </row>
        <row r="12">
          <cell r="C12" t="str">
            <v>Andi Perkasa</v>
          </cell>
          <cell r="D12">
            <v>1</v>
          </cell>
        </row>
        <row r="13">
          <cell r="C13" t="str">
            <v>Andi Perkasa</v>
          </cell>
          <cell r="D13">
            <v>0.8045977011494253</v>
          </cell>
        </row>
        <row r="14">
          <cell r="C14" t="str">
            <v>Andi Perkasa</v>
          </cell>
          <cell r="D14">
            <v>0.75151515151515147</v>
          </cell>
        </row>
        <row r="15">
          <cell r="C15" t="str">
            <v>Andi Perkasa</v>
          </cell>
          <cell r="D15">
            <v>0.57936507936507942</v>
          </cell>
        </row>
        <row r="16">
          <cell r="C16" t="str">
            <v>Andi Perkasa</v>
          </cell>
          <cell r="D16">
            <v>0.7142857142857143</v>
          </cell>
        </row>
        <row r="17">
          <cell r="C17" t="str">
            <v>Andi Perkasa</v>
          </cell>
          <cell r="D17">
            <v>7.792207792207792E-2</v>
          </cell>
        </row>
        <row r="18">
          <cell r="C18" t="str">
            <v>Andi Perkasa</v>
          </cell>
          <cell r="D18">
            <v>0.82901554404145072</v>
          </cell>
        </row>
        <row r="19">
          <cell r="C19" t="str">
            <v>Andi Perkasa</v>
          </cell>
          <cell r="D19">
            <v>0.23529411764705882</v>
          </cell>
        </row>
        <row r="20">
          <cell r="C20" t="str">
            <v>Andi Perkasa</v>
          </cell>
          <cell r="D20">
            <v>0.51091703056768556</v>
          </cell>
        </row>
        <row r="21">
          <cell r="C21" t="str">
            <v>Janse Paburru</v>
          </cell>
          <cell r="D21">
            <v>0.63921568627450975</v>
          </cell>
        </row>
        <row r="22">
          <cell r="C22" t="str">
            <v>Janse Paburru</v>
          </cell>
          <cell r="D22">
            <v>0.4375</v>
          </cell>
        </row>
        <row r="23">
          <cell r="C23" t="str">
            <v>Janse Paburru</v>
          </cell>
          <cell r="D23">
            <v>0.85798816568047342</v>
          </cell>
        </row>
        <row r="24">
          <cell r="C24" t="str">
            <v>Janse Paburru</v>
          </cell>
          <cell r="D24">
            <v>0.796875</v>
          </cell>
        </row>
        <row r="25">
          <cell r="C25" t="str">
            <v>Janse Paburru</v>
          </cell>
          <cell r="D25">
            <v>0.54978354978354982</v>
          </cell>
        </row>
        <row r="26">
          <cell r="C26" t="str">
            <v>Janse Paburru</v>
          </cell>
          <cell r="D26">
            <v>0.64192139737991272</v>
          </cell>
        </row>
        <row r="27">
          <cell r="C27" t="str">
            <v>Janse Paburru</v>
          </cell>
          <cell r="D27">
            <v>0.93069306930693074</v>
          </cell>
        </row>
        <row r="28">
          <cell r="C28" t="str">
            <v>Janse Paburru</v>
          </cell>
          <cell r="D28">
            <v>0.93939393939393945</v>
          </cell>
        </row>
        <row r="29">
          <cell r="C29" t="str">
            <v>M Sardi Rampo</v>
          </cell>
          <cell r="D29">
            <v>0.96124031007751942</v>
          </cell>
        </row>
        <row r="30">
          <cell r="C30" t="str">
            <v>M Sardi Rampo</v>
          </cell>
          <cell r="D30">
            <v>0.99056603773584906</v>
          </cell>
        </row>
        <row r="31">
          <cell r="C31" t="str">
            <v>M Sardi Rampo</v>
          </cell>
          <cell r="D31">
            <v>0.71563981042654023</v>
          </cell>
        </row>
        <row r="32">
          <cell r="C32" t="str">
            <v>M Sardi Rampo</v>
          </cell>
          <cell r="D32">
            <v>0.96071428571428574</v>
          </cell>
        </row>
        <row r="33">
          <cell r="C33" t="str">
            <v>M Sardi Rampo</v>
          </cell>
          <cell r="D33">
            <v>0.60924369747899154</v>
          </cell>
        </row>
        <row r="34">
          <cell r="C34" t="str">
            <v>M Sardi Rampo</v>
          </cell>
          <cell r="D34">
            <v>0.99465240641711228</v>
          </cell>
        </row>
        <row r="35">
          <cell r="C35" t="str">
            <v>M Sardi Rampo</v>
          </cell>
          <cell r="D35">
            <v>0.94581280788177335</v>
          </cell>
        </row>
        <row r="36">
          <cell r="C36" t="str">
            <v>M Sardi Rampo</v>
          </cell>
          <cell r="D36">
            <v>0.87562189054726369</v>
          </cell>
        </row>
        <row r="37">
          <cell r="C37" t="str">
            <v>M Sardi Rampo</v>
          </cell>
          <cell r="D37">
            <v>0.91256830601092898</v>
          </cell>
        </row>
        <row r="38">
          <cell r="C38" t="str">
            <v>M Sardi Rampo</v>
          </cell>
          <cell r="D38">
            <v>0.875</v>
          </cell>
        </row>
        <row r="40">
          <cell r="C40" t="str">
            <v>Ariyanto B</v>
          </cell>
          <cell r="D40">
            <v>1</v>
          </cell>
        </row>
        <row r="41">
          <cell r="C41" t="str">
            <v>Ariyanto B</v>
          </cell>
          <cell r="D41">
            <v>0.98909090909090913</v>
          </cell>
        </row>
        <row r="42">
          <cell r="C42" t="str">
            <v>Ariyanto B</v>
          </cell>
          <cell r="D42">
            <v>0.99090909090909096</v>
          </cell>
        </row>
        <row r="43">
          <cell r="C43" t="str">
            <v>Ariyanto B</v>
          </cell>
          <cell r="D43">
            <v>1</v>
          </cell>
        </row>
        <row r="44">
          <cell r="C44" t="str">
            <v>Ariyanto B</v>
          </cell>
          <cell r="D44">
            <v>0.96354166666666663</v>
          </cell>
        </row>
        <row r="45">
          <cell r="C45" t="str">
            <v>Ariyanto B</v>
          </cell>
          <cell r="D45">
            <v>0.99545454545454548</v>
          </cell>
        </row>
        <row r="46">
          <cell r="C46" t="str">
            <v>Ariyanto B</v>
          </cell>
          <cell r="D46">
            <v>0.9882352941176471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1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1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0.98479087452471481</v>
          </cell>
        </row>
        <row r="53">
          <cell r="C53" t="str">
            <v>Ryan Fabella Lisa</v>
          </cell>
          <cell r="D53">
            <v>1</v>
          </cell>
        </row>
        <row r="55">
          <cell r="C55" t="str">
            <v>Rinaldi Wicaksana</v>
          </cell>
          <cell r="D55">
            <v>0.83832335329341312</v>
          </cell>
        </row>
        <row r="56">
          <cell r="C56" t="str">
            <v>Rinaldi Wicaksana</v>
          </cell>
          <cell r="D56">
            <v>0.71264367816091956</v>
          </cell>
        </row>
        <row r="57">
          <cell r="C57" t="str">
            <v>Rinaldi Wicaksana</v>
          </cell>
          <cell r="D57">
            <v>0.9642857142857143</v>
          </cell>
        </row>
        <row r="58">
          <cell r="C58" t="str">
            <v>Rinaldi Wicaksana</v>
          </cell>
          <cell r="D58">
            <v>0.9213483146067416</v>
          </cell>
        </row>
        <row r="59">
          <cell r="C59" t="str">
            <v>Rinaldi Wicaksana</v>
          </cell>
          <cell r="D59">
            <v>0.9358974358974359</v>
          </cell>
        </row>
        <row r="60">
          <cell r="C60" t="str">
            <v>Rinaldi Wicaksana</v>
          </cell>
          <cell r="D60">
            <v>0.91095890410958902</v>
          </cell>
        </row>
        <row r="61">
          <cell r="C61" t="str">
            <v>Rinaldi Wicaksana</v>
          </cell>
          <cell r="D61">
            <v>0.74162679425837319</v>
          </cell>
        </row>
        <row r="62">
          <cell r="C62" t="str">
            <v>Rinaldi Wicaksana</v>
          </cell>
          <cell r="D62">
            <v>0.83471074380165289</v>
          </cell>
        </row>
        <row r="63">
          <cell r="C63" t="str">
            <v>Rinaldi Wicaksana</v>
          </cell>
          <cell r="D63">
            <v>0.97241379310344822</v>
          </cell>
        </row>
        <row r="64">
          <cell r="C64" t="str">
            <v>Rinaldi Wicaksana</v>
          </cell>
          <cell r="D64">
            <v>0.96610169491525422</v>
          </cell>
        </row>
        <row r="65">
          <cell r="C65" t="str">
            <v>Rinaldi Wicaksana</v>
          </cell>
          <cell r="D65">
            <v>0.94273127753303965</v>
          </cell>
        </row>
        <row r="66">
          <cell r="C66" t="str">
            <v>Rinaldi Wicaksana</v>
          </cell>
          <cell r="D66">
            <v>0.86466165413533835</v>
          </cell>
        </row>
        <row r="67">
          <cell r="C67" t="str">
            <v>Rinaldi Wicaksana</v>
          </cell>
          <cell r="D67">
            <v>0.83132530120481929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1</v>
          </cell>
        </row>
        <row r="70">
          <cell r="C70" t="str">
            <v>Imelda Mayestika P.</v>
          </cell>
          <cell r="D70">
            <v>0.94904458598726116</v>
          </cell>
        </row>
        <row r="71">
          <cell r="C71" t="str">
            <v>Imelda Mayestika P.</v>
          </cell>
          <cell r="D71">
            <v>0.98245614035087714</v>
          </cell>
        </row>
        <row r="72">
          <cell r="C72" t="str">
            <v>Imelda Mayestika P.</v>
          </cell>
          <cell r="D72">
            <v>0.98726114649681529</v>
          </cell>
        </row>
        <row r="73">
          <cell r="C73" t="str">
            <v>Imelda Mayestika P.</v>
          </cell>
          <cell r="D73">
            <v>0.93430656934306566</v>
          </cell>
        </row>
        <row r="74">
          <cell r="C74" t="str">
            <v>Imelda Mayestika P.</v>
          </cell>
          <cell r="D74">
            <v>1</v>
          </cell>
        </row>
        <row r="75">
          <cell r="C75" t="str">
            <v>Imelda Mayestika P.</v>
          </cell>
          <cell r="D75">
            <v>0.96506550218340614</v>
          </cell>
        </row>
        <row r="76">
          <cell r="C76" t="str">
            <v>Imelda Mayestika P.</v>
          </cell>
          <cell r="D76">
            <v>0.86974789915966388</v>
          </cell>
        </row>
        <row r="77">
          <cell r="C77" t="str">
            <v>Imelda Mayestika P.</v>
          </cell>
          <cell r="D77">
            <v>0.99331103678929766</v>
          </cell>
        </row>
        <row r="78">
          <cell r="C78" t="str">
            <v>Imelda Mayestika P.</v>
          </cell>
          <cell r="D78">
            <v>0.91034482758620694</v>
          </cell>
        </row>
        <row r="79">
          <cell r="C79" t="str">
            <v>Imelda Mayestika P.</v>
          </cell>
          <cell r="D79">
            <v>1</v>
          </cell>
        </row>
        <row r="80">
          <cell r="C80" t="str">
            <v>Imelda Mayestika P.</v>
          </cell>
          <cell r="D80">
            <v>0.99059561128526641</v>
          </cell>
        </row>
        <row r="81">
          <cell r="C81" t="str">
            <v>Imelda Mayestika P.</v>
          </cell>
          <cell r="D81">
            <v>1</v>
          </cell>
        </row>
        <row r="82">
          <cell r="C82" t="str">
            <v>Imelda Mayestika P.</v>
          </cell>
          <cell r="D82">
            <v>0.97841726618705038</v>
          </cell>
        </row>
        <row r="83">
          <cell r="C83" t="str">
            <v>Imelda Mayestika P.</v>
          </cell>
          <cell r="D83">
            <v>1</v>
          </cell>
        </row>
        <row r="84">
          <cell r="C84" t="str">
            <v>Imelda Mayestika P.</v>
          </cell>
          <cell r="D84">
            <v>1</v>
          </cell>
        </row>
        <row r="85">
          <cell r="C85" t="str">
            <v>Imelda Mayestika P.</v>
          </cell>
          <cell r="D85">
            <v>0.98076923076923073</v>
          </cell>
        </row>
        <row r="86">
          <cell r="C86" t="str">
            <v>Imelda Mayestika P.</v>
          </cell>
          <cell r="D86">
            <v>0.93243243243243246</v>
          </cell>
        </row>
        <row r="87">
          <cell r="C87" t="str">
            <v>Imelda Mayestika P.</v>
          </cell>
          <cell r="D87">
            <v>0.98360655737704916</v>
          </cell>
        </row>
        <row r="88">
          <cell r="C88" t="str">
            <v>Imelda Mayestika P.</v>
          </cell>
          <cell r="D88">
            <v>1</v>
          </cell>
        </row>
        <row r="89">
          <cell r="C89" t="str">
            <v>Imelda Mayestika P.</v>
          </cell>
          <cell r="D89">
            <v>0.97005988023952094</v>
          </cell>
        </row>
        <row r="90">
          <cell r="C90" t="str">
            <v>Imelda Mayestika P.</v>
          </cell>
          <cell r="D90">
            <v>1</v>
          </cell>
        </row>
        <row r="91">
          <cell r="C91" t="str">
            <v>Imelda Mayestika P.</v>
          </cell>
          <cell r="D91">
            <v>0.95424836601307195</v>
          </cell>
        </row>
        <row r="92">
          <cell r="C92" t="str">
            <v>Imelda Mayestika P.</v>
          </cell>
          <cell r="D92">
            <v>1</v>
          </cell>
        </row>
        <row r="93">
          <cell r="C93" t="str">
            <v>Imelda Mayestika P.</v>
          </cell>
          <cell r="D93">
            <v>0.97647058823529409</v>
          </cell>
        </row>
        <row r="94">
          <cell r="C94" t="str">
            <v>Imelda Mayestika P.</v>
          </cell>
          <cell r="D94">
            <v>0.75</v>
          </cell>
        </row>
        <row r="95">
          <cell r="C95" t="str">
            <v>Imelda Mayestika P.</v>
          </cell>
          <cell r="D95">
            <v>0.91111111111111109</v>
          </cell>
        </row>
        <row r="96">
          <cell r="C96" t="str">
            <v>Imelda Mayestika P.</v>
          </cell>
          <cell r="D96">
            <v>0.98684210526315785</v>
          </cell>
        </row>
        <row r="97">
          <cell r="C97" t="str">
            <v>Imelda Mayestika P.</v>
          </cell>
          <cell r="D97">
            <v>1</v>
          </cell>
        </row>
        <row r="98">
          <cell r="C98" t="str">
            <v>Imelda Mayestika P.</v>
          </cell>
          <cell r="D98">
            <v>0.95945945945945943</v>
          </cell>
        </row>
        <row r="99">
          <cell r="C99" t="str">
            <v>Imelda Mayestika P.</v>
          </cell>
          <cell r="D99">
            <v>1</v>
          </cell>
        </row>
        <row r="100">
          <cell r="C100" t="str">
            <v>Imelda Mayestika P.</v>
          </cell>
          <cell r="D100">
            <v>0.97142857142857142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0.984375</v>
          </cell>
        </row>
        <row r="103">
          <cell r="C103" t="str">
            <v>I Made Budiartha</v>
          </cell>
          <cell r="D103">
            <v>0.984375</v>
          </cell>
        </row>
        <row r="104">
          <cell r="C104" t="str">
            <v>I Made Budiartha</v>
          </cell>
          <cell r="D104">
            <v>0.80921052631578949</v>
          </cell>
        </row>
        <row r="105">
          <cell r="C105" t="str">
            <v>Dewa Nyoman Wedana</v>
          </cell>
          <cell r="D105">
            <v>0.97169811320754718</v>
          </cell>
        </row>
        <row r="106">
          <cell r="C106" t="str">
            <v>Dewa Nyoman Wedana</v>
          </cell>
          <cell r="D106">
            <v>0.95306859205776173</v>
          </cell>
        </row>
        <row r="107">
          <cell r="C107" t="str">
            <v>Ida Bagus Pidada Manuaba</v>
          </cell>
          <cell r="D107">
            <v>0.98069498069498073</v>
          </cell>
        </row>
        <row r="108">
          <cell r="C108" t="str">
            <v>Ida Bagus Pidada Manuaba</v>
          </cell>
          <cell r="D108">
            <v>0.95620437956204385</v>
          </cell>
        </row>
        <row r="109">
          <cell r="C109" t="str">
            <v>Dewa Nyoman Wedana</v>
          </cell>
          <cell r="D109">
            <v>0.99082568807339455</v>
          </cell>
        </row>
        <row r="110">
          <cell r="C110" t="str">
            <v>I Made Budiartha</v>
          </cell>
          <cell r="D110">
            <v>0.81818181818181823</v>
          </cell>
        </row>
        <row r="111">
          <cell r="C111" t="str">
            <v>I Made Budiartha</v>
          </cell>
          <cell r="D111">
            <v>0.97468354430379744</v>
          </cell>
        </row>
        <row r="112">
          <cell r="C112" t="str">
            <v>Dewa Nyoman Wedana</v>
          </cell>
          <cell r="D112">
            <v>0.48181818181818181</v>
          </cell>
        </row>
        <row r="113">
          <cell r="C113" t="str">
            <v>Dewa Nyoman Wedana</v>
          </cell>
          <cell r="D113">
            <v>0.97391304347826091</v>
          </cell>
        </row>
        <row r="114">
          <cell r="C114" t="str">
            <v>I Made Budiartha</v>
          </cell>
          <cell r="D114">
            <v>0.39202657807308972</v>
          </cell>
        </row>
        <row r="115">
          <cell r="C115" t="str">
            <v>I Made Budiartha</v>
          </cell>
          <cell r="D115">
            <v>0.94545454545454544</v>
          </cell>
        </row>
        <row r="116">
          <cell r="C116" t="str">
            <v>I Made Budiartha</v>
          </cell>
          <cell r="D116">
            <v>0.85263157894736841</v>
          </cell>
        </row>
        <row r="117">
          <cell r="C117" t="str">
            <v>Ida Bagus Pidada Manuaba</v>
          </cell>
          <cell r="D117">
            <v>0.93902439024390238</v>
          </cell>
        </row>
        <row r="118">
          <cell r="C118" t="str">
            <v>Ida Bagus Pidada Manuaba</v>
          </cell>
          <cell r="D118">
            <v>0.84482758620689657</v>
          </cell>
        </row>
        <row r="119">
          <cell r="C119" t="str">
            <v>I Made Budiartha</v>
          </cell>
          <cell r="D119">
            <v>0.98113207547169812</v>
          </cell>
        </row>
        <row r="120">
          <cell r="C120" t="str">
            <v>Dewa Nyoman Wedana</v>
          </cell>
          <cell r="D120">
            <v>0.80612244897959184</v>
          </cell>
        </row>
        <row r="121">
          <cell r="C121" t="str">
            <v>Ida Bagus Pidada Manuaba</v>
          </cell>
          <cell r="D121">
            <v>0.98780487804878048</v>
          </cell>
        </row>
        <row r="122">
          <cell r="C122" t="str">
            <v>Dewa Nyoman Wedana</v>
          </cell>
          <cell r="D122">
            <v>0.62179487179487181</v>
          </cell>
        </row>
        <row r="123">
          <cell r="C123" t="str">
            <v>I Made Budiartha</v>
          </cell>
          <cell r="D123">
            <v>0.81276595744680846</v>
          </cell>
        </row>
        <row r="124">
          <cell r="C124" t="str">
            <v>I Made Budiartha</v>
          </cell>
          <cell r="D124">
            <v>0.92366412213740456</v>
          </cell>
        </row>
        <row r="125">
          <cell r="C125" t="str">
            <v>Ida Bagus Pidada Manuaba</v>
          </cell>
          <cell r="D125">
            <v>0.97069597069597069</v>
          </cell>
        </row>
        <row r="126">
          <cell r="C126" t="str">
            <v>I Made Budiartha</v>
          </cell>
          <cell r="D126">
            <v>0.59322033898305082</v>
          </cell>
        </row>
        <row r="127">
          <cell r="C127" t="str">
            <v>I Made Budiartha</v>
          </cell>
          <cell r="D127">
            <v>0.7890625</v>
          </cell>
        </row>
        <row r="128">
          <cell r="C128" t="str">
            <v>Dewa Nyoman Wedana</v>
          </cell>
          <cell r="D128">
            <v>0.91911764705882348</v>
          </cell>
        </row>
        <row r="129">
          <cell r="C129" t="str">
            <v>I Made Budiartha</v>
          </cell>
          <cell r="D129">
            <v>1</v>
          </cell>
        </row>
        <row r="130">
          <cell r="C130" t="str">
            <v>Dewa Nyoman Wedana</v>
          </cell>
          <cell r="D130">
            <v>0.9</v>
          </cell>
        </row>
        <row r="131">
          <cell r="C131" t="str">
            <v>Dewa Nyoman Wedana</v>
          </cell>
          <cell r="D131">
            <v>0.93617021276595747</v>
          </cell>
        </row>
        <row r="132">
          <cell r="C132" t="str">
            <v>Ida Bagus Pidada Manuaba</v>
          </cell>
          <cell r="D132">
            <v>0.5663716814159292</v>
          </cell>
        </row>
        <row r="133">
          <cell r="C133" t="str">
            <v>Dewa Nyoman Wedana</v>
          </cell>
          <cell r="D133">
            <v>0.68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0.98684210526315785</v>
          </cell>
        </row>
        <row r="136">
          <cell r="C136" t="str">
            <v>Boby Sukmawijaya</v>
          </cell>
          <cell r="D136">
            <v>0.85344827586206895</v>
          </cell>
        </row>
        <row r="137">
          <cell r="C137" t="str">
            <v>Boby Sukmawijaya</v>
          </cell>
          <cell r="D137">
            <v>0.98007968127490042</v>
          </cell>
        </row>
        <row r="138">
          <cell r="C138" t="str">
            <v>Boby Sukmawijaya</v>
          </cell>
          <cell r="D138">
            <v>1</v>
          </cell>
        </row>
        <row r="139">
          <cell r="C139" t="str">
            <v>Boby Sukmawijaya</v>
          </cell>
          <cell r="D139">
            <v>1</v>
          </cell>
        </row>
        <row r="140">
          <cell r="C140" t="str">
            <v>Boby Sukmawijaya</v>
          </cell>
          <cell r="D140">
            <v>0.98230088495575218</v>
          </cell>
        </row>
        <row r="141">
          <cell r="C141" t="str">
            <v>Boby Sukmawijaya</v>
          </cell>
          <cell r="D141">
            <v>0.9513513513513514</v>
          </cell>
        </row>
        <row r="142">
          <cell r="C142" t="str">
            <v>Boby Sukmawijaya</v>
          </cell>
          <cell r="D142">
            <v>0.92907801418439717</v>
          </cell>
        </row>
        <row r="143">
          <cell r="C143" t="str">
            <v>Boby Sukmawijaya</v>
          </cell>
          <cell r="D143">
            <v>0.99199999999999999</v>
          </cell>
        </row>
        <row r="144">
          <cell r="C144" t="str">
            <v>Boby Sukmawijaya</v>
          </cell>
          <cell r="D144">
            <v>0.98165137614678899</v>
          </cell>
        </row>
        <row r="145">
          <cell r="C145" t="str">
            <v>Boby Sukmawijaya</v>
          </cell>
          <cell r="D145">
            <v>0.94623655913978499</v>
          </cell>
        </row>
        <row r="146">
          <cell r="C146" t="str">
            <v>Boby Sukmawijaya</v>
          </cell>
          <cell r="D146">
            <v>0.99180327868852458</v>
          </cell>
        </row>
        <row r="147">
          <cell r="C147" t="str">
            <v>Boby Sukmawijaya</v>
          </cell>
          <cell r="D147">
            <v>0.94680851063829785</v>
          </cell>
        </row>
        <row r="148">
          <cell r="C148" t="str">
            <v>Boby Sukmawijaya</v>
          </cell>
          <cell r="D148">
            <v>0.95378151260504207</v>
          </cell>
        </row>
        <row r="149">
          <cell r="C149" t="str">
            <v>Boby Sukmawijaya</v>
          </cell>
          <cell r="D149">
            <v>0.96226415094339623</v>
          </cell>
        </row>
        <row r="150">
          <cell r="C150" t="str">
            <v>Boby Sukmawijaya</v>
          </cell>
          <cell r="D150">
            <v>1</v>
          </cell>
        </row>
        <row r="151">
          <cell r="C151" t="str">
            <v>Boby Sukmawijaya</v>
          </cell>
          <cell r="D151">
            <v>0.96240601503759393</v>
          </cell>
        </row>
        <row r="152">
          <cell r="C152" t="str">
            <v>Boby Sukmawijaya</v>
          </cell>
          <cell r="D152">
            <v>0.97244094488188981</v>
          </cell>
        </row>
        <row r="153">
          <cell r="C153" t="str">
            <v>Boby Sukmawijaya</v>
          </cell>
          <cell r="D153">
            <v>0.79562043795620441</v>
          </cell>
        </row>
        <row r="154">
          <cell r="C154" t="str">
            <v>Boby Sukmawijaya</v>
          </cell>
          <cell r="D154">
            <v>0.96153846153846156</v>
          </cell>
        </row>
        <row r="155">
          <cell r="C155" t="str">
            <v>Boby Sukmawijaya</v>
          </cell>
          <cell r="D155">
            <v>1</v>
          </cell>
        </row>
        <row r="156">
          <cell r="C156" t="str">
            <v>Boby Sukmawijaya</v>
          </cell>
          <cell r="D156">
            <v>0.58666666666666667</v>
          </cell>
        </row>
        <row r="157">
          <cell r="C157" t="str">
            <v>Boby Sukmawijaya</v>
          </cell>
          <cell r="D157">
            <v>1</v>
          </cell>
        </row>
        <row r="158">
          <cell r="C158" t="str">
            <v>Boby Sukmawijaya</v>
          </cell>
          <cell r="D158">
            <v>0.92125984251968507</v>
          </cell>
        </row>
        <row r="159">
          <cell r="C159" t="str">
            <v>Boby Sukmawijaya</v>
          </cell>
          <cell r="D159">
            <v>1</v>
          </cell>
        </row>
        <row r="160">
          <cell r="C160" t="str">
            <v>Boby Sukmawijaya</v>
          </cell>
          <cell r="D160">
            <v>0.95360824742268047</v>
          </cell>
        </row>
        <row r="161">
          <cell r="C161" t="str">
            <v>Boby Sukmawijaya</v>
          </cell>
          <cell r="D161">
            <v>1</v>
          </cell>
        </row>
        <row r="162">
          <cell r="C162" t="str">
            <v>Boby Sukmawijaya</v>
          </cell>
          <cell r="D162">
            <v>0.9887640449438202</v>
          </cell>
        </row>
        <row r="163">
          <cell r="C163" t="str">
            <v>Boby Sukmawijaya</v>
          </cell>
          <cell r="D163">
            <v>0.9296875</v>
          </cell>
        </row>
        <row r="164">
          <cell r="C164" t="str">
            <v>Boby Sukmawijaya</v>
          </cell>
          <cell r="D164">
            <v>0.98581560283687941</v>
          </cell>
        </row>
        <row r="165">
          <cell r="C165" t="str">
            <v>Boby Sukmawijaya</v>
          </cell>
          <cell r="D165">
            <v>0.59562841530054644</v>
          </cell>
        </row>
        <row r="166">
          <cell r="C166" t="str">
            <v>Boby Sukmawijaya</v>
          </cell>
          <cell r="D166">
            <v>0.98870056497175141</v>
          </cell>
        </row>
        <row r="167">
          <cell r="C167" t="str">
            <v>Boby Sukmawijaya</v>
          </cell>
          <cell r="D167">
            <v>0.99636363636363634</v>
          </cell>
        </row>
        <row r="168">
          <cell r="C168" t="str">
            <v>Boby Sukmawijaya</v>
          </cell>
          <cell r="D168">
            <v>0.66666666666666663</v>
          </cell>
        </row>
        <row r="169">
          <cell r="C169" t="str">
            <v>Boby Sukmawijaya</v>
          </cell>
          <cell r="D169">
            <v>0.78431372549019607</v>
          </cell>
        </row>
        <row r="170">
          <cell r="C170" t="str">
            <v>Boby Sukmawijaya</v>
          </cell>
          <cell r="D170">
            <v>0.96825396825396826</v>
          </cell>
        </row>
        <row r="171">
          <cell r="C171" t="str">
            <v>Boby Sukmawijaya</v>
          </cell>
          <cell r="D171">
            <v>0.89411764705882357</v>
          </cell>
        </row>
        <row r="172">
          <cell r="C172" t="str">
            <v>Boby Sukmawijaya</v>
          </cell>
          <cell r="D172">
            <v>0.99543378995433784</v>
          </cell>
        </row>
        <row r="173">
          <cell r="C173" t="str">
            <v>Boby Sukmawijaya</v>
          </cell>
          <cell r="D173">
            <v>0.98717948717948723</v>
          </cell>
        </row>
        <row r="174">
          <cell r="C174" t="str">
            <v>Boby Sukmawijaya</v>
          </cell>
          <cell r="D174">
            <v>0.75187969924812026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0.9555555555555556</v>
          </cell>
        </row>
        <row r="177">
          <cell r="C177" t="str">
            <v>Ari</v>
          </cell>
          <cell r="D177">
            <v>1</v>
          </cell>
        </row>
        <row r="178">
          <cell r="C178" t="str">
            <v>Ari</v>
          </cell>
          <cell r="D178">
            <v>0.98029556650246308</v>
          </cell>
        </row>
        <row r="179">
          <cell r="C179" t="str">
            <v>Ari</v>
          </cell>
          <cell r="D179">
            <v>0.95477386934673369</v>
          </cell>
        </row>
        <row r="180">
          <cell r="C180" t="str">
            <v>Ari</v>
          </cell>
          <cell r="D180">
            <v>0.98235294117647054</v>
          </cell>
        </row>
        <row r="181">
          <cell r="C181" t="str">
            <v>Ari</v>
          </cell>
          <cell r="D181">
            <v>0.83823529411764708</v>
          </cell>
        </row>
        <row r="182">
          <cell r="C182" t="str">
            <v>Ari</v>
          </cell>
          <cell r="D182">
            <v>0.82467532467532467</v>
          </cell>
        </row>
        <row r="183">
          <cell r="C183" t="str">
            <v>Ari</v>
          </cell>
          <cell r="D183">
            <v>0.79856115107913672</v>
          </cell>
        </row>
        <row r="184">
          <cell r="C184" t="str">
            <v>Ari</v>
          </cell>
          <cell r="D184">
            <v>0.90322580645161288</v>
          </cell>
        </row>
        <row r="185">
          <cell r="C185" t="str">
            <v>Ari</v>
          </cell>
          <cell r="D185">
            <v>0.98648648648648651</v>
          </cell>
        </row>
        <row r="186">
          <cell r="C186" t="str">
            <v>Helvi</v>
          </cell>
          <cell r="D186">
            <v>0.93117408906882593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0.88652482269503541</v>
          </cell>
        </row>
        <row r="189">
          <cell r="C189" t="str">
            <v>Helvi</v>
          </cell>
          <cell r="D189">
            <v>0.99574468085106382</v>
          </cell>
        </row>
        <row r="190">
          <cell r="C190" t="str">
            <v>Helvi</v>
          </cell>
          <cell r="D190">
            <v>0.83673469387755106</v>
          </cell>
        </row>
        <row r="191">
          <cell r="C191" t="str">
            <v>Helvi</v>
          </cell>
          <cell r="D191">
            <v>0.9910714285714286</v>
          </cell>
        </row>
        <row r="192">
          <cell r="C192" t="str">
            <v>Helvi</v>
          </cell>
          <cell r="D192">
            <v>0.60386473429951693</v>
          </cell>
        </row>
        <row r="193">
          <cell r="C193" t="str">
            <v>Helvi</v>
          </cell>
          <cell r="D193">
            <v>0.95061728395061729</v>
          </cell>
        </row>
        <row r="194">
          <cell r="C194" t="str">
            <v>Helvi</v>
          </cell>
          <cell r="D194">
            <v>1</v>
          </cell>
        </row>
        <row r="195">
          <cell r="C195" t="str">
            <v>Helvi</v>
          </cell>
          <cell r="D195">
            <v>0.97169811320754718</v>
          </cell>
        </row>
        <row r="196">
          <cell r="C196" t="str">
            <v>Helvi</v>
          </cell>
          <cell r="D196">
            <v>0.98958333333333337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1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0.9928057553956835</v>
          </cell>
        </row>
        <row r="201">
          <cell r="C201" t="str">
            <v>Ferdi Setiawan</v>
          </cell>
          <cell r="D201">
            <v>1</v>
          </cell>
        </row>
        <row r="202">
          <cell r="C202" t="str">
            <v>Ferdi Setiawan</v>
          </cell>
          <cell r="D202">
            <v>0.99275362318840576</v>
          </cell>
        </row>
        <row r="203">
          <cell r="C203" t="str">
            <v>Ferdi Setiawan</v>
          </cell>
          <cell r="D203">
            <v>0.98607242339832868</v>
          </cell>
        </row>
        <row r="204">
          <cell r="C204" t="str">
            <v>Ferdi Setiawan</v>
          </cell>
          <cell r="D204">
            <v>1</v>
          </cell>
        </row>
        <row r="205">
          <cell r="C205" t="str">
            <v>Ferdi Setiawan</v>
          </cell>
          <cell r="D205">
            <v>1</v>
          </cell>
        </row>
        <row r="206">
          <cell r="C206" t="str">
            <v>Ferdi Setiawan</v>
          </cell>
          <cell r="D206">
            <v>0.98976109215017061</v>
          </cell>
        </row>
        <row r="207">
          <cell r="C207" t="str">
            <v>Ferdi Setiawan</v>
          </cell>
          <cell r="D207">
            <v>0.99090909090909096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0.97841726618705038</v>
          </cell>
        </row>
        <row r="210">
          <cell r="C210" t="str">
            <v>Ferdi Setiawan</v>
          </cell>
          <cell r="D210">
            <v>0.98882681564245811</v>
          </cell>
        </row>
        <row r="211">
          <cell r="C211" t="str">
            <v>Ferdi Setiawan</v>
          </cell>
          <cell r="D211">
            <v>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0.6470588235294118</v>
          </cell>
        </row>
        <row r="214">
          <cell r="C214" t="str">
            <v>Gesang Jumadi</v>
          </cell>
          <cell r="D214">
            <v>0.96491228070175439</v>
          </cell>
        </row>
        <row r="215">
          <cell r="C215" t="str">
            <v>Gesang Jumadi</v>
          </cell>
          <cell r="D215">
            <v>0.97826086956521741</v>
          </cell>
        </row>
        <row r="216">
          <cell r="C216" t="str">
            <v>Gesang Jumadi</v>
          </cell>
          <cell r="D216">
            <v>0.95402298850574707</v>
          </cell>
        </row>
        <row r="217">
          <cell r="C217" t="str">
            <v>Gesang Jumadi</v>
          </cell>
          <cell r="D217">
            <v>0.26765799256505574</v>
          </cell>
        </row>
        <row r="218">
          <cell r="C218" t="str">
            <v>Gesang Jumadi</v>
          </cell>
          <cell r="D218">
            <v>0.65274151436031336</v>
          </cell>
        </row>
        <row r="219">
          <cell r="C219" t="str">
            <v>Gesang Jumadi</v>
          </cell>
          <cell r="D219">
            <v>0.87977099236641221</v>
          </cell>
        </row>
        <row r="220">
          <cell r="C220" t="str">
            <v>Gesang Jumadi</v>
          </cell>
          <cell r="D220">
            <v>0.71835443037974689</v>
          </cell>
        </row>
        <row r="221">
          <cell r="C221" t="str">
            <v>Gesang Jumadi</v>
          </cell>
          <cell r="D221">
            <v>0.4808259587020649</v>
          </cell>
        </row>
        <row r="222">
          <cell r="C222" t="str">
            <v>Gesang Jumadi</v>
          </cell>
          <cell r="D222">
            <v>0.79945799457994582</v>
          </cell>
        </row>
        <row r="223">
          <cell r="C223" t="str">
            <v>Gesang Jumadi</v>
          </cell>
          <cell r="D223">
            <v>0.73700305810397548</v>
          </cell>
        </row>
        <row r="224">
          <cell r="C224" t="str">
            <v>Gesang Jumadi</v>
          </cell>
          <cell r="D224">
            <v>0.9173728813559322</v>
          </cell>
        </row>
        <row r="225">
          <cell r="C225" t="str">
            <v>Gesang Jumadi</v>
          </cell>
          <cell r="D225">
            <v>0.94444444444444442</v>
          </cell>
        </row>
        <row r="226">
          <cell r="C226" t="str">
            <v>Gesang Jumadi</v>
          </cell>
          <cell r="D226">
            <v>0.99638989169675085</v>
          </cell>
        </row>
        <row r="227">
          <cell r="C227" t="str">
            <v>Gesang Jumadi</v>
          </cell>
          <cell r="D227">
            <v>0.90658174097664546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0.69957081545064381</v>
          </cell>
        </row>
        <row r="230">
          <cell r="C230" t="str">
            <v>Gumilar Rudimaya</v>
          </cell>
          <cell r="D230">
            <v>0.76551724137931032</v>
          </cell>
        </row>
        <row r="231">
          <cell r="C231" t="str">
            <v>Gumilar Rudimaya</v>
          </cell>
          <cell r="D231">
            <v>0.92817679558011046</v>
          </cell>
        </row>
        <row r="232">
          <cell r="C232" t="str">
            <v>Gumilar Rudimaya</v>
          </cell>
          <cell r="D232">
            <v>0.88888888888888884</v>
          </cell>
        </row>
        <row r="233">
          <cell r="C233" t="str">
            <v>Gumilar Rudimaya</v>
          </cell>
          <cell r="D233">
            <v>0.77647058823529413</v>
          </cell>
        </row>
        <row r="234">
          <cell r="C234" t="str">
            <v>Gumilar Rudimaya</v>
          </cell>
          <cell r="D234">
            <v>0.8635235732009926</v>
          </cell>
        </row>
        <row r="235">
          <cell r="C235" t="str">
            <v>Gumilar Rudimaya</v>
          </cell>
          <cell r="D235">
            <v>0.62891986062717775</v>
          </cell>
        </row>
        <row r="236">
          <cell r="C236" t="str">
            <v>Gumilar Rudimaya</v>
          </cell>
          <cell r="D236">
            <v>0.39393939393939392</v>
          </cell>
        </row>
        <row r="237">
          <cell r="C237" t="str">
            <v>Gumilar Rudimaya</v>
          </cell>
          <cell r="D237">
            <v>0.86229508196721316</v>
          </cell>
        </row>
        <row r="238">
          <cell r="C238" t="str">
            <v>Gumilar Rudimaya</v>
          </cell>
          <cell r="D238">
            <v>0.55191256830601088</v>
          </cell>
        </row>
        <row r="239">
          <cell r="C239" t="str">
            <v>Gumilar Rudimaya</v>
          </cell>
          <cell r="D239">
            <v>0.9821428571428571</v>
          </cell>
        </row>
        <row r="240">
          <cell r="C240" t="str">
            <v>Gumilar Rudimaya</v>
          </cell>
          <cell r="D240">
            <v>0.97214484679665736</v>
          </cell>
        </row>
        <row r="241">
          <cell r="C241" t="str">
            <v>Gumilar Rudimaya</v>
          </cell>
          <cell r="D241">
            <v>0.64331210191082799</v>
          </cell>
        </row>
        <row r="242">
          <cell r="C242" t="str">
            <v>Gumilar Rudimaya</v>
          </cell>
          <cell r="D242">
            <v>0.63101604278074863</v>
          </cell>
        </row>
        <row r="243">
          <cell r="D243">
            <v>0</v>
          </cell>
        </row>
        <row r="244">
          <cell r="C244" t="str">
            <v>Indra Jantana</v>
          </cell>
          <cell r="D244">
            <v>1</v>
          </cell>
        </row>
        <row r="245">
          <cell r="C245" t="str">
            <v>Indra Jantana</v>
          </cell>
          <cell r="D245">
            <v>1</v>
          </cell>
        </row>
        <row r="246">
          <cell r="C246" t="str">
            <v>Indra Jantana</v>
          </cell>
          <cell r="D246">
            <v>0.99137931034482762</v>
          </cell>
        </row>
        <row r="247">
          <cell r="C247" t="str">
            <v>Indra Jantana</v>
          </cell>
          <cell r="D247">
            <v>0.95890410958904104</v>
          </cell>
        </row>
        <row r="248">
          <cell r="C248" t="str">
            <v>Indra Jantana</v>
          </cell>
          <cell r="D248">
            <v>1</v>
          </cell>
        </row>
        <row r="249">
          <cell r="C249" t="str">
            <v>Indra Jantana</v>
          </cell>
          <cell r="D249">
            <v>0.963963963963964</v>
          </cell>
        </row>
        <row r="250">
          <cell r="C250" t="str">
            <v>Indra Jantana</v>
          </cell>
          <cell r="D250">
            <v>0.98245614035087714</v>
          </cell>
        </row>
        <row r="251">
          <cell r="C251" t="str">
            <v>Indra Jantana</v>
          </cell>
          <cell r="D251">
            <v>0.9375</v>
          </cell>
        </row>
        <row r="252">
          <cell r="C252" t="str">
            <v>Indra Jantana</v>
          </cell>
          <cell r="D252">
            <v>1</v>
          </cell>
        </row>
        <row r="253">
          <cell r="C253" t="str">
            <v>Indra Jantana</v>
          </cell>
          <cell r="D253">
            <v>1</v>
          </cell>
        </row>
        <row r="254">
          <cell r="C254" t="str">
            <v>Indra Jantana</v>
          </cell>
          <cell r="D254">
            <v>0.95709570957095713</v>
          </cell>
        </row>
        <row r="255">
          <cell r="C255" t="str">
            <v>Indra Jantana</v>
          </cell>
          <cell r="D255">
            <v>0.97599999999999998</v>
          </cell>
        </row>
        <row r="256">
          <cell r="C256" t="str">
            <v>Indra Jantana</v>
          </cell>
          <cell r="D256">
            <v>1</v>
          </cell>
        </row>
        <row r="257">
          <cell r="C257" t="str">
            <v>Indra Jantana</v>
          </cell>
          <cell r="D257">
            <v>0.97872340425531912</v>
          </cell>
        </row>
        <row r="258">
          <cell r="C258" t="str">
            <v>Indra Jantana</v>
          </cell>
          <cell r="D258">
            <v>0.94915254237288138</v>
          </cell>
        </row>
        <row r="259">
          <cell r="C259" t="str">
            <v>Indra Jantana</v>
          </cell>
          <cell r="D259">
            <v>0.86549707602339176</v>
          </cell>
        </row>
        <row r="260">
          <cell r="C260" t="str">
            <v>Indra Jantana</v>
          </cell>
          <cell r="D260">
            <v>0.94059405940594054</v>
          </cell>
        </row>
        <row r="261">
          <cell r="C261" t="str">
            <v>Indra Jantana</v>
          </cell>
          <cell r="D261">
            <v>0.93529411764705883</v>
          </cell>
        </row>
        <row r="262">
          <cell r="C262" t="str">
            <v>Indra Jantana</v>
          </cell>
          <cell r="D262">
            <v>1</v>
          </cell>
        </row>
        <row r="263">
          <cell r="C263" t="str">
            <v>Indra Jantana</v>
          </cell>
          <cell r="D263">
            <v>0.96875</v>
          </cell>
        </row>
        <row r="264">
          <cell r="C264" t="str">
            <v>Indra Jantana</v>
          </cell>
          <cell r="D264">
            <v>0.89754098360655743</v>
          </cell>
        </row>
        <row r="265">
          <cell r="C265" t="str">
            <v>Indra Jantana</v>
          </cell>
          <cell r="D265">
            <v>0.98947368421052628</v>
          </cell>
        </row>
        <row r="266">
          <cell r="C266" t="str">
            <v>Indra Jantana</v>
          </cell>
          <cell r="D266">
            <v>1</v>
          </cell>
        </row>
        <row r="267">
          <cell r="C267" t="str">
            <v>Indra Jantana</v>
          </cell>
          <cell r="D267">
            <v>1</v>
          </cell>
        </row>
        <row r="268">
          <cell r="D268">
            <v>0</v>
          </cell>
        </row>
        <row r="269">
          <cell r="C269" t="str">
            <v>Yudi Wahyudi</v>
          </cell>
          <cell r="D269">
            <v>0.81521739130434778</v>
          </cell>
        </row>
        <row r="270">
          <cell r="C270" t="str">
            <v>Yudi Wahyudi</v>
          </cell>
          <cell r="D270">
            <v>0.99047619047619051</v>
          </cell>
        </row>
        <row r="271">
          <cell r="C271" t="str">
            <v>Yudi Wahyudi</v>
          </cell>
          <cell r="D271">
            <v>0.97674418604651159</v>
          </cell>
        </row>
        <row r="272">
          <cell r="C272" t="str">
            <v>Yudi Wahyudi</v>
          </cell>
          <cell r="D272">
            <v>0.83333333333333337</v>
          </cell>
        </row>
        <row r="273">
          <cell r="C273" t="str">
            <v>Yudi Wahyudi</v>
          </cell>
          <cell r="D273">
            <v>0.75132275132275128</v>
          </cell>
        </row>
        <row r="274">
          <cell r="C274" t="str">
            <v>Yudi Wahyudi</v>
          </cell>
          <cell r="D274">
            <v>0.9553571428571429</v>
          </cell>
        </row>
        <row r="275">
          <cell r="C275" t="str">
            <v>Yudi Wahyudi</v>
          </cell>
          <cell r="D275">
            <v>0.91025641025641024</v>
          </cell>
        </row>
        <row r="276">
          <cell r="C276" t="str">
            <v>Yudi Wahyudi</v>
          </cell>
          <cell r="D276">
            <v>0.85483870967741937</v>
          </cell>
        </row>
        <row r="277">
          <cell r="C277" t="str">
            <v>Yudi Wahyudi</v>
          </cell>
          <cell r="D277">
            <v>0.94871794871794868</v>
          </cell>
        </row>
        <row r="278">
          <cell r="C278" t="str">
            <v>Yudi Wahyudi</v>
          </cell>
          <cell r="D278">
            <v>0.97093023255813948</v>
          </cell>
        </row>
        <row r="279">
          <cell r="C279" t="str">
            <v>Yudi Wahyudi</v>
          </cell>
          <cell r="D279">
            <v>0.81538461538461537</v>
          </cell>
        </row>
        <row r="280">
          <cell r="C280" t="str">
            <v>Yudi Wahyudi</v>
          </cell>
          <cell r="D280">
            <v>0.72307692307692306</v>
          </cell>
        </row>
        <row r="281">
          <cell r="C281" t="str">
            <v>Yudi Wahyudi</v>
          </cell>
          <cell r="D281">
            <v>0.97916666666666663</v>
          </cell>
        </row>
        <row r="282">
          <cell r="C282" t="str">
            <v>Yudi Wahyudi</v>
          </cell>
          <cell r="D282">
            <v>0.97619047619047616</v>
          </cell>
        </row>
        <row r="283">
          <cell r="C283" t="str">
            <v>Yudi Wahyudi</v>
          </cell>
          <cell r="D283">
            <v>0.94029850746268662</v>
          </cell>
        </row>
        <row r="284">
          <cell r="C284" t="str">
            <v>Yudi Wahyudi</v>
          </cell>
          <cell r="D284">
            <v>0.69032258064516128</v>
          </cell>
        </row>
        <row r="285">
          <cell r="C285" t="str">
            <v>Yudi Wahyudi</v>
          </cell>
          <cell r="D285">
            <v>1</v>
          </cell>
        </row>
        <row r="286">
          <cell r="C286" t="str">
            <v>Yudi Wahyudi</v>
          </cell>
          <cell r="D286">
            <v>0.98165137614678899</v>
          </cell>
        </row>
        <row r="287">
          <cell r="C287" t="str">
            <v>Yudi Wahyudi</v>
          </cell>
          <cell r="D287">
            <v>0.68965517241379315</v>
          </cell>
        </row>
        <row r="288">
          <cell r="C288" t="str">
            <v>Yudi Wahyudi</v>
          </cell>
          <cell r="D288">
            <v>0.72558139534883725</v>
          </cell>
        </row>
        <row r="289">
          <cell r="C289" t="str">
            <v>Yudi Wahyudi</v>
          </cell>
          <cell r="D289">
            <v>0.93103448275862066</v>
          </cell>
        </row>
        <row r="290">
          <cell r="C290" t="str">
            <v>Yudi Wahyudi</v>
          </cell>
          <cell r="D290">
            <v>0.96551724137931039</v>
          </cell>
        </row>
        <row r="291">
          <cell r="C291" t="str">
            <v>Yudi Wahyudi</v>
          </cell>
          <cell r="D291">
            <v>0.81818181818181823</v>
          </cell>
        </row>
        <row r="292">
          <cell r="C292" t="str">
            <v>Yudi Wahyudi</v>
          </cell>
          <cell r="D292">
            <v>0.86224489795918369</v>
          </cell>
        </row>
        <row r="293">
          <cell r="C293" t="str">
            <v>Yudi Wahyudi</v>
          </cell>
          <cell r="D293">
            <v>0.79729729729729726</v>
          </cell>
        </row>
        <row r="294">
          <cell r="C294" t="str">
            <v>Yudi Wahyudi</v>
          </cell>
          <cell r="D294">
            <v>0.96363636363636362</v>
          </cell>
        </row>
        <row r="295">
          <cell r="D295">
            <v>0</v>
          </cell>
        </row>
        <row r="296">
          <cell r="C296" t="str">
            <v>Febri Dwi Prabowo</v>
          </cell>
          <cell r="D296">
            <v>0.99574468085106382</v>
          </cell>
        </row>
        <row r="297">
          <cell r="C297" t="str">
            <v>Febri Dwi Prabowo</v>
          </cell>
          <cell r="D297">
            <v>0.98305084745762716</v>
          </cell>
        </row>
        <row r="298">
          <cell r="C298" t="str">
            <v>Febri Dwi Prabowo</v>
          </cell>
          <cell r="D298">
            <v>0.95945945945945943</v>
          </cell>
        </row>
        <row r="299">
          <cell r="C299" t="str">
            <v>Febri Dwi Prabowo</v>
          </cell>
          <cell r="D299">
            <v>0.98139534883720925</v>
          </cell>
        </row>
        <row r="300">
          <cell r="C300" t="str">
            <v>Febri Dwi Prabowo</v>
          </cell>
          <cell r="D300">
            <v>0.96253602305475505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0.97826086956521741</v>
          </cell>
        </row>
        <row r="303">
          <cell r="C303" t="str">
            <v>Febri Dwi Prabowo</v>
          </cell>
          <cell r="D303">
            <v>0.99238578680203049</v>
          </cell>
        </row>
        <row r="304">
          <cell r="C304" t="str">
            <v>Febri Dwi Prabowo</v>
          </cell>
          <cell r="D304">
            <v>1</v>
          </cell>
        </row>
        <row r="305">
          <cell r="C305" t="str">
            <v>Febri Dwi Prabowo</v>
          </cell>
          <cell r="D305">
            <v>0.99630996309963105</v>
          </cell>
        </row>
        <row r="306">
          <cell r="C306" t="str">
            <v>Febri Dwi Prabowo</v>
          </cell>
          <cell r="D306">
            <v>0.97391304347826091</v>
          </cell>
        </row>
        <row r="307">
          <cell r="C307" t="str">
            <v>Febri Dwi Prabowo</v>
          </cell>
          <cell r="D307">
            <v>0.99537037037037035</v>
          </cell>
        </row>
        <row r="308">
          <cell r="C308" t="str">
            <v>Febri Dwi Prabowo</v>
          </cell>
          <cell r="D308">
            <v>0.79567307692307687</v>
          </cell>
        </row>
        <row r="309">
          <cell r="C309" t="str">
            <v>Made Windu Kuntara</v>
          </cell>
          <cell r="D309">
            <v>0.93518518518518523</v>
          </cell>
        </row>
        <row r="310">
          <cell r="C310" t="str">
            <v>Made Windu Kuntara</v>
          </cell>
          <cell r="D310">
            <v>0.97647058823529409</v>
          </cell>
        </row>
        <row r="311">
          <cell r="C311" t="str">
            <v>Made Windu Kuntara</v>
          </cell>
          <cell r="D311">
            <v>0.86293436293436299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0.99099099099099097</v>
          </cell>
        </row>
        <row r="314">
          <cell r="C314" t="str">
            <v>Made Windu Kuntara</v>
          </cell>
          <cell r="D314">
            <v>0.94117647058823528</v>
          </cell>
        </row>
        <row r="315">
          <cell r="C315" t="str">
            <v>Made Windu Kuntara</v>
          </cell>
          <cell r="D315">
            <v>0.97472924187725629</v>
          </cell>
        </row>
        <row r="316">
          <cell r="C316" t="str">
            <v>Made Windu Kuntara</v>
          </cell>
          <cell r="D316">
            <v>0.96596858638743455</v>
          </cell>
        </row>
        <row r="317">
          <cell r="C317" t="str">
            <v>Made Windu Kuntara</v>
          </cell>
          <cell r="D317">
            <v>0.8995433789954338</v>
          </cell>
        </row>
        <row r="318">
          <cell r="C318" t="str">
            <v>Made Windu Kuntara</v>
          </cell>
          <cell r="D318">
            <v>0.99162011173184361</v>
          </cell>
        </row>
        <row r="319">
          <cell r="C319" t="str">
            <v>Made Windu Kuntara</v>
          </cell>
          <cell r="D319">
            <v>0.95454545454545459</v>
          </cell>
        </row>
        <row r="320">
          <cell r="C320" t="str">
            <v>Made Windu Kuntara</v>
          </cell>
          <cell r="D320">
            <v>1</v>
          </cell>
        </row>
        <row r="321"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0.99122807017543857</v>
          </cell>
        </row>
        <row r="324">
          <cell r="C324" t="str">
            <v>Jusuf Charles Rumende (PN : 00059432)</v>
          </cell>
          <cell r="D324">
            <v>0.95652173913043481</v>
          </cell>
        </row>
        <row r="325">
          <cell r="C325" t="str">
            <v>Jusuf Charles Rumende (PN : 00059432)</v>
          </cell>
          <cell r="D325">
            <v>0.99606299212598426</v>
          </cell>
        </row>
        <row r="326">
          <cell r="C326" t="str">
            <v>Jusuf Charles Rumende (PN : 00059432)</v>
          </cell>
          <cell r="D326">
            <v>0.98770491803278693</v>
          </cell>
        </row>
        <row r="327">
          <cell r="C327" t="str">
            <v>Jusuf Charles Rumende (PN : 00059432)</v>
          </cell>
          <cell r="D327">
            <v>0.98717948717948723</v>
          </cell>
        </row>
        <row r="328">
          <cell r="C328" t="str">
            <v>Jusuf Charles Rumende (PN : 00059432)</v>
          </cell>
          <cell r="D328">
            <v>1</v>
          </cell>
        </row>
        <row r="329">
          <cell r="C329" t="str">
            <v>Jusuf Charles Rumende (PN : 00059432)</v>
          </cell>
          <cell r="D329">
            <v>0.9907407407407407</v>
          </cell>
        </row>
        <row r="330">
          <cell r="C330" t="str">
            <v>Jusuf Charles Rumende (PN : 00059432)</v>
          </cell>
          <cell r="D330">
            <v>1</v>
          </cell>
        </row>
        <row r="331">
          <cell r="C331" t="str">
            <v>Jusuf Charles Rumende (PN : 00059432)</v>
          </cell>
          <cell r="D331">
            <v>0.97104677060133626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0.99180327868852458</v>
          </cell>
        </row>
        <row r="335">
          <cell r="C335" t="str">
            <v>Jusuf Charles Rumende (PN : 00059432)</v>
          </cell>
          <cell r="D335">
            <v>0.98136645962732916</v>
          </cell>
        </row>
        <row r="336">
          <cell r="C336" t="str">
            <v>Jusuf Charles Rumende (PN : 00059432)</v>
          </cell>
          <cell r="D336">
            <v>0.97740112994350281</v>
          </cell>
        </row>
        <row r="337">
          <cell r="C337" t="str">
            <v>Jusuf Charles Rumende (PN : 00059432)</v>
          </cell>
          <cell r="D337">
            <v>1</v>
          </cell>
        </row>
        <row r="338">
          <cell r="C338" t="str">
            <v>Jusuf Charles Rumende (PN : 00059432)</v>
          </cell>
          <cell r="D338">
            <v>0.98373983739837401</v>
          </cell>
        </row>
        <row r="339">
          <cell r="C339" t="str">
            <v>Jusuf Charles Rumende (PN : 00059432)</v>
          </cell>
          <cell r="D339">
            <v>0.99239543726235746</v>
          </cell>
        </row>
        <row r="340">
          <cell r="C340" t="str">
            <v>Jusuf Charles Rumende (PN : 00059432)</v>
          </cell>
          <cell r="D340">
            <v>0.98412698412698407</v>
          </cell>
        </row>
        <row r="341">
          <cell r="C341" t="str">
            <v>Jusuf Charles Rumende (PN : 00059432)</v>
          </cell>
          <cell r="D341">
            <v>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0.9504643962848297</v>
          </cell>
        </row>
        <row r="344">
          <cell r="C344" t="str">
            <v>Syamsul Arifianto</v>
          </cell>
          <cell r="D344">
            <v>0.75151515151515147</v>
          </cell>
        </row>
        <row r="345">
          <cell r="C345" t="str">
            <v>Syamsul Arifianto</v>
          </cell>
          <cell r="D345">
            <v>0.96482412060301503</v>
          </cell>
        </row>
        <row r="346">
          <cell r="C346" t="str">
            <v>Syamsul Arifianto</v>
          </cell>
          <cell r="D346">
            <v>0.95882352941176474</v>
          </cell>
        </row>
        <row r="347">
          <cell r="C347" t="str">
            <v>Syamsul Arifianto</v>
          </cell>
          <cell r="D347">
            <v>0.9889064976228209</v>
          </cell>
        </row>
        <row r="348">
          <cell r="C348" t="str">
            <v>Syamsul Arifianto</v>
          </cell>
          <cell r="D348">
            <v>1</v>
          </cell>
        </row>
        <row r="349">
          <cell r="C349" t="str">
            <v>Syamsul Arifianto</v>
          </cell>
          <cell r="D349">
            <v>0.99344978165938869</v>
          </cell>
        </row>
        <row r="350">
          <cell r="C350" t="str">
            <v>Syamsul Arifianto</v>
          </cell>
          <cell r="D350">
            <v>0.99607843137254903</v>
          </cell>
        </row>
        <row r="351">
          <cell r="C351" t="str">
            <v>Syamsul Arifianto</v>
          </cell>
          <cell r="D351">
            <v>0.96694214876033058</v>
          </cell>
        </row>
        <row r="352">
          <cell r="C352" t="str">
            <v>Syamsul Arifianto</v>
          </cell>
          <cell r="D352">
            <v>1</v>
          </cell>
        </row>
        <row r="353">
          <cell r="C353" t="str">
            <v>Syamsul Arifianto</v>
          </cell>
          <cell r="D353">
            <v>1</v>
          </cell>
        </row>
        <row r="354">
          <cell r="C354" t="str">
            <v>Veronica Dwi Kurniasih</v>
          </cell>
          <cell r="D354">
            <v>1</v>
          </cell>
        </row>
        <row r="355">
          <cell r="C355" t="str">
            <v>Veronica Dwi Kurniasih</v>
          </cell>
          <cell r="D355">
            <v>0.9732142857142857</v>
          </cell>
        </row>
        <row r="356">
          <cell r="C356" t="str">
            <v>Veronica Dwi Kurniasih</v>
          </cell>
          <cell r="D356">
            <v>0.69152542372881354</v>
          </cell>
        </row>
        <row r="357">
          <cell r="C357" t="str">
            <v>Veronica Dwi Kurniasih</v>
          </cell>
          <cell r="D357">
            <v>1</v>
          </cell>
        </row>
        <row r="358">
          <cell r="C358" t="str">
            <v>Veronica Dwi Kurniasih</v>
          </cell>
          <cell r="D358">
            <v>0.99348534201954397</v>
          </cell>
        </row>
        <row r="359">
          <cell r="C359" t="str">
            <v>Veronica Dwi Kurniasih</v>
          </cell>
          <cell r="D359">
            <v>0.97707231040564368</v>
          </cell>
        </row>
        <row r="360">
          <cell r="C360" t="str">
            <v>Veronica Dwi Kurniasih</v>
          </cell>
          <cell r="D360">
            <v>0.96475770925110127</v>
          </cell>
        </row>
        <row r="361">
          <cell r="C361" t="str">
            <v>Veronica Dwi Kurniasih</v>
          </cell>
          <cell r="D361">
            <v>0.99363057324840764</v>
          </cell>
        </row>
        <row r="362">
          <cell r="C362" t="str">
            <v>Veronica Dwi Kurniasih</v>
          </cell>
          <cell r="D362">
            <v>0.99212598425196852</v>
          </cell>
        </row>
        <row r="363">
          <cell r="C363" t="str">
            <v>Veronica Dwi Kurniasih</v>
          </cell>
          <cell r="D363">
            <v>0.99762470308788598</v>
          </cell>
        </row>
        <row r="364">
          <cell r="C364" t="str">
            <v>Veronica Dwi Kurniasih</v>
          </cell>
          <cell r="D364">
            <v>0.69635627530364375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0.99664429530201337</v>
          </cell>
        </row>
        <row r="367">
          <cell r="C367" t="str">
            <v>Asep Kristiono</v>
          </cell>
          <cell r="D367">
            <v>0.99488491048593353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1</v>
          </cell>
        </row>
        <row r="370">
          <cell r="C370" t="str">
            <v>Asep Kristiono</v>
          </cell>
          <cell r="D370">
            <v>0.99173553719008267</v>
          </cell>
        </row>
        <row r="371">
          <cell r="C371" t="str">
            <v>Asep Kristiono</v>
          </cell>
          <cell r="D371">
            <v>0.99534883720930234</v>
          </cell>
        </row>
        <row r="372">
          <cell r="C372" t="str">
            <v>Asep Kristiono</v>
          </cell>
          <cell r="D372">
            <v>0.99556541019955658</v>
          </cell>
        </row>
        <row r="373">
          <cell r="C373" t="str">
            <v>Asep Kristiono</v>
          </cell>
          <cell r="D373">
            <v>1</v>
          </cell>
        </row>
        <row r="374">
          <cell r="C374" t="str">
            <v>Asep Kristiono</v>
          </cell>
          <cell r="D374">
            <v>1</v>
          </cell>
        </row>
        <row r="375">
          <cell r="C375" t="str">
            <v>Asep Kristiono</v>
          </cell>
          <cell r="D375">
            <v>1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1</v>
          </cell>
        </row>
        <row r="378">
          <cell r="C378" t="str">
            <v>Dian Septianti</v>
          </cell>
          <cell r="D378">
            <v>0.99640287769784175</v>
          </cell>
        </row>
        <row r="379">
          <cell r="C379" t="str">
            <v>Dian Septianti</v>
          </cell>
          <cell r="D379">
            <v>1</v>
          </cell>
        </row>
        <row r="380">
          <cell r="C380" t="str">
            <v>Dian Septianti</v>
          </cell>
          <cell r="D380">
            <v>0.9975308641975309</v>
          </cell>
        </row>
        <row r="381">
          <cell r="C381" t="str">
            <v>Dian Septianti</v>
          </cell>
          <cell r="D381">
            <v>1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0.99561403508771928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0.9956521739130435</v>
          </cell>
        </row>
        <row r="387">
          <cell r="C387" t="str">
            <v>Dian Septianti</v>
          </cell>
          <cell r="D387">
            <v>0.99285714285714288</v>
          </cell>
        </row>
        <row r="388">
          <cell r="C388" t="str">
            <v>Waras Suyitno</v>
          </cell>
          <cell r="D388">
            <v>1</v>
          </cell>
        </row>
        <row r="389">
          <cell r="C389" t="str">
            <v>Waras Suyitno</v>
          </cell>
          <cell r="D389">
            <v>0.99638989169675085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1</v>
          </cell>
        </row>
        <row r="392">
          <cell r="C392" t="str">
            <v>Waras Suyitno</v>
          </cell>
          <cell r="D392">
            <v>0.9859154929577465</v>
          </cell>
        </row>
        <row r="393">
          <cell r="C393" t="str">
            <v>Waras Suyitno</v>
          </cell>
          <cell r="D393">
            <v>1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1</v>
          </cell>
        </row>
        <row r="396">
          <cell r="C396" t="str">
            <v>Waras Suyitno</v>
          </cell>
          <cell r="D396">
            <v>0.98187311178247738</v>
          </cell>
        </row>
        <row r="397">
          <cell r="C397" t="str">
            <v>Waras Suyitno</v>
          </cell>
          <cell r="D397">
            <v>0.99363057324840764</v>
          </cell>
        </row>
        <row r="398">
          <cell r="C398" t="str">
            <v>Waras Suyitno</v>
          </cell>
          <cell r="D398">
            <v>1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0.97354497354497349</v>
          </cell>
        </row>
        <row r="401">
          <cell r="C401" t="str">
            <v>Moch. Arief Budiman</v>
          </cell>
          <cell r="D401">
            <v>0.89723320158102771</v>
          </cell>
        </row>
        <row r="402">
          <cell r="C402" t="str">
            <v>Moch. Arief Budiman</v>
          </cell>
          <cell r="D402">
            <v>0.99168399168399168</v>
          </cell>
        </row>
        <row r="403">
          <cell r="C403" t="str">
            <v>Moch. Arief Budiman</v>
          </cell>
          <cell r="D403">
            <v>0.97395833333333337</v>
          </cell>
        </row>
        <row r="404">
          <cell r="C404" t="str">
            <v>Moch. Arief Budiman</v>
          </cell>
          <cell r="D404">
            <v>0.99251870324189528</v>
          </cell>
        </row>
        <row r="405">
          <cell r="C405" t="str">
            <v>Moch. Arief Budiman</v>
          </cell>
          <cell r="D405">
            <v>0.93023255813953487</v>
          </cell>
        </row>
        <row r="406">
          <cell r="C406" t="str">
            <v>Moch. Arief Budiman</v>
          </cell>
          <cell r="D406">
            <v>0.90506329113924056</v>
          </cell>
        </row>
        <row r="407">
          <cell r="C407" t="str">
            <v>Moch. Arief Budiman</v>
          </cell>
          <cell r="D407">
            <v>0.90344827586206899</v>
          </cell>
        </row>
        <row r="408">
          <cell r="C408" t="str">
            <v>Rukiyat Prihantoko</v>
          </cell>
          <cell r="D408">
            <v>1</v>
          </cell>
        </row>
        <row r="409">
          <cell r="C409" t="str">
            <v>Rukiyat Prihantoko</v>
          </cell>
          <cell r="D409">
            <v>0.91111111111111109</v>
          </cell>
        </row>
        <row r="410">
          <cell r="C410" t="str">
            <v>Rukiyat Prihantoko</v>
          </cell>
          <cell r="D410">
            <v>0.99644128113879005</v>
          </cell>
        </row>
        <row r="411">
          <cell r="C411" t="str">
            <v>Rukiyat Prihantoko</v>
          </cell>
          <cell r="D411">
            <v>0.89629629629629626</v>
          </cell>
        </row>
        <row r="412">
          <cell r="C412" t="str">
            <v>Rukiyat Prihantoko</v>
          </cell>
          <cell r="D412">
            <v>0.98684210526315785</v>
          </cell>
        </row>
        <row r="413">
          <cell r="C413" t="str">
            <v>Rukiyat Prihantoko</v>
          </cell>
          <cell r="D413">
            <v>0.76978417266187049</v>
          </cell>
        </row>
        <row r="414">
          <cell r="C414" t="str">
            <v>Rukiyat Prihantoko</v>
          </cell>
          <cell r="D414">
            <v>0.94339622641509435</v>
          </cell>
        </row>
        <row r="415">
          <cell r="C415" t="str">
            <v>Rukiyat Prihantoko</v>
          </cell>
          <cell r="D415">
            <v>0.94160583941605835</v>
          </cell>
        </row>
        <row r="416">
          <cell r="C416" t="str">
            <v>Rukiyat Prihantoko</v>
          </cell>
          <cell r="D416">
            <v>0.7407407407407407</v>
          </cell>
        </row>
        <row r="417">
          <cell r="C417" t="str">
            <v>Sutrisno Hadi Pranoto</v>
          </cell>
          <cell r="D417">
            <v>0.95444191343963558</v>
          </cell>
        </row>
        <row r="418">
          <cell r="C418" t="str">
            <v>Sutrisno Hadi Pranoto</v>
          </cell>
          <cell r="D418">
            <v>0.99569892473118282</v>
          </cell>
        </row>
        <row r="419">
          <cell r="C419" t="str">
            <v>Sutrisno Hadi Pranoto</v>
          </cell>
          <cell r="D419">
            <v>0.93220338983050843</v>
          </cell>
        </row>
        <row r="420">
          <cell r="C420" t="str">
            <v>Sutrisno Hadi Pranoto</v>
          </cell>
          <cell r="D420">
            <v>0.97209302325581393</v>
          </cell>
        </row>
        <row r="421">
          <cell r="C421" t="str">
            <v>Sutrisno Hadi Pranoto</v>
          </cell>
          <cell r="D421">
            <v>0.9821428571428571</v>
          </cell>
        </row>
        <row r="422">
          <cell r="C422" t="str">
            <v>Sutrisno Hadi Pranoto</v>
          </cell>
          <cell r="D422">
            <v>1</v>
          </cell>
        </row>
        <row r="423">
          <cell r="C423" t="str">
            <v>Sutrisno Hadi Pranoto</v>
          </cell>
          <cell r="D423">
            <v>0.9322493224932249</v>
          </cell>
        </row>
        <row r="424">
          <cell r="C424" t="str">
            <v>Sutrisno Hadi Pranoto</v>
          </cell>
          <cell r="D424">
            <v>0.80851063829787229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0.93377483443708609</v>
          </cell>
        </row>
        <row r="427">
          <cell r="C427" t="str">
            <v>Bambang Dwi Raharjo</v>
          </cell>
          <cell r="D427">
            <v>0.98581560283687941</v>
          </cell>
        </row>
        <row r="428">
          <cell r="C428" t="str">
            <v>Bambang Dwi Raharjo</v>
          </cell>
          <cell r="D428">
            <v>0.99193548387096775</v>
          </cell>
        </row>
        <row r="429">
          <cell r="C429" t="str">
            <v>Bambang Dwi Raharjo</v>
          </cell>
          <cell r="D429">
            <v>0.99628252788104088</v>
          </cell>
        </row>
        <row r="430">
          <cell r="C430" t="str">
            <v>Bambang Dwi Raharjo</v>
          </cell>
          <cell r="D430">
            <v>0.91216216216216217</v>
          </cell>
        </row>
        <row r="431">
          <cell r="C431" t="str">
            <v>Bambang Dwi Raharjo</v>
          </cell>
          <cell r="D431">
            <v>0.75</v>
          </cell>
        </row>
        <row r="432">
          <cell r="C432" t="str">
            <v>Herry Kurniawan</v>
          </cell>
          <cell r="D432">
            <v>0.83762886597938147</v>
          </cell>
        </row>
        <row r="433">
          <cell r="C433" t="str">
            <v>Herry Kurniawan</v>
          </cell>
          <cell r="D433">
            <v>0.7814569536423841</v>
          </cell>
        </row>
        <row r="434">
          <cell r="C434" t="str">
            <v>Herry Kurniawan</v>
          </cell>
          <cell r="D434">
            <v>0.90845070422535212</v>
          </cell>
        </row>
        <row r="435">
          <cell r="C435" t="str">
            <v>Herry Kurniawan</v>
          </cell>
          <cell r="D435">
            <v>0.98198198198198194</v>
          </cell>
        </row>
        <row r="436">
          <cell r="C436" t="str">
            <v>Herry Kurniawan</v>
          </cell>
          <cell r="D436">
            <v>0.51184834123222744</v>
          </cell>
        </row>
        <row r="437">
          <cell r="C437" t="str">
            <v>Herry Kurniawan</v>
          </cell>
          <cell r="D437">
            <v>0.93427230046948362</v>
          </cell>
        </row>
        <row r="438">
          <cell r="C438" t="str">
            <v>Richard Siburian</v>
          </cell>
          <cell r="D438">
            <v>0.9928057553956835</v>
          </cell>
        </row>
        <row r="439">
          <cell r="C439" t="str">
            <v>Richard Siburian</v>
          </cell>
          <cell r="D439">
            <v>0.70476190476190481</v>
          </cell>
        </row>
        <row r="440">
          <cell r="C440" t="str">
            <v>Richard Siburian</v>
          </cell>
          <cell r="D440">
            <v>1</v>
          </cell>
        </row>
        <row r="441">
          <cell r="C441" t="str">
            <v>Richard Siburian</v>
          </cell>
          <cell r="D441">
            <v>0.96031746031746035</v>
          </cell>
        </row>
        <row r="442">
          <cell r="C442" t="str">
            <v>Richard Siburian</v>
          </cell>
          <cell r="D442">
            <v>0.97109826589595372</v>
          </cell>
        </row>
        <row r="443">
          <cell r="C443" t="str">
            <v>Richard Siburian</v>
          </cell>
          <cell r="D443">
            <v>0.97663551401869164</v>
          </cell>
        </row>
        <row r="444">
          <cell r="C444" t="str">
            <v>Zulkarnain</v>
          </cell>
          <cell r="D444">
            <v>0.97530864197530864</v>
          </cell>
        </row>
        <row r="445">
          <cell r="C445" t="str">
            <v>Zulkarnain</v>
          </cell>
          <cell r="D445">
            <v>0.81632653061224492</v>
          </cell>
        </row>
        <row r="446">
          <cell r="C446" t="str">
            <v>Zulkarnain</v>
          </cell>
          <cell r="D446">
            <v>0.68924302788844627</v>
          </cell>
        </row>
        <row r="447">
          <cell r="C447" t="str">
            <v>Zulkarnain</v>
          </cell>
          <cell r="D447">
            <v>0.77692307692307694</v>
          </cell>
        </row>
        <row r="448">
          <cell r="C448" t="str">
            <v>Zulkarnain</v>
          </cell>
          <cell r="D448" t="e">
            <v>#N/A</v>
          </cell>
        </row>
        <row r="449">
          <cell r="C449" t="str">
            <v>Zulkarnain</v>
          </cell>
          <cell r="D449">
            <v>0.99090909090909096</v>
          </cell>
        </row>
        <row r="450">
          <cell r="D450">
            <v>0</v>
          </cell>
        </row>
        <row r="451">
          <cell r="C451" t="str">
            <v>Hany Pratiwi</v>
          </cell>
          <cell r="D451">
            <v>0.984375</v>
          </cell>
        </row>
        <row r="452">
          <cell r="C452" t="str">
            <v>Hany Pratiwi</v>
          </cell>
          <cell r="D452">
            <v>0.99354838709677418</v>
          </cell>
        </row>
        <row r="453">
          <cell r="C453" t="str">
            <v>Hany Pratiwi</v>
          </cell>
          <cell r="D453">
            <v>1</v>
          </cell>
        </row>
        <row r="454">
          <cell r="C454" t="str">
            <v>Hany Pratiwi</v>
          </cell>
          <cell r="D454">
            <v>0.99285714285714288</v>
          </cell>
        </row>
        <row r="455">
          <cell r="C455" t="str">
            <v>Hany Pratiwi</v>
          </cell>
          <cell r="D455">
            <v>0.98429319371727753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1</v>
          </cell>
        </row>
        <row r="458">
          <cell r="C458" t="str">
            <v>Hany Pratiwi</v>
          </cell>
          <cell r="D458">
            <v>1</v>
          </cell>
        </row>
        <row r="459">
          <cell r="C459" t="str">
            <v>Hany Pratiwi</v>
          </cell>
          <cell r="D459">
            <v>0.98888888888888893</v>
          </cell>
        </row>
        <row r="460">
          <cell r="C460" t="str">
            <v>Hany Pratiwi</v>
          </cell>
          <cell r="D460">
            <v>1</v>
          </cell>
        </row>
        <row r="461">
          <cell r="C461" t="str">
            <v>Hany Pratiwi</v>
          </cell>
          <cell r="D461">
            <v>1</v>
          </cell>
        </row>
        <row r="462">
          <cell r="C462" t="str">
            <v>Reifika Dekrin</v>
          </cell>
          <cell r="D462">
            <v>1</v>
          </cell>
        </row>
        <row r="463">
          <cell r="C463" t="str">
            <v>Reifika Dekrin</v>
          </cell>
          <cell r="D463">
            <v>1</v>
          </cell>
        </row>
        <row r="464">
          <cell r="C464" t="str">
            <v>Reifika Dekrin</v>
          </cell>
          <cell r="D464">
            <v>0.98684210526315785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0.99411764705882355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0.99479166666666663</v>
          </cell>
        </row>
        <row r="470">
          <cell r="C470" t="str">
            <v>Reifika Dekrin</v>
          </cell>
          <cell r="D470">
            <v>1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1</v>
          </cell>
        </row>
      </sheetData>
      <sheetData sheetId="10"/>
      <sheetData sheetId="1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9615-8C3A-47EA-A934-C22D5264FDC7}">
  <sheetPr>
    <tabColor theme="5"/>
  </sheetPr>
  <dimension ref="A1:Z84"/>
  <sheetViews>
    <sheetView topLeftCell="I62" workbookViewId="0">
      <selection activeCell="X8" sqref="X8"/>
    </sheetView>
  </sheetViews>
  <sheetFormatPr defaultRowHeight="14.45"/>
  <cols>
    <col min="1" max="1" width="10.140625" bestFit="1" customWidth="1"/>
    <col min="2" max="2" width="41.7109375" bestFit="1" customWidth="1"/>
    <col min="3" max="3" width="10.140625" bestFit="1" customWidth="1"/>
    <col min="4" max="4" width="19.42578125" bestFit="1" customWidth="1"/>
    <col min="5" max="5" width="8.5703125" bestFit="1" customWidth="1"/>
    <col min="6" max="6" width="8" hidden="1" customWidth="1"/>
    <col min="7" max="7" width="15.85546875" hidden="1" customWidth="1"/>
    <col min="8" max="8" width="15.42578125" hidden="1" customWidth="1"/>
    <col min="9" max="9" width="35.28515625" bestFit="1" customWidth="1"/>
    <col min="10" max="10" width="0" hidden="1" customWidth="1"/>
    <col min="11" max="11" width="12.5703125" hidden="1" customWidth="1"/>
    <col min="12" max="12" width="28.7109375" bestFit="1" customWidth="1"/>
    <col min="13" max="13" width="37" bestFit="1" customWidth="1"/>
    <col min="14" max="14" width="32.140625" bestFit="1" customWidth="1"/>
    <col min="15" max="15" width="21.28515625" bestFit="1" customWidth="1"/>
    <col min="16" max="16" width="19.7109375" hidden="1" customWidth="1"/>
    <col min="17" max="17" width="18.5703125" hidden="1" customWidth="1"/>
    <col min="18" max="18" width="16.85546875" hidden="1" customWidth="1"/>
    <col min="19" max="19" width="15.7109375" hidden="1" customWidth="1"/>
    <col min="20" max="20" width="32.7109375" hidden="1" customWidth="1"/>
    <col min="21" max="21" width="13.85546875" hidden="1" customWidth="1"/>
    <col min="22" max="22" width="15.28515625" bestFit="1" customWidth="1"/>
    <col min="25" max="25" width="12.5703125" bestFit="1" customWidth="1"/>
  </cols>
  <sheetData>
    <row r="1" spans="1:26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</row>
    <row r="2" spans="1:26">
      <c r="A2" s="8">
        <v>46265</v>
      </c>
      <c r="B2" s="9" t="s">
        <v>24</v>
      </c>
      <c r="C2" s="9" t="s">
        <v>25</v>
      </c>
      <c r="D2" s="9">
        <v>5326599000010510</v>
      </c>
      <c r="E2" s="9" t="s">
        <v>26</v>
      </c>
      <c r="F2" s="9"/>
      <c r="G2" s="9"/>
      <c r="H2" s="9"/>
      <c r="I2" s="9" t="s">
        <v>27</v>
      </c>
      <c r="J2" s="9"/>
      <c r="K2" s="9"/>
      <c r="L2" s="9" t="s">
        <v>28</v>
      </c>
      <c r="M2" s="9" t="s">
        <v>29</v>
      </c>
      <c r="N2" s="9" t="s">
        <v>29</v>
      </c>
      <c r="O2" s="9" t="s">
        <v>30</v>
      </c>
      <c r="P2" s="9"/>
      <c r="Q2" s="9"/>
      <c r="R2" s="9"/>
      <c r="S2" s="9"/>
      <c r="T2" s="9"/>
      <c r="U2" s="9"/>
      <c r="V2" s="12" t="s">
        <v>31</v>
      </c>
      <c r="W2" s="13"/>
      <c r="X2" s="14" t="b">
        <f>[1]STR!$X2</f>
        <v>0</v>
      </c>
      <c r="Y2" t="s">
        <v>31</v>
      </c>
    </row>
    <row r="3" spans="1:26">
      <c r="A3" s="8">
        <v>46265</v>
      </c>
      <c r="B3" s="9" t="s">
        <v>32</v>
      </c>
      <c r="C3" s="9" t="s">
        <v>33</v>
      </c>
      <c r="D3" s="9">
        <v>1801004656309</v>
      </c>
      <c r="E3" s="9">
        <v>0</v>
      </c>
      <c r="F3" s="9"/>
      <c r="G3" s="9"/>
      <c r="H3" s="9"/>
      <c r="I3" s="9" t="s">
        <v>34</v>
      </c>
      <c r="J3" s="9"/>
      <c r="K3" s="9"/>
      <c r="L3" s="9" t="s">
        <v>34</v>
      </c>
      <c r="M3" s="9" t="s">
        <v>35</v>
      </c>
      <c r="N3" s="9" t="s">
        <v>35</v>
      </c>
      <c r="O3" s="9" t="s">
        <v>30</v>
      </c>
      <c r="P3" s="9"/>
      <c r="Q3" s="9"/>
      <c r="R3" s="9"/>
      <c r="S3" s="9"/>
      <c r="T3" s="9"/>
      <c r="U3" s="9"/>
      <c r="V3" s="12" t="s">
        <v>31</v>
      </c>
      <c r="W3" s="12"/>
      <c r="X3" s="14" t="b">
        <f>[1]STR!$X3</f>
        <v>0</v>
      </c>
      <c r="Y3" t="s">
        <v>31</v>
      </c>
    </row>
    <row r="4" spans="1:26">
      <c r="A4" s="8">
        <v>46265</v>
      </c>
      <c r="B4" s="9" t="s">
        <v>36</v>
      </c>
      <c r="C4" s="9" t="s">
        <v>37</v>
      </c>
      <c r="D4" s="9">
        <v>1801001127301</v>
      </c>
      <c r="E4" s="9" t="s">
        <v>38</v>
      </c>
      <c r="F4" s="9"/>
      <c r="G4" s="9"/>
      <c r="H4" s="9"/>
      <c r="I4" s="9" t="s">
        <v>34</v>
      </c>
      <c r="J4" s="9"/>
      <c r="K4" s="9"/>
      <c r="L4" s="9" t="s">
        <v>34</v>
      </c>
      <c r="M4" s="9" t="s">
        <v>35</v>
      </c>
      <c r="N4" s="9" t="s">
        <v>35</v>
      </c>
      <c r="O4" s="9" t="s">
        <v>30</v>
      </c>
      <c r="P4" s="9"/>
      <c r="Q4" s="9"/>
      <c r="R4" s="9"/>
      <c r="S4" s="9"/>
      <c r="T4" s="9"/>
      <c r="U4" s="9"/>
      <c r="V4" s="12" t="s">
        <v>31</v>
      </c>
      <c r="W4" s="12"/>
      <c r="X4" s="14" t="b">
        <f>[1]STR!$X4</f>
        <v>0</v>
      </c>
      <c r="Y4" t="s">
        <v>31</v>
      </c>
    </row>
    <row r="5" spans="1:26">
      <c r="A5" s="8">
        <v>46265</v>
      </c>
      <c r="B5" s="9" t="s">
        <v>39</v>
      </c>
      <c r="C5" s="9" t="s">
        <v>40</v>
      </c>
      <c r="D5" s="9">
        <v>50201000645561</v>
      </c>
      <c r="E5" s="9">
        <v>0</v>
      </c>
      <c r="F5" s="9"/>
      <c r="G5" s="9"/>
      <c r="H5" s="9"/>
      <c r="I5" s="9" t="s">
        <v>41</v>
      </c>
      <c r="J5" s="9"/>
      <c r="K5" s="9"/>
      <c r="L5" s="9" t="s">
        <v>42</v>
      </c>
      <c r="M5" s="9" t="s">
        <v>43</v>
      </c>
      <c r="N5" s="9" t="s">
        <v>44</v>
      </c>
      <c r="O5" s="9" t="s">
        <v>30</v>
      </c>
      <c r="P5" s="9"/>
      <c r="Q5" s="9"/>
      <c r="R5" s="9"/>
      <c r="S5" s="9"/>
      <c r="T5" s="9"/>
      <c r="U5" s="9"/>
      <c r="V5" s="12" t="s">
        <v>31</v>
      </c>
      <c r="W5" s="12"/>
      <c r="X5" s="14" t="b">
        <f>[1]STR!$X5</f>
        <v>0</v>
      </c>
      <c r="Y5" t="s">
        <v>31</v>
      </c>
      <c r="Z5" t="s">
        <v>45</v>
      </c>
    </row>
    <row r="6" spans="1:26">
      <c r="A6" s="8">
        <v>46265</v>
      </c>
      <c r="B6" s="9" t="s">
        <v>46</v>
      </c>
      <c r="C6" s="9" t="s">
        <v>47</v>
      </c>
      <c r="D6" s="9">
        <v>43401000834305</v>
      </c>
      <c r="E6" s="9" t="s">
        <v>38</v>
      </c>
      <c r="F6" s="9"/>
      <c r="G6" s="9"/>
      <c r="H6" s="9"/>
      <c r="I6" s="9" t="s">
        <v>34</v>
      </c>
      <c r="J6" s="9"/>
      <c r="K6" s="9"/>
      <c r="L6" s="9" t="s">
        <v>34</v>
      </c>
      <c r="M6" s="9" t="s">
        <v>48</v>
      </c>
      <c r="N6" s="9" t="s">
        <v>48</v>
      </c>
      <c r="O6" s="9" t="s">
        <v>30</v>
      </c>
      <c r="P6" s="9"/>
      <c r="Q6" s="9"/>
      <c r="R6" s="9"/>
      <c r="S6" s="9"/>
      <c r="T6" s="9"/>
      <c r="U6" s="9"/>
      <c r="V6" s="12" t="s">
        <v>31</v>
      </c>
      <c r="W6" s="12"/>
      <c r="X6" s="14" t="b">
        <f>[1]STR!$X6</f>
        <v>0</v>
      </c>
      <c r="Y6" t="s">
        <v>31</v>
      </c>
    </row>
    <row r="7" spans="1:26">
      <c r="A7" s="8">
        <v>46265</v>
      </c>
      <c r="B7" s="9" t="s">
        <v>49</v>
      </c>
      <c r="C7" s="9" t="s">
        <v>50</v>
      </c>
      <c r="D7" s="9">
        <v>20601007093301</v>
      </c>
      <c r="E7" s="9" t="s">
        <v>38</v>
      </c>
      <c r="F7" s="9"/>
      <c r="G7" s="9"/>
      <c r="H7" s="9"/>
      <c r="I7" s="9" t="s">
        <v>34</v>
      </c>
      <c r="J7" s="9"/>
      <c r="K7" s="9"/>
      <c r="L7" s="9" t="s">
        <v>34</v>
      </c>
      <c r="M7" s="9" t="s">
        <v>51</v>
      </c>
      <c r="N7" s="9" t="s">
        <v>51</v>
      </c>
      <c r="O7" s="9" t="s">
        <v>30</v>
      </c>
      <c r="P7" s="9"/>
      <c r="Q7" s="9"/>
      <c r="R7" s="9"/>
      <c r="S7" s="9"/>
      <c r="T7" s="9"/>
      <c r="U7" s="9"/>
      <c r="V7" s="12" t="s">
        <v>31</v>
      </c>
      <c r="W7" s="12"/>
      <c r="X7" s="14" t="b">
        <f>[1]STR!$X7</f>
        <v>1</v>
      </c>
      <c r="Y7" t="s">
        <v>31</v>
      </c>
    </row>
    <row r="8" spans="1:26">
      <c r="A8" s="8">
        <v>46265</v>
      </c>
      <c r="B8" s="9" t="s">
        <v>52</v>
      </c>
      <c r="C8" s="9" t="s">
        <v>53</v>
      </c>
      <c r="D8" s="9">
        <v>20601005112303</v>
      </c>
      <c r="E8" s="9" t="s">
        <v>38</v>
      </c>
      <c r="F8" s="9"/>
      <c r="G8" s="9"/>
      <c r="H8" s="9"/>
      <c r="I8" s="9" t="s">
        <v>34</v>
      </c>
      <c r="J8" s="9"/>
      <c r="K8" s="9"/>
      <c r="L8" s="9" t="s">
        <v>34</v>
      </c>
      <c r="M8" s="9" t="s">
        <v>51</v>
      </c>
      <c r="N8" s="9" t="s">
        <v>51</v>
      </c>
      <c r="O8" s="9" t="s">
        <v>30</v>
      </c>
      <c r="P8" s="9"/>
      <c r="Q8" s="9"/>
      <c r="R8" s="9"/>
      <c r="S8" s="9"/>
      <c r="T8" s="9"/>
      <c r="U8" s="9"/>
      <c r="V8" s="12" t="s">
        <v>31</v>
      </c>
      <c r="W8" s="12"/>
      <c r="X8" s="14" t="b">
        <f>[1]STR!$X8</f>
        <v>0</v>
      </c>
      <c r="Y8" t="s">
        <v>31</v>
      </c>
    </row>
    <row r="9" spans="1:26">
      <c r="A9" s="8">
        <v>46265</v>
      </c>
      <c r="B9" s="9" t="s">
        <v>54</v>
      </c>
      <c r="C9" s="9" t="s">
        <v>55</v>
      </c>
      <c r="D9" s="9">
        <v>26101001073301</v>
      </c>
      <c r="E9" s="9" t="s">
        <v>38</v>
      </c>
      <c r="F9" s="9"/>
      <c r="G9" s="9"/>
      <c r="H9" s="9"/>
      <c r="I9" s="9" t="s">
        <v>34</v>
      </c>
      <c r="J9" s="9"/>
      <c r="K9" s="9"/>
      <c r="L9" s="9" t="s">
        <v>34</v>
      </c>
      <c r="M9" s="9" t="s">
        <v>56</v>
      </c>
      <c r="N9" s="9" t="s">
        <v>56</v>
      </c>
      <c r="O9" s="9" t="s">
        <v>30</v>
      </c>
      <c r="P9" s="9"/>
      <c r="Q9" s="9"/>
      <c r="R9" s="9"/>
      <c r="S9" s="9"/>
      <c r="T9" s="9"/>
      <c r="U9" s="9"/>
      <c r="V9" s="12" t="s">
        <v>31</v>
      </c>
      <c r="W9" s="12"/>
      <c r="X9" s="14" t="b">
        <f>[1]STR!$X9</f>
        <v>0</v>
      </c>
      <c r="Y9" t="s">
        <v>31</v>
      </c>
    </row>
    <row r="10" spans="1:26">
      <c r="A10" s="8">
        <v>46265</v>
      </c>
      <c r="B10" s="9" t="s">
        <v>57</v>
      </c>
      <c r="C10" s="9" t="s">
        <v>58</v>
      </c>
      <c r="D10" s="9">
        <v>12201109911504</v>
      </c>
      <c r="E10" s="9" t="s">
        <v>38</v>
      </c>
      <c r="F10" s="9"/>
      <c r="G10" s="9"/>
      <c r="H10" s="9"/>
      <c r="I10" s="9" t="s">
        <v>59</v>
      </c>
      <c r="J10" s="9"/>
      <c r="K10" s="9"/>
      <c r="L10" s="9" t="s">
        <v>60</v>
      </c>
      <c r="M10" s="9" t="s">
        <v>61</v>
      </c>
      <c r="N10" s="9" t="s">
        <v>61</v>
      </c>
      <c r="O10" s="9" t="s">
        <v>62</v>
      </c>
      <c r="P10" s="9"/>
      <c r="Q10" s="9"/>
      <c r="R10" s="9"/>
      <c r="S10" s="9"/>
      <c r="T10" s="9"/>
      <c r="U10" s="9"/>
      <c r="V10" s="12" t="s">
        <v>31</v>
      </c>
      <c r="W10" s="12"/>
      <c r="X10" s="14" t="b">
        <f>[1]STR!$X10</f>
        <v>0</v>
      </c>
      <c r="Y10" t="s">
        <v>31</v>
      </c>
    </row>
    <row r="11" spans="1:26">
      <c r="A11" s="8">
        <v>46265</v>
      </c>
      <c r="B11" s="9" t="s">
        <v>63</v>
      </c>
      <c r="C11" s="9" t="s">
        <v>64</v>
      </c>
      <c r="D11" s="9">
        <v>94301016569507</v>
      </c>
      <c r="E11" s="9">
        <v>0</v>
      </c>
      <c r="F11" s="9"/>
      <c r="G11" s="9"/>
      <c r="H11" s="9"/>
      <c r="I11" s="9" t="s">
        <v>41</v>
      </c>
      <c r="J11" s="9"/>
      <c r="K11" s="9"/>
      <c r="L11" s="9" t="s">
        <v>42</v>
      </c>
      <c r="M11" s="9" t="s">
        <v>65</v>
      </c>
      <c r="N11" s="9" t="s">
        <v>66</v>
      </c>
      <c r="O11" s="9" t="s">
        <v>30</v>
      </c>
      <c r="P11" s="9"/>
      <c r="Q11" s="9"/>
      <c r="R11" s="9"/>
      <c r="S11" s="9"/>
      <c r="T11" s="9"/>
      <c r="U11" s="9"/>
      <c r="V11" s="12" t="s">
        <v>31</v>
      </c>
      <c r="W11" s="12"/>
      <c r="X11" s="14" t="b">
        <f>[1]STR!$X11</f>
        <v>0</v>
      </c>
      <c r="Y11" t="s">
        <v>31</v>
      </c>
    </row>
    <row r="12" spans="1:26">
      <c r="A12" s="8">
        <v>46265</v>
      </c>
      <c r="B12" s="9" t="s">
        <v>67</v>
      </c>
      <c r="C12" s="9" t="s">
        <v>68</v>
      </c>
      <c r="D12" s="9">
        <v>322101010896509</v>
      </c>
      <c r="E12" s="9">
        <v>0</v>
      </c>
      <c r="F12" s="9"/>
      <c r="G12" s="9"/>
      <c r="H12" s="9"/>
      <c r="I12" s="9" t="s">
        <v>41</v>
      </c>
      <c r="J12" s="9"/>
      <c r="K12" s="9"/>
      <c r="L12" s="9" t="s">
        <v>42</v>
      </c>
      <c r="M12" s="9" t="s">
        <v>69</v>
      </c>
      <c r="N12" s="9" t="s">
        <v>70</v>
      </c>
      <c r="O12" s="9" t="s">
        <v>30</v>
      </c>
      <c r="P12" s="9"/>
      <c r="Q12" s="9"/>
      <c r="R12" s="9"/>
      <c r="S12" s="9"/>
      <c r="T12" s="9"/>
      <c r="U12" s="9"/>
      <c r="V12" s="12" t="s">
        <v>31</v>
      </c>
      <c r="W12" s="12"/>
      <c r="X12" s="14" t="b">
        <f>[1]STR!$X12</f>
        <v>0</v>
      </c>
      <c r="Y12" t="s">
        <v>31</v>
      </c>
    </row>
    <row r="13" spans="1:26">
      <c r="A13" s="8">
        <v>46265</v>
      </c>
      <c r="B13" s="9" t="s">
        <v>71</v>
      </c>
      <c r="C13" s="9" t="s">
        <v>72</v>
      </c>
      <c r="D13" s="9">
        <v>12201002975568</v>
      </c>
      <c r="E13" s="9">
        <v>0</v>
      </c>
      <c r="F13" s="9"/>
      <c r="G13" s="9"/>
      <c r="H13" s="9"/>
      <c r="I13" s="9" t="s">
        <v>34</v>
      </c>
      <c r="J13" s="9"/>
      <c r="K13" s="9"/>
      <c r="L13" s="9" t="s">
        <v>34</v>
      </c>
      <c r="M13" s="9" t="s">
        <v>73</v>
      </c>
      <c r="N13" s="9" t="s">
        <v>73</v>
      </c>
      <c r="O13" s="9" t="s">
        <v>30</v>
      </c>
      <c r="P13" s="9"/>
      <c r="Q13" s="9"/>
      <c r="R13" s="9"/>
      <c r="S13" s="9"/>
      <c r="T13" s="9"/>
      <c r="U13" s="9"/>
      <c r="V13" s="12" t="s">
        <v>31</v>
      </c>
      <c r="W13" s="12"/>
      <c r="X13" s="14" t="b">
        <f>[1]STR!$X13</f>
        <v>0</v>
      </c>
      <c r="Y13" t="s">
        <v>31</v>
      </c>
    </row>
    <row r="14" spans="1:26">
      <c r="A14" s="8">
        <v>46265</v>
      </c>
      <c r="B14" s="9" t="s">
        <v>74</v>
      </c>
      <c r="C14" s="9" t="s">
        <v>75</v>
      </c>
      <c r="D14" s="9">
        <v>38601333888565</v>
      </c>
      <c r="E14" s="9" t="s">
        <v>38</v>
      </c>
      <c r="F14" s="9"/>
      <c r="G14" s="9"/>
      <c r="H14" s="9"/>
      <c r="I14" s="9" t="s">
        <v>34</v>
      </c>
      <c r="J14" s="9"/>
      <c r="K14" s="9"/>
      <c r="L14" s="9" t="s">
        <v>34</v>
      </c>
      <c r="M14" s="9" t="s">
        <v>76</v>
      </c>
      <c r="N14" s="9" t="s">
        <v>76</v>
      </c>
      <c r="O14" s="9" t="s">
        <v>30</v>
      </c>
      <c r="P14" s="9"/>
      <c r="Q14" s="9"/>
      <c r="R14" s="9"/>
      <c r="S14" s="9"/>
      <c r="T14" s="9"/>
      <c r="U14" s="9"/>
      <c r="V14" s="12" t="s">
        <v>31</v>
      </c>
      <c r="W14" s="12"/>
      <c r="X14" s="14" t="b">
        <f>[1]STR!$X14</f>
        <v>0</v>
      </c>
      <c r="Y14" t="s">
        <v>31</v>
      </c>
    </row>
    <row r="15" spans="1:26">
      <c r="A15" s="8">
        <v>46265</v>
      </c>
      <c r="B15" s="9" t="s">
        <v>77</v>
      </c>
      <c r="C15" s="9" t="s">
        <v>78</v>
      </c>
      <c r="D15" s="9">
        <v>38601121989567</v>
      </c>
      <c r="E15" s="9" t="s">
        <v>38</v>
      </c>
      <c r="F15" s="9"/>
      <c r="G15" s="9"/>
      <c r="H15" s="9"/>
      <c r="I15" s="9" t="s">
        <v>34</v>
      </c>
      <c r="J15" s="9"/>
      <c r="K15" s="9"/>
      <c r="L15" s="9" t="s">
        <v>34</v>
      </c>
      <c r="M15" s="9" t="s">
        <v>76</v>
      </c>
      <c r="N15" s="9" t="s">
        <v>76</v>
      </c>
      <c r="O15" s="9" t="s">
        <v>30</v>
      </c>
      <c r="P15" s="9"/>
      <c r="Q15" s="9"/>
      <c r="R15" s="9"/>
      <c r="S15" s="9"/>
      <c r="T15" s="9"/>
      <c r="U15" s="9"/>
      <c r="V15" s="12" t="s">
        <v>31</v>
      </c>
      <c r="W15" s="12"/>
      <c r="X15" s="14" t="b">
        <f>[1]STR!$X15</f>
        <v>1</v>
      </c>
      <c r="Y15" t="s">
        <v>31</v>
      </c>
    </row>
    <row r="16" spans="1:26">
      <c r="A16" s="8">
        <v>46265</v>
      </c>
      <c r="B16" s="9" t="s">
        <v>79</v>
      </c>
      <c r="C16" s="9" t="s">
        <v>80</v>
      </c>
      <c r="D16" s="9">
        <v>5326599000001850</v>
      </c>
      <c r="E16" s="9" t="s">
        <v>26</v>
      </c>
      <c r="F16" s="9"/>
      <c r="G16" s="9"/>
      <c r="H16" s="9"/>
      <c r="I16" s="9" t="s">
        <v>27</v>
      </c>
      <c r="J16" s="9"/>
      <c r="K16" s="9"/>
      <c r="L16" s="9" t="s">
        <v>28</v>
      </c>
      <c r="M16" s="9" t="s">
        <v>29</v>
      </c>
      <c r="N16" s="9" t="s">
        <v>29</v>
      </c>
      <c r="O16" s="9" t="s">
        <v>30</v>
      </c>
      <c r="P16" s="9"/>
      <c r="Q16" s="9"/>
      <c r="R16" s="9"/>
      <c r="S16" s="9"/>
      <c r="T16" s="9"/>
      <c r="U16" s="9"/>
      <c r="V16" s="12" t="s">
        <v>31</v>
      </c>
      <c r="W16" s="12"/>
      <c r="X16" s="14" t="b">
        <f>[1]STR!$X16</f>
        <v>0</v>
      </c>
      <c r="Y16" t="s">
        <v>31</v>
      </c>
    </row>
    <row r="17" spans="1:25">
      <c r="A17" s="8">
        <v>46265</v>
      </c>
      <c r="B17" s="9" t="s">
        <v>81</v>
      </c>
      <c r="C17" s="9" t="s">
        <v>82</v>
      </c>
      <c r="D17" s="9">
        <v>38601001724566</v>
      </c>
      <c r="E17" s="9" t="s">
        <v>26</v>
      </c>
      <c r="F17" s="9"/>
      <c r="G17" s="9"/>
      <c r="H17" s="9"/>
      <c r="I17" s="9" t="s">
        <v>34</v>
      </c>
      <c r="J17" s="9"/>
      <c r="K17" s="9"/>
      <c r="L17" s="9" t="s">
        <v>34</v>
      </c>
      <c r="M17" s="9" t="s">
        <v>76</v>
      </c>
      <c r="N17" s="9" t="s">
        <v>76</v>
      </c>
      <c r="O17" s="9" t="s">
        <v>30</v>
      </c>
      <c r="P17" s="9"/>
      <c r="Q17" s="9"/>
      <c r="R17" s="9"/>
      <c r="S17" s="9"/>
      <c r="T17" s="9"/>
      <c r="U17" s="9"/>
      <c r="V17" s="12" t="s">
        <v>31</v>
      </c>
      <c r="W17" s="12"/>
      <c r="X17" s="14" t="b">
        <f>[1]STR!$X17</f>
        <v>0</v>
      </c>
      <c r="Y17" t="s">
        <v>31</v>
      </c>
    </row>
    <row r="18" spans="1:25">
      <c r="A18" s="8">
        <v>46265</v>
      </c>
      <c r="B18" s="9" t="s">
        <v>83</v>
      </c>
      <c r="C18" s="9" t="s">
        <v>84</v>
      </c>
      <c r="D18" s="9">
        <v>33801000397563</v>
      </c>
      <c r="E18" s="9" t="s">
        <v>26</v>
      </c>
      <c r="F18" s="9"/>
      <c r="G18" s="9"/>
      <c r="H18" s="9"/>
      <c r="I18" s="9" t="s">
        <v>85</v>
      </c>
      <c r="J18" s="9"/>
      <c r="K18" s="9"/>
      <c r="L18" s="9" t="s">
        <v>86</v>
      </c>
      <c r="M18" s="9" t="s">
        <v>87</v>
      </c>
      <c r="N18" s="9" t="s">
        <v>87</v>
      </c>
      <c r="O18" s="9" t="s">
        <v>30</v>
      </c>
      <c r="P18" s="9"/>
      <c r="Q18" s="9"/>
      <c r="R18" s="9"/>
      <c r="S18" s="9"/>
      <c r="T18" s="9"/>
      <c r="U18" s="9"/>
      <c r="V18" s="12" t="s">
        <v>31</v>
      </c>
      <c r="W18" s="12"/>
      <c r="X18" s="14" t="b">
        <f>[1]STR!$X18</f>
        <v>0</v>
      </c>
      <c r="Y18" t="s">
        <v>31</v>
      </c>
    </row>
    <row r="19" spans="1:25">
      <c r="A19" s="8">
        <v>46265</v>
      </c>
      <c r="B19" s="9" t="s">
        <v>88</v>
      </c>
      <c r="C19" s="9" t="s">
        <v>89</v>
      </c>
      <c r="D19" s="9">
        <v>44201002095300</v>
      </c>
      <c r="E19" s="9" t="s">
        <v>38</v>
      </c>
      <c r="F19" s="9"/>
      <c r="G19" s="9"/>
      <c r="H19" s="9"/>
      <c r="I19" s="9" t="s">
        <v>34</v>
      </c>
      <c r="J19" s="9"/>
      <c r="K19" s="9"/>
      <c r="L19" s="9" t="s">
        <v>34</v>
      </c>
      <c r="M19" s="9" t="s">
        <v>90</v>
      </c>
      <c r="N19" s="9" t="s">
        <v>90</v>
      </c>
      <c r="O19" s="9" t="s">
        <v>30</v>
      </c>
      <c r="P19" s="9"/>
      <c r="Q19" s="9"/>
      <c r="R19" s="9"/>
      <c r="S19" s="9"/>
      <c r="T19" s="9"/>
      <c r="U19" s="9"/>
      <c r="V19" s="12" t="s">
        <v>31</v>
      </c>
      <c r="W19" s="12"/>
      <c r="X19" s="14" t="b">
        <f>[1]STR!$X19</f>
        <v>0</v>
      </c>
      <c r="Y19" t="s">
        <v>31</v>
      </c>
    </row>
    <row r="20" spans="1:25">
      <c r="A20" s="8">
        <v>46265</v>
      </c>
      <c r="B20" s="9" t="s">
        <v>91</v>
      </c>
      <c r="C20" s="9" t="s">
        <v>92</v>
      </c>
      <c r="D20" s="9">
        <v>35601092515507</v>
      </c>
      <c r="E20" s="9">
        <v>0</v>
      </c>
      <c r="F20" s="9"/>
      <c r="G20" s="9"/>
      <c r="H20" s="9"/>
      <c r="I20" s="9" t="s">
        <v>41</v>
      </c>
      <c r="J20" s="9"/>
      <c r="K20" s="9"/>
      <c r="L20" s="9" t="s">
        <v>42</v>
      </c>
      <c r="M20" s="9" t="s">
        <v>93</v>
      </c>
      <c r="N20" s="9" t="s">
        <v>93</v>
      </c>
      <c r="O20" s="9" t="s">
        <v>30</v>
      </c>
      <c r="P20" s="9"/>
      <c r="Q20" s="9"/>
      <c r="R20" s="9"/>
      <c r="S20" s="9"/>
      <c r="T20" s="9"/>
      <c r="U20" s="9"/>
      <c r="V20" s="12" t="s">
        <v>31</v>
      </c>
      <c r="W20" s="12"/>
      <c r="X20" s="14" t="b">
        <f>[1]STR!$X20</f>
        <v>0</v>
      </c>
      <c r="Y20" t="s">
        <v>31</v>
      </c>
    </row>
    <row r="21" spans="1:25">
      <c r="A21" s="8">
        <v>46265</v>
      </c>
      <c r="B21" s="9" t="s">
        <v>94</v>
      </c>
      <c r="C21" s="9" t="s">
        <v>95</v>
      </c>
      <c r="D21" s="9">
        <v>5326590002342130</v>
      </c>
      <c r="E21" s="9" t="s">
        <v>38</v>
      </c>
      <c r="F21" s="9"/>
      <c r="G21" s="9"/>
      <c r="H21" s="9"/>
      <c r="I21" s="9" t="s">
        <v>27</v>
      </c>
      <c r="J21" s="9"/>
      <c r="K21" s="9"/>
      <c r="L21" s="9" t="s">
        <v>28</v>
      </c>
      <c r="M21" s="9" t="s">
        <v>29</v>
      </c>
      <c r="N21" s="9" t="s">
        <v>29</v>
      </c>
      <c r="O21" s="9" t="s">
        <v>30</v>
      </c>
      <c r="P21" s="9"/>
      <c r="Q21" s="9"/>
      <c r="R21" s="9"/>
      <c r="S21" s="9"/>
      <c r="T21" s="9"/>
      <c r="U21" s="9"/>
      <c r="V21" s="12" t="s">
        <v>31</v>
      </c>
      <c r="W21" s="12"/>
      <c r="X21" s="14" t="b">
        <f>[1]STR!$X21</f>
        <v>0</v>
      </c>
      <c r="Y21" t="s">
        <v>31</v>
      </c>
    </row>
    <row r="22" spans="1:25">
      <c r="A22" s="8">
        <v>46265</v>
      </c>
      <c r="B22" s="9" t="s">
        <v>96</v>
      </c>
      <c r="C22" s="9" t="s">
        <v>97</v>
      </c>
      <c r="D22" s="9">
        <v>33801069135500</v>
      </c>
      <c r="E22" s="9">
        <v>0</v>
      </c>
      <c r="F22" s="9"/>
      <c r="G22" s="9"/>
      <c r="H22" s="9"/>
      <c r="I22" s="9" t="s">
        <v>41</v>
      </c>
      <c r="J22" s="9"/>
      <c r="K22" s="9"/>
      <c r="L22" s="9" t="s">
        <v>42</v>
      </c>
      <c r="M22" s="9" t="s">
        <v>87</v>
      </c>
      <c r="N22" s="9" t="s">
        <v>87</v>
      </c>
      <c r="O22" s="9" t="s">
        <v>30</v>
      </c>
      <c r="P22" s="9"/>
      <c r="Q22" s="9"/>
      <c r="R22" s="9"/>
      <c r="S22" s="9"/>
      <c r="T22" s="9"/>
      <c r="U22" s="9"/>
      <c r="V22" s="12" t="s">
        <v>31</v>
      </c>
      <c r="W22" s="12"/>
      <c r="X22" s="14" t="b">
        <f>[1]STR!$X22</f>
        <v>0</v>
      </c>
      <c r="Y22" t="s">
        <v>31</v>
      </c>
    </row>
    <row r="23" spans="1:25">
      <c r="A23" s="8">
        <v>46265</v>
      </c>
      <c r="B23" s="9" t="s">
        <v>98</v>
      </c>
      <c r="C23" s="9" t="s">
        <v>99</v>
      </c>
      <c r="D23" s="9">
        <v>32901005484308</v>
      </c>
      <c r="E23" s="9" t="s">
        <v>38</v>
      </c>
      <c r="F23" s="9"/>
      <c r="G23" s="9"/>
      <c r="H23" s="9"/>
      <c r="I23" s="9" t="s">
        <v>34</v>
      </c>
      <c r="J23" s="9"/>
      <c r="K23" s="9"/>
      <c r="L23" s="9" t="s">
        <v>34</v>
      </c>
      <c r="M23" s="9" t="s">
        <v>100</v>
      </c>
      <c r="N23" s="9" t="s">
        <v>100</v>
      </c>
      <c r="O23" s="9" t="s">
        <v>30</v>
      </c>
      <c r="P23" s="9"/>
      <c r="Q23" s="9"/>
      <c r="R23" s="9"/>
      <c r="S23" s="9"/>
      <c r="T23" s="9"/>
      <c r="U23" s="9"/>
      <c r="V23" s="12" t="s">
        <v>31</v>
      </c>
      <c r="W23" s="12"/>
      <c r="X23" s="14" t="b">
        <f>[1]STR!$X23</f>
        <v>1</v>
      </c>
      <c r="Y23" t="s">
        <v>31</v>
      </c>
    </row>
    <row r="24" spans="1:25">
      <c r="A24" s="8">
        <v>46265</v>
      </c>
      <c r="B24" s="9" t="s">
        <v>101</v>
      </c>
      <c r="C24" s="9" t="s">
        <v>102</v>
      </c>
      <c r="D24" s="9">
        <v>41901002210307</v>
      </c>
      <c r="E24" s="9" t="s">
        <v>38</v>
      </c>
      <c r="F24" s="9"/>
      <c r="G24" s="9"/>
      <c r="H24" s="9"/>
      <c r="I24" s="9" t="s">
        <v>34</v>
      </c>
      <c r="J24" s="9"/>
      <c r="K24" s="9"/>
      <c r="L24" s="9" t="s">
        <v>34</v>
      </c>
      <c r="M24" s="9" t="s">
        <v>70</v>
      </c>
      <c r="N24" s="9" t="s">
        <v>70</v>
      </c>
      <c r="O24" s="9" t="s">
        <v>30</v>
      </c>
      <c r="P24" s="9"/>
      <c r="Q24" s="9"/>
      <c r="R24" s="9"/>
      <c r="S24" s="9"/>
      <c r="T24" s="9"/>
      <c r="U24" s="9"/>
      <c r="V24" s="12" t="s">
        <v>31</v>
      </c>
      <c r="W24" s="12"/>
      <c r="X24" s="14" t="b">
        <f>[1]STR!$X24</f>
        <v>0</v>
      </c>
      <c r="Y24" t="s">
        <v>31</v>
      </c>
    </row>
    <row r="25" spans="1:25">
      <c r="A25" s="8">
        <v>46265</v>
      </c>
      <c r="B25" s="9" t="s">
        <v>103</v>
      </c>
      <c r="C25" s="9" t="s">
        <v>104</v>
      </c>
      <c r="D25" s="9">
        <v>207901000201302</v>
      </c>
      <c r="E25" s="9">
        <v>0</v>
      </c>
      <c r="F25" s="9"/>
      <c r="G25" s="9"/>
      <c r="H25" s="9"/>
      <c r="I25" s="9" t="s">
        <v>34</v>
      </c>
      <c r="J25" s="9"/>
      <c r="K25" s="9"/>
      <c r="L25" s="9" t="s">
        <v>34</v>
      </c>
      <c r="M25" s="9" t="s">
        <v>105</v>
      </c>
      <c r="N25" s="9" t="s">
        <v>100</v>
      </c>
      <c r="O25" s="9" t="s">
        <v>30</v>
      </c>
      <c r="P25" s="9"/>
      <c r="Q25" s="9"/>
      <c r="R25" s="9"/>
      <c r="S25" s="9"/>
      <c r="T25" s="9"/>
      <c r="U25" s="9"/>
      <c r="V25" s="12" t="s">
        <v>31</v>
      </c>
      <c r="W25" s="12"/>
      <c r="X25" s="14" t="b">
        <f>[1]STR!$X25</f>
        <v>1</v>
      </c>
      <c r="Y25" t="s">
        <v>31</v>
      </c>
    </row>
    <row r="26" spans="1:25">
      <c r="A26" s="8">
        <v>46265</v>
      </c>
      <c r="B26" s="9" t="s">
        <v>106</v>
      </c>
      <c r="C26" s="9" t="s">
        <v>107</v>
      </c>
      <c r="D26" s="9">
        <v>330601010338503</v>
      </c>
      <c r="E26" s="9">
        <v>0</v>
      </c>
      <c r="F26" s="9"/>
      <c r="G26" s="9"/>
      <c r="H26" s="9"/>
      <c r="I26" s="9" t="s">
        <v>41</v>
      </c>
      <c r="J26" s="9"/>
      <c r="K26" s="9"/>
      <c r="L26" s="9" t="s">
        <v>42</v>
      </c>
      <c r="M26" s="9" t="s">
        <v>108</v>
      </c>
      <c r="N26" s="9" t="s">
        <v>70</v>
      </c>
      <c r="O26" s="9" t="s">
        <v>30</v>
      </c>
      <c r="P26" s="9"/>
      <c r="Q26" s="9"/>
      <c r="R26" s="9"/>
      <c r="S26" s="9"/>
      <c r="T26" s="9"/>
      <c r="U26" s="9"/>
      <c r="V26" s="12" t="s">
        <v>31</v>
      </c>
      <c r="W26" s="12"/>
      <c r="X26" s="14" t="b">
        <f>[1]STR!$X26</f>
        <v>0</v>
      </c>
      <c r="Y26" t="s">
        <v>31</v>
      </c>
    </row>
    <row r="27" spans="1:25">
      <c r="A27" s="8">
        <v>46265</v>
      </c>
      <c r="B27" s="9" t="s">
        <v>109</v>
      </c>
      <c r="C27" s="9" t="s">
        <v>110</v>
      </c>
      <c r="D27" s="9">
        <v>38601000997564</v>
      </c>
      <c r="E27" s="9" t="s">
        <v>38</v>
      </c>
      <c r="F27" s="9"/>
      <c r="G27" s="9"/>
      <c r="H27" s="9"/>
      <c r="I27" s="9" t="s">
        <v>34</v>
      </c>
      <c r="J27" s="9"/>
      <c r="K27" s="9"/>
      <c r="L27" s="9" t="s">
        <v>34</v>
      </c>
      <c r="M27" s="9" t="s">
        <v>76</v>
      </c>
      <c r="N27" s="9" t="s">
        <v>76</v>
      </c>
      <c r="O27" s="9" t="s">
        <v>30</v>
      </c>
      <c r="P27" s="9"/>
      <c r="Q27" s="9"/>
      <c r="R27" s="9"/>
      <c r="S27" s="9"/>
      <c r="T27" s="9"/>
      <c r="U27" s="9"/>
      <c r="V27" s="12" t="s">
        <v>31</v>
      </c>
      <c r="W27" s="12"/>
      <c r="X27" s="14" t="b">
        <f>[1]STR!$X27</f>
        <v>0</v>
      </c>
      <c r="Y27" t="s">
        <v>31</v>
      </c>
    </row>
    <row r="28" spans="1:25">
      <c r="A28" s="8">
        <v>46265</v>
      </c>
      <c r="B28" s="9" t="s">
        <v>111</v>
      </c>
      <c r="C28" s="9" t="s">
        <v>112</v>
      </c>
      <c r="D28" s="9">
        <v>202001000270300</v>
      </c>
      <c r="E28" s="9" t="s">
        <v>38</v>
      </c>
      <c r="F28" s="9"/>
      <c r="G28" s="9"/>
      <c r="H28" s="9"/>
      <c r="I28" s="9" t="s">
        <v>34</v>
      </c>
      <c r="J28" s="9"/>
      <c r="K28" s="9"/>
      <c r="L28" s="9" t="s">
        <v>34</v>
      </c>
      <c r="M28" s="9" t="s">
        <v>113</v>
      </c>
      <c r="N28" s="9" t="s">
        <v>100</v>
      </c>
      <c r="O28" s="9" t="s">
        <v>30</v>
      </c>
      <c r="P28" s="9"/>
      <c r="Q28" s="9"/>
      <c r="R28" s="9"/>
      <c r="S28" s="9"/>
      <c r="T28" s="9"/>
      <c r="U28" s="9"/>
      <c r="V28" s="12" t="s">
        <v>31</v>
      </c>
      <c r="W28" s="12"/>
      <c r="X28" s="14" t="b">
        <f>[1]STR!$X28</f>
        <v>0</v>
      </c>
      <c r="Y28" t="s">
        <v>31</v>
      </c>
    </row>
    <row r="29" spans="1:25">
      <c r="A29" s="8">
        <v>46265</v>
      </c>
      <c r="B29" s="9" t="s">
        <v>114</v>
      </c>
      <c r="C29" s="9" t="s">
        <v>115</v>
      </c>
      <c r="D29" s="9">
        <v>202001000271306</v>
      </c>
      <c r="E29" s="9" t="s">
        <v>38</v>
      </c>
      <c r="F29" s="9"/>
      <c r="G29" s="9"/>
      <c r="H29" s="9"/>
      <c r="I29" s="9" t="s">
        <v>34</v>
      </c>
      <c r="J29" s="9"/>
      <c r="K29" s="9"/>
      <c r="L29" s="9" t="s">
        <v>34</v>
      </c>
      <c r="M29" s="9" t="s">
        <v>113</v>
      </c>
      <c r="N29" s="9" t="s">
        <v>100</v>
      </c>
      <c r="O29" s="9" t="s">
        <v>30</v>
      </c>
      <c r="P29" s="9"/>
      <c r="Q29" s="9"/>
      <c r="R29" s="9"/>
      <c r="S29" s="9"/>
      <c r="T29" s="9"/>
      <c r="U29" s="9"/>
      <c r="V29" s="12" t="s">
        <v>31</v>
      </c>
      <c r="W29" s="12"/>
      <c r="X29" s="14" t="b">
        <f>[1]STR!$X29</f>
        <v>0</v>
      </c>
      <c r="Y29" t="s">
        <v>31</v>
      </c>
    </row>
    <row r="30" spans="1:25">
      <c r="A30" s="8">
        <v>46265</v>
      </c>
      <c r="B30" s="9" t="s">
        <v>116</v>
      </c>
      <c r="C30" s="9" t="s">
        <v>117</v>
      </c>
      <c r="D30" s="9">
        <v>202001000272302</v>
      </c>
      <c r="E30" s="9" t="s">
        <v>38</v>
      </c>
      <c r="F30" s="9"/>
      <c r="G30" s="9"/>
      <c r="H30" s="9"/>
      <c r="I30" s="9" t="s">
        <v>34</v>
      </c>
      <c r="J30" s="9"/>
      <c r="K30" s="9"/>
      <c r="L30" s="9" t="s">
        <v>34</v>
      </c>
      <c r="M30" s="9" t="s">
        <v>113</v>
      </c>
      <c r="N30" s="9" t="s">
        <v>100</v>
      </c>
      <c r="O30" s="9" t="s">
        <v>30</v>
      </c>
      <c r="P30" s="9"/>
      <c r="Q30" s="9"/>
      <c r="R30" s="9"/>
      <c r="S30" s="9"/>
      <c r="T30" s="9"/>
      <c r="U30" s="9"/>
      <c r="V30" s="12" t="s">
        <v>31</v>
      </c>
      <c r="W30" s="12"/>
      <c r="X30" s="14" t="b">
        <f>[1]STR!$X30</f>
        <v>0</v>
      </c>
      <c r="Y30" t="s">
        <v>31</v>
      </c>
    </row>
    <row r="31" spans="1:25">
      <c r="A31" s="8">
        <v>46265</v>
      </c>
      <c r="B31" s="9" t="s">
        <v>118</v>
      </c>
      <c r="C31" s="9" t="s">
        <v>119</v>
      </c>
      <c r="D31" s="9">
        <v>202001000273308</v>
      </c>
      <c r="E31" s="9" t="s">
        <v>38</v>
      </c>
      <c r="F31" s="9"/>
      <c r="G31" s="9"/>
      <c r="H31" s="9"/>
      <c r="I31" s="9" t="s">
        <v>34</v>
      </c>
      <c r="J31" s="9"/>
      <c r="K31" s="9"/>
      <c r="L31" s="9" t="s">
        <v>34</v>
      </c>
      <c r="M31" s="9" t="s">
        <v>113</v>
      </c>
      <c r="N31" s="9" t="s">
        <v>100</v>
      </c>
      <c r="O31" s="9" t="s">
        <v>30</v>
      </c>
      <c r="P31" s="9"/>
      <c r="Q31" s="9"/>
      <c r="R31" s="9"/>
      <c r="S31" s="9"/>
      <c r="T31" s="9"/>
      <c r="U31" s="9"/>
      <c r="V31" s="12" t="s">
        <v>31</v>
      </c>
      <c r="W31" s="12"/>
      <c r="X31" s="14" t="b">
        <f>[1]STR!$X31</f>
        <v>0</v>
      </c>
      <c r="Y31" t="s">
        <v>31</v>
      </c>
    </row>
    <row r="32" spans="1:25">
      <c r="A32" s="8">
        <v>46265</v>
      </c>
      <c r="B32" s="9" t="s">
        <v>120</v>
      </c>
      <c r="C32" s="9" t="s">
        <v>121</v>
      </c>
      <c r="D32" s="9">
        <v>202001000279304</v>
      </c>
      <c r="E32" s="9" t="s">
        <v>38</v>
      </c>
      <c r="F32" s="9"/>
      <c r="G32" s="9"/>
      <c r="H32" s="9"/>
      <c r="I32" s="9" t="s">
        <v>34</v>
      </c>
      <c r="J32" s="9"/>
      <c r="K32" s="9"/>
      <c r="L32" s="9" t="s">
        <v>34</v>
      </c>
      <c r="M32" s="9" t="s">
        <v>113</v>
      </c>
      <c r="N32" s="9" t="s">
        <v>100</v>
      </c>
      <c r="O32" s="9" t="s">
        <v>30</v>
      </c>
      <c r="P32" s="9"/>
      <c r="Q32" s="9"/>
      <c r="R32" s="9"/>
      <c r="S32" s="9"/>
      <c r="T32" s="9"/>
      <c r="U32" s="9"/>
      <c r="V32" s="12" t="s">
        <v>31</v>
      </c>
      <c r="W32" s="12"/>
      <c r="X32" s="14" t="b">
        <f>[1]STR!$X32</f>
        <v>0</v>
      </c>
      <c r="Y32" t="s">
        <v>31</v>
      </c>
    </row>
    <row r="33" spans="1:25">
      <c r="A33" s="8">
        <v>46265</v>
      </c>
      <c r="B33" s="9" t="s">
        <v>122</v>
      </c>
      <c r="C33" s="9" t="s">
        <v>123</v>
      </c>
      <c r="D33" s="9">
        <v>32901004612306</v>
      </c>
      <c r="E33" s="9" t="s">
        <v>38</v>
      </c>
      <c r="F33" s="9"/>
      <c r="G33" s="9"/>
      <c r="H33" s="9"/>
      <c r="I33" s="9" t="s">
        <v>34</v>
      </c>
      <c r="J33" s="9"/>
      <c r="K33" s="9"/>
      <c r="L33" s="9" t="s">
        <v>34</v>
      </c>
      <c r="M33" s="9" t="s">
        <v>100</v>
      </c>
      <c r="N33" s="9" t="s">
        <v>100</v>
      </c>
      <c r="O33" s="9" t="s">
        <v>30</v>
      </c>
      <c r="P33" s="9"/>
      <c r="Q33" s="9"/>
      <c r="R33" s="9"/>
      <c r="S33" s="9"/>
      <c r="T33" s="9"/>
      <c r="U33" s="9"/>
      <c r="V33" s="12" t="s">
        <v>31</v>
      </c>
      <c r="W33" s="12"/>
      <c r="X33" s="14" t="b">
        <f>[1]STR!$X33</f>
        <v>1</v>
      </c>
      <c r="Y33" t="s">
        <v>31</v>
      </c>
    </row>
    <row r="34" spans="1:25">
      <c r="A34" s="8">
        <v>46265</v>
      </c>
      <c r="B34" s="9" t="s">
        <v>124</v>
      </c>
      <c r="C34" s="9" t="s">
        <v>125</v>
      </c>
      <c r="D34" s="9">
        <v>38601002682301</v>
      </c>
      <c r="E34" s="9" t="s">
        <v>38</v>
      </c>
      <c r="F34" s="9"/>
      <c r="G34" s="9"/>
      <c r="H34" s="9"/>
      <c r="I34" s="9" t="s">
        <v>34</v>
      </c>
      <c r="J34" s="9"/>
      <c r="K34" s="9"/>
      <c r="L34" s="9" t="s">
        <v>34</v>
      </c>
      <c r="M34" s="9" t="s">
        <v>76</v>
      </c>
      <c r="N34" s="9" t="s">
        <v>76</v>
      </c>
      <c r="O34" s="9" t="s">
        <v>30</v>
      </c>
      <c r="P34" s="9"/>
      <c r="Q34" s="9"/>
      <c r="R34" s="9"/>
      <c r="S34" s="9"/>
      <c r="T34" s="9"/>
      <c r="U34" s="9"/>
      <c r="V34" s="12" t="s">
        <v>31</v>
      </c>
      <c r="W34" s="12"/>
      <c r="X34" s="14" t="b">
        <f>[1]STR!$X34</f>
        <v>1</v>
      </c>
      <c r="Y34" t="s">
        <v>31</v>
      </c>
    </row>
    <row r="35" spans="1:25">
      <c r="A35" s="8">
        <v>46265</v>
      </c>
      <c r="B35" s="9" t="s">
        <v>126</v>
      </c>
      <c r="C35" s="9" t="s">
        <v>127</v>
      </c>
      <c r="D35" s="9">
        <v>207901000188300</v>
      </c>
      <c r="E35" s="9" t="s">
        <v>38</v>
      </c>
      <c r="F35" s="9"/>
      <c r="G35" s="9"/>
      <c r="H35" s="9"/>
      <c r="I35" s="9" t="s">
        <v>34</v>
      </c>
      <c r="J35" s="9"/>
      <c r="K35" s="9"/>
      <c r="L35" s="9" t="s">
        <v>34</v>
      </c>
      <c r="M35" s="9" t="s">
        <v>105</v>
      </c>
      <c r="N35" s="9" t="s">
        <v>100</v>
      </c>
      <c r="O35" s="9" t="s">
        <v>30</v>
      </c>
      <c r="P35" s="9"/>
      <c r="Q35" s="9"/>
      <c r="R35" s="9"/>
      <c r="S35" s="9"/>
      <c r="T35" s="9"/>
      <c r="U35" s="9"/>
      <c r="V35" s="12" t="s">
        <v>31</v>
      </c>
      <c r="W35" s="12"/>
      <c r="X35" s="14" t="b">
        <f>[1]STR!$X35</f>
        <v>0</v>
      </c>
      <c r="Y35" t="s">
        <v>31</v>
      </c>
    </row>
    <row r="36" spans="1:25">
      <c r="A36" s="8">
        <v>46265</v>
      </c>
      <c r="B36" s="9" t="s">
        <v>128</v>
      </c>
      <c r="C36" s="9" t="s">
        <v>129</v>
      </c>
      <c r="D36" s="9">
        <v>35601002355303</v>
      </c>
      <c r="E36" s="9">
        <v>0</v>
      </c>
      <c r="F36" s="9"/>
      <c r="G36" s="9"/>
      <c r="H36" s="9"/>
      <c r="I36" s="9" t="s">
        <v>34</v>
      </c>
      <c r="J36" s="9"/>
      <c r="K36" s="9"/>
      <c r="L36" s="9" t="s">
        <v>34</v>
      </c>
      <c r="M36" s="9" t="s">
        <v>93</v>
      </c>
      <c r="N36" s="9" t="s">
        <v>93</v>
      </c>
      <c r="O36" s="9" t="s">
        <v>30</v>
      </c>
      <c r="P36" s="9"/>
      <c r="Q36" s="9"/>
      <c r="R36" s="9"/>
      <c r="S36" s="9"/>
      <c r="T36" s="9"/>
      <c r="U36" s="9"/>
      <c r="V36" s="12" t="s">
        <v>31</v>
      </c>
      <c r="W36" s="12"/>
      <c r="X36" s="14" t="b">
        <f>[1]STR!$X36</f>
        <v>0</v>
      </c>
      <c r="Y36" t="s">
        <v>31</v>
      </c>
    </row>
    <row r="37" spans="1:25">
      <c r="A37" s="8">
        <v>46265</v>
      </c>
      <c r="B37" s="9" t="s">
        <v>130</v>
      </c>
      <c r="C37" s="9" t="s">
        <v>131</v>
      </c>
      <c r="D37" s="9">
        <v>38601003059307</v>
      </c>
      <c r="E37" s="9">
        <v>0</v>
      </c>
      <c r="F37" s="9"/>
      <c r="G37" s="9"/>
      <c r="H37" s="9"/>
      <c r="I37" s="9" t="s">
        <v>34</v>
      </c>
      <c r="J37" s="9"/>
      <c r="K37" s="9"/>
      <c r="L37" s="9" t="s">
        <v>34</v>
      </c>
      <c r="M37" s="9" t="s">
        <v>76</v>
      </c>
      <c r="N37" s="9" t="s">
        <v>76</v>
      </c>
      <c r="O37" s="9" t="s">
        <v>30</v>
      </c>
      <c r="P37" s="9"/>
      <c r="Q37" s="9"/>
      <c r="R37" s="9"/>
      <c r="S37" s="9"/>
      <c r="T37" s="9"/>
      <c r="U37" s="9"/>
      <c r="V37" s="12" t="s">
        <v>31</v>
      </c>
      <c r="W37" s="12"/>
      <c r="X37" s="14" t="b">
        <f>[1]STR!$X37</f>
        <v>0</v>
      </c>
      <c r="Y37" t="s">
        <v>31</v>
      </c>
    </row>
    <row r="38" spans="1:25">
      <c r="A38" s="8">
        <v>46265</v>
      </c>
      <c r="B38" s="9" t="s">
        <v>132</v>
      </c>
      <c r="C38" s="9" t="s">
        <v>133</v>
      </c>
      <c r="D38" s="9">
        <v>224801007780504</v>
      </c>
      <c r="E38" s="9">
        <v>0</v>
      </c>
      <c r="F38" s="9"/>
      <c r="G38" s="9"/>
      <c r="H38" s="9"/>
      <c r="I38" s="9" t="s">
        <v>41</v>
      </c>
      <c r="J38" s="9"/>
      <c r="K38" s="9"/>
      <c r="L38" s="9" t="s">
        <v>42</v>
      </c>
      <c r="M38" s="9" t="s">
        <v>134</v>
      </c>
      <c r="N38" s="9" t="s">
        <v>135</v>
      </c>
      <c r="O38" s="9" t="s">
        <v>30</v>
      </c>
      <c r="P38" s="9"/>
      <c r="Q38" s="9"/>
      <c r="R38" s="9"/>
      <c r="S38" s="9"/>
      <c r="T38" s="9"/>
      <c r="U38" s="9"/>
      <c r="V38" s="12" t="s">
        <v>31</v>
      </c>
      <c r="W38" s="12"/>
      <c r="X38" s="14" t="b">
        <f>[1]STR!$X38</f>
        <v>0</v>
      </c>
      <c r="Y38" t="s">
        <v>31</v>
      </c>
    </row>
    <row r="39" spans="1:25">
      <c r="A39" s="8">
        <v>46265</v>
      </c>
      <c r="B39" s="9" t="s">
        <v>136</v>
      </c>
      <c r="C39" s="9" t="s">
        <v>137</v>
      </c>
      <c r="D39" s="9">
        <v>35601095224503</v>
      </c>
      <c r="E39" s="9">
        <v>0</v>
      </c>
      <c r="F39" s="9"/>
      <c r="G39" s="9"/>
      <c r="H39" s="9"/>
      <c r="I39" s="9" t="s">
        <v>41</v>
      </c>
      <c r="J39" s="9"/>
      <c r="K39" s="9"/>
      <c r="L39" s="9" t="s">
        <v>42</v>
      </c>
      <c r="M39" s="9" t="s">
        <v>93</v>
      </c>
      <c r="N39" s="9" t="s">
        <v>93</v>
      </c>
      <c r="O39" s="9" t="s">
        <v>30</v>
      </c>
      <c r="P39" s="9"/>
      <c r="Q39" s="9"/>
      <c r="R39" s="9"/>
      <c r="S39" s="9"/>
      <c r="T39" s="9"/>
      <c r="U39" s="9"/>
      <c r="V39" s="12" t="s">
        <v>31</v>
      </c>
      <c r="W39" s="12"/>
      <c r="X39" s="14" t="b">
        <f>[1]STR!$X39</f>
        <v>0</v>
      </c>
      <c r="Y39" t="s">
        <v>31</v>
      </c>
    </row>
    <row r="40" spans="1:25">
      <c r="A40" s="8">
        <v>46265</v>
      </c>
      <c r="B40" s="9" t="s">
        <v>138</v>
      </c>
      <c r="C40" s="9" t="s">
        <v>139</v>
      </c>
      <c r="D40" s="9">
        <v>321801013109508</v>
      </c>
      <c r="E40" s="9">
        <v>0</v>
      </c>
      <c r="F40" s="9"/>
      <c r="G40" s="9"/>
      <c r="H40" s="9"/>
      <c r="I40" s="9" t="s">
        <v>41</v>
      </c>
      <c r="J40" s="9"/>
      <c r="K40" s="9"/>
      <c r="L40" s="9" t="s">
        <v>42</v>
      </c>
      <c r="M40" s="9" t="s">
        <v>140</v>
      </c>
      <c r="N40" s="9" t="s">
        <v>141</v>
      </c>
      <c r="O40" s="9" t="s">
        <v>30</v>
      </c>
      <c r="P40" s="9"/>
      <c r="Q40" s="9"/>
      <c r="R40" s="9"/>
      <c r="S40" s="9"/>
      <c r="T40" s="9"/>
      <c r="U40" s="9"/>
      <c r="V40" s="12" t="s">
        <v>31</v>
      </c>
      <c r="W40" s="12"/>
      <c r="X40" s="14" t="b">
        <f>[1]STR!$X40</f>
        <v>0</v>
      </c>
      <c r="Y40" t="s">
        <v>31</v>
      </c>
    </row>
    <row r="41" spans="1:25">
      <c r="A41" s="8">
        <v>46265</v>
      </c>
      <c r="B41" s="9" t="s">
        <v>142</v>
      </c>
      <c r="C41" s="9" t="s">
        <v>143</v>
      </c>
      <c r="D41" s="9">
        <v>1801002265568</v>
      </c>
      <c r="E41" s="9" t="s">
        <v>26</v>
      </c>
      <c r="F41" s="9"/>
      <c r="G41" s="9"/>
      <c r="H41" s="9"/>
      <c r="I41" s="9" t="s">
        <v>34</v>
      </c>
      <c r="J41" s="9"/>
      <c r="K41" s="9"/>
      <c r="L41" s="9" t="s">
        <v>34</v>
      </c>
      <c r="M41" s="9" t="s">
        <v>35</v>
      </c>
      <c r="N41" s="9" t="s">
        <v>35</v>
      </c>
      <c r="O41" s="9" t="s">
        <v>30</v>
      </c>
      <c r="P41" s="9"/>
      <c r="Q41" s="9"/>
      <c r="R41" s="9"/>
      <c r="S41" s="9"/>
      <c r="T41" s="9"/>
      <c r="U41" s="9"/>
      <c r="V41" s="12" t="s">
        <v>31</v>
      </c>
      <c r="W41" s="12"/>
      <c r="X41" s="14" t="b">
        <f>[1]STR!$X41</f>
        <v>0</v>
      </c>
      <c r="Y41" t="s">
        <v>31</v>
      </c>
    </row>
    <row r="42" spans="1:25">
      <c r="A42" s="8">
        <v>46265</v>
      </c>
      <c r="B42" s="9" t="s">
        <v>144</v>
      </c>
      <c r="C42" s="9" t="s">
        <v>145</v>
      </c>
      <c r="D42" s="9">
        <v>32001999168563</v>
      </c>
      <c r="E42" s="9">
        <v>0</v>
      </c>
      <c r="F42" s="9"/>
      <c r="G42" s="9"/>
      <c r="H42" s="9"/>
      <c r="I42" s="9" t="s">
        <v>34</v>
      </c>
      <c r="J42" s="9"/>
      <c r="K42" s="9"/>
      <c r="L42" s="9" t="s">
        <v>34</v>
      </c>
      <c r="M42" s="9" t="s">
        <v>146</v>
      </c>
      <c r="N42" s="9" t="s">
        <v>146</v>
      </c>
      <c r="O42" s="9" t="s">
        <v>30</v>
      </c>
      <c r="P42" s="9"/>
      <c r="Q42" s="9"/>
      <c r="R42" s="9"/>
      <c r="S42" s="9"/>
      <c r="T42" s="9"/>
      <c r="U42" s="9"/>
      <c r="V42" s="12" t="s">
        <v>31</v>
      </c>
      <c r="W42" s="12"/>
      <c r="X42" s="14" t="b">
        <f>[1]STR!$X42</f>
        <v>0</v>
      </c>
      <c r="Y42" t="s">
        <v>31</v>
      </c>
    </row>
    <row r="43" spans="1:25">
      <c r="A43" s="8">
        <v>46265</v>
      </c>
      <c r="B43" s="9" t="s">
        <v>147</v>
      </c>
      <c r="C43" s="9" t="s">
        <v>148</v>
      </c>
      <c r="D43" s="9">
        <v>93001012024500</v>
      </c>
      <c r="E43" s="9">
        <v>0</v>
      </c>
      <c r="F43" s="9"/>
      <c r="G43" s="9"/>
      <c r="H43" s="9"/>
      <c r="I43" s="9" t="s">
        <v>41</v>
      </c>
      <c r="J43" s="9"/>
      <c r="K43" s="9"/>
      <c r="L43" s="9" t="s">
        <v>42</v>
      </c>
      <c r="M43" s="9" t="s">
        <v>149</v>
      </c>
      <c r="N43" s="9" t="s">
        <v>141</v>
      </c>
      <c r="O43" s="9" t="s">
        <v>30</v>
      </c>
      <c r="P43" s="9"/>
      <c r="Q43" s="9"/>
      <c r="R43" s="9"/>
      <c r="S43" s="9"/>
      <c r="T43" s="9"/>
      <c r="U43" s="9"/>
      <c r="V43" s="12" t="s">
        <v>31</v>
      </c>
      <c r="W43" s="12"/>
      <c r="X43" s="14" t="b">
        <f>[1]STR!$X43</f>
        <v>0</v>
      </c>
      <c r="Y43" t="s">
        <v>31</v>
      </c>
    </row>
    <row r="44" spans="1:25">
      <c r="A44" s="8">
        <v>46265</v>
      </c>
      <c r="B44" s="9" t="s">
        <v>150</v>
      </c>
      <c r="C44" s="9" t="s">
        <v>151</v>
      </c>
      <c r="D44" s="9">
        <v>12201190993501</v>
      </c>
      <c r="E44" s="9">
        <v>0</v>
      </c>
      <c r="F44" s="9"/>
      <c r="G44" s="9"/>
      <c r="H44" s="9"/>
      <c r="I44" s="9" t="s">
        <v>41</v>
      </c>
      <c r="J44" s="9"/>
      <c r="K44" s="9"/>
      <c r="L44" s="9" t="s">
        <v>42</v>
      </c>
      <c r="M44" s="9" t="s">
        <v>73</v>
      </c>
      <c r="N44" s="9" t="s">
        <v>73</v>
      </c>
      <c r="O44" s="9" t="s">
        <v>30</v>
      </c>
      <c r="P44" s="9"/>
      <c r="Q44" s="9"/>
      <c r="R44" s="9"/>
      <c r="S44" s="9"/>
      <c r="T44" s="9"/>
      <c r="U44" s="9"/>
      <c r="V44" s="12" t="s">
        <v>31</v>
      </c>
      <c r="W44" s="12"/>
      <c r="X44" s="14" t="b">
        <f>[1]STR!$X44</f>
        <v>0</v>
      </c>
      <c r="Y44" t="s">
        <v>31</v>
      </c>
    </row>
    <row r="45" spans="1:25">
      <c r="A45" s="8">
        <v>46265</v>
      </c>
      <c r="B45" s="9" t="s">
        <v>152</v>
      </c>
      <c r="C45" s="9" t="s">
        <v>153</v>
      </c>
      <c r="D45" s="9">
        <v>41601888899301</v>
      </c>
      <c r="E45" s="9">
        <v>0</v>
      </c>
      <c r="F45" s="9"/>
      <c r="G45" s="9"/>
      <c r="H45" s="9"/>
      <c r="I45" s="9" t="s">
        <v>34</v>
      </c>
      <c r="J45" s="9"/>
      <c r="K45" s="9"/>
      <c r="L45" s="9" t="s">
        <v>34</v>
      </c>
      <c r="M45" s="9" t="s">
        <v>154</v>
      </c>
      <c r="N45" s="9" t="s">
        <v>154</v>
      </c>
      <c r="O45" s="9" t="s">
        <v>30</v>
      </c>
      <c r="P45" s="9"/>
      <c r="Q45" s="9"/>
      <c r="R45" s="9"/>
      <c r="S45" s="9"/>
      <c r="T45" s="9"/>
      <c r="U45" s="9"/>
      <c r="V45" s="12" t="s">
        <v>31</v>
      </c>
      <c r="W45" s="12"/>
      <c r="X45" s="14" t="b">
        <f>[1]STR!$X45</f>
        <v>0</v>
      </c>
      <c r="Y45" t="s">
        <v>31</v>
      </c>
    </row>
    <row r="46" spans="1:25">
      <c r="A46" s="8">
        <v>46265</v>
      </c>
      <c r="B46" s="9" t="s">
        <v>155</v>
      </c>
      <c r="C46" s="9" t="s">
        <v>156</v>
      </c>
      <c r="D46" s="9">
        <v>117001049319507</v>
      </c>
      <c r="E46" s="9">
        <v>0</v>
      </c>
      <c r="F46" s="9"/>
      <c r="G46" s="9"/>
      <c r="H46" s="9"/>
      <c r="I46" s="9" t="s">
        <v>41</v>
      </c>
      <c r="J46" s="9"/>
      <c r="K46" s="9"/>
      <c r="L46" s="9" t="s">
        <v>42</v>
      </c>
      <c r="M46" s="9" t="s">
        <v>157</v>
      </c>
      <c r="N46" s="9" t="s">
        <v>90</v>
      </c>
      <c r="O46" s="9" t="s">
        <v>30</v>
      </c>
      <c r="P46" s="9"/>
      <c r="Q46" s="9"/>
      <c r="R46" s="9"/>
      <c r="S46" s="9"/>
      <c r="T46" s="9"/>
      <c r="U46" s="9"/>
      <c r="V46" s="12" t="s">
        <v>31</v>
      </c>
      <c r="W46" s="12"/>
      <c r="X46" s="14" t="b">
        <f>[1]STR!$X46</f>
        <v>0</v>
      </c>
      <c r="Y46" t="s">
        <v>31</v>
      </c>
    </row>
    <row r="47" spans="1:25">
      <c r="A47" s="8">
        <v>46265</v>
      </c>
      <c r="B47" s="9" t="s">
        <v>158</v>
      </c>
      <c r="C47" s="9" t="s">
        <v>159</v>
      </c>
      <c r="D47" s="9">
        <v>120601010978505</v>
      </c>
      <c r="E47" s="9">
        <v>0</v>
      </c>
      <c r="F47" s="9"/>
      <c r="G47" s="9"/>
      <c r="H47" s="9"/>
      <c r="I47" s="9" t="s">
        <v>41</v>
      </c>
      <c r="J47" s="9"/>
      <c r="K47" s="9"/>
      <c r="L47" s="9" t="s">
        <v>42</v>
      </c>
      <c r="M47" s="9" t="s">
        <v>160</v>
      </c>
      <c r="N47" s="9" t="s">
        <v>73</v>
      </c>
      <c r="O47" s="9" t="s">
        <v>30</v>
      </c>
      <c r="P47" s="9"/>
      <c r="Q47" s="9"/>
      <c r="R47" s="9"/>
      <c r="S47" s="9"/>
      <c r="T47" s="9"/>
      <c r="U47" s="9"/>
      <c r="V47" s="12" t="s">
        <v>31</v>
      </c>
      <c r="W47" s="12"/>
      <c r="X47" s="14" t="b">
        <f>[1]STR!$X47</f>
        <v>0</v>
      </c>
      <c r="Y47" t="s">
        <v>31</v>
      </c>
    </row>
    <row r="48" spans="1:25">
      <c r="A48" s="8">
        <v>46265</v>
      </c>
      <c r="B48" s="9" t="s">
        <v>161</v>
      </c>
      <c r="C48" s="9" t="s">
        <v>162</v>
      </c>
      <c r="D48" s="9">
        <v>5326595012622440</v>
      </c>
      <c r="E48" s="9" t="s">
        <v>26</v>
      </c>
      <c r="F48" s="9"/>
      <c r="G48" s="9"/>
      <c r="H48" s="9"/>
      <c r="I48" s="9" t="s">
        <v>27</v>
      </c>
      <c r="J48" s="9"/>
      <c r="K48" s="9"/>
      <c r="L48" s="9" t="s">
        <v>28</v>
      </c>
      <c r="M48" s="9" t="s">
        <v>29</v>
      </c>
      <c r="N48" s="9" t="s">
        <v>29</v>
      </c>
      <c r="O48" s="9" t="s">
        <v>30</v>
      </c>
      <c r="P48" s="9"/>
      <c r="Q48" s="9"/>
      <c r="R48" s="9"/>
      <c r="S48" s="9"/>
      <c r="T48" s="9"/>
      <c r="U48" s="9"/>
      <c r="V48" s="12" t="s">
        <v>31</v>
      </c>
      <c r="W48" s="12"/>
      <c r="X48" s="14" t="b">
        <f>[1]STR!$X48</f>
        <v>0</v>
      </c>
      <c r="Y48" t="s">
        <v>31</v>
      </c>
    </row>
    <row r="49" spans="1:25">
      <c r="A49" s="8">
        <v>46265</v>
      </c>
      <c r="B49" s="9" t="s">
        <v>163</v>
      </c>
      <c r="C49" s="9" t="s">
        <v>164</v>
      </c>
      <c r="D49" s="9">
        <v>94201000033564</v>
      </c>
      <c r="E49" s="9">
        <v>0</v>
      </c>
      <c r="F49" s="9"/>
      <c r="G49" s="9"/>
      <c r="H49" s="9"/>
      <c r="I49" s="9" t="s">
        <v>34</v>
      </c>
      <c r="J49" s="9"/>
      <c r="K49" s="9"/>
      <c r="L49" s="9" t="s">
        <v>34</v>
      </c>
      <c r="M49" s="9" t="s">
        <v>165</v>
      </c>
      <c r="N49" s="9" t="s">
        <v>66</v>
      </c>
      <c r="O49" s="9" t="s">
        <v>30</v>
      </c>
      <c r="P49" s="9"/>
      <c r="Q49" s="9"/>
      <c r="R49" s="9"/>
      <c r="S49" s="9"/>
      <c r="T49" s="9"/>
      <c r="U49" s="9"/>
      <c r="V49" s="12" t="s">
        <v>31</v>
      </c>
      <c r="W49" s="12"/>
      <c r="X49" s="14" t="b">
        <f>[1]STR!$X49</f>
        <v>1</v>
      </c>
      <c r="Y49" t="s">
        <v>31</v>
      </c>
    </row>
    <row r="50" spans="1:25">
      <c r="A50" s="8">
        <v>46265</v>
      </c>
      <c r="B50" s="9" t="s">
        <v>166</v>
      </c>
      <c r="C50" s="9" t="s">
        <v>167</v>
      </c>
      <c r="D50" s="9">
        <v>93101028525530</v>
      </c>
      <c r="E50" s="9" t="s">
        <v>38</v>
      </c>
      <c r="F50" s="9"/>
      <c r="G50" s="9"/>
      <c r="H50" s="9"/>
      <c r="I50" s="9" t="s">
        <v>34</v>
      </c>
      <c r="J50" s="9"/>
      <c r="K50" s="9"/>
      <c r="L50" s="9" t="s">
        <v>34</v>
      </c>
      <c r="M50" s="9" t="s">
        <v>168</v>
      </c>
      <c r="N50" s="9" t="s">
        <v>90</v>
      </c>
      <c r="O50" s="9" t="s">
        <v>30</v>
      </c>
      <c r="P50" s="9"/>
      <c r="Q50" s="9"/>
      <c r="R50" s="9"/>
      <c r="S50" s="9"/>
      <c r="T50" s="9"/>
      <c r="U50" s="9"/>
      <c r="V50" s="12" t="s">
        <v>31</v>
      </c>
      <c r="W50" s="12"/>
      <c r="X50" s="14" t="b">
        <f>[1]STR!$X50</f>
        <v>0</v>
      </c>
      <c r="Y50" t="s">
        <v>31</v>
      </c>
    </row>
    <row r="51" spans="1:25">
      <c r="A51" s="8">
        <v>46265</v>
      </c>
      <c r="B51" s="9" t="s">
        <v>169</v>
      </c>
      <c r="C51" s="9" t="s">
        <v>170</v>
      </c>
      <c r="D51" s="9">
        <v>0</v>
      </c>
      <c r="E51" s="9" t="s">
        <v>26</v>
      </c>
      <c r="F51" s="9"/>
      <c r="G51" s="9"/>
      <c r="H51" s="9"/>
      <c r="I51" s="9" t="s">
        <v>27</v>
      </c>
      <c r="J51" s="9"/>
      <c r="K51" s="9"/>
      <c r="L51" s="9" t="s">
        <v>28</v>
      </c>
      <c r="M51" s="9" t="s">
        <v>51</v>
      </c>
      <c r="N51" s="9" t="s">
        <v>51</v>
      </c>
      <c r="O51" s="9" t="s">
        <v>30</v>
      </c>
      <c r="P51" s="9"/>
      <c r="Q51" s="9"/>
      <c r="R51" s="9"/>
      <c r="S51" s="9"/>
      <c r="T51" s="9"/>
      <c r="U51" s="9"/>
      <c r="V51" s="12" t="s">
        <v>31</v>
      </c>
      <c r="W51" s="12"/>
      <c r="X51" s="14" t="b">
        <f>[1]STR!$X51</f>
        <v>0</v>
      </c>
      <c r="Y51" t="s">
        <v>31</v>
      </c>
    </row>
    <row r="52" spans="1:25">
      <c r="A52" s="8">
        <v>46265</v>
      </c>
      <c r="B52" s="9" t="s">
        <v>171</v>
      </c>
      <c r="C52" s="9" t="s">
        <v>172</v>
      </c>
      <c r="D52" s="9">
        <v>33801002235301</v>
      </c>
      <c r="E52" s="9">
        <v>0</v>
      </c>
      <c r="F52" s="9"/>
      <c r="G52" s="9"/>
      <c r="H52" s="9"/>
      <c r="I52" s="9" t="s">
        <v>34</v>
      </c>
      <c r="J52" s="9"/>
      <c r="K52" s="9"/>
      <c r="L52" s="9" t="s">
        <v>34</v>
      </c>
      <c r="M52" s="9" t="s">
        <v>87</v>
      </c>
      <c r="N52" s="9" t="s">
        <v>87</v>
      </c>
      <c r="O52" s="9" t="s">
        <v>30</v>
      </c>
      <c r="P52" s="9"/>
      <c r="Q52" s="9"/>
      <c r="R52" s="9"/>
      <c r="S52" s="9"/>
      <c r="T52" s="9"/>
      <c r="U52" s="9"/>
      <c r="V52" s="12" t="s">
        <v>31</v>
      </c>
      <c r="W52" s="12"/>
      <c r="X52" s="14" t="b">
        <f>[1]STR!$X52</f>
        <v>0</v>
      </c>
      <c r="Y52" t="s">
        <v>31</v>
      </c>
    </row>
    <row r="53" spans="1:25">
      <c r="A53" s="8">
        <v>46265</v>
      </c>
      <c r="B53" s="9" t="s">
        <v>173</v>
      </c>
      <c r="C53" s="9" t="s">
        <v>174</v>
      </c>
      <c r="D53" s="9">
        <v>32001001649308</v>
      </c>
      <c r="E53" s="9" t="s">
        <v>38</v>
      </c>
      <c r="F53" s="9"/>
      <c r="G53" s="9"/>
      <c r="H53" s="9"/>
      <c r="I53" s="9" t="s">
        <v>34</v>
      </c>
      <c r="J53" s="9"/>
      <c r="K53" s="9"/>
      <c r="L53" s="9" t="s">
        <v>34</v>
      </c>
      <c r="M53" s="9" t="s">
        <v>146</v>
      </c>
      <c r="N53" s="9" t="s">
        <v>146</v>
      </c>
      <c r="O53" s="9" t="s">
        <v>30</v>
      </c>
      <c r="P53" s="9"/>
      <c r="Q53" s="9"/>
      <c r="R53" s="9"/>
      <c r="S53" s="9"/>
      <c r="T53" s="9"/>
      <c r="U53" s="9"/>
      <c r="V53" s="12" t="s">
        <v>31</v>
      </c>
      <c r="W53" s="12"/>
      <c r="X53" s="14" t="b">
        <f>[1]STR!$X53</f>
        <v>0</v>
      </c>
      <c r="Y53" t="s">
        <v>31</v>
      </c>
    </row>
    <row r="54" spans="1:25">
      <c r="A54" s="8">
        <v>46265</v>
      </c>
      <c r="B54" s="9" t="s">
        <v>175</v>
      </c>
      <c r="C54" s="9" t="s">
        <v>176</v>
      </c>
      <c r="D54" s="9">
        <v>20601007200306</v>
      </c>
      <c r="E54" s="9" t="s">
        <v>38</v>
      </c>
      <c r="F54" s="9"/>
      <c r="G54" s="9"/>
      <c r="H54" s="9"/>
      <c r="I54" s="9" t="s">
        <v>34</v>
      </c>
      <c r="J54" s="9"/>
      <c r="K54" s="9"/>
      <c r="L54" s="9" t="s">
        <v>34</v>
      </c>
      <c r="M54" s="9" t="s">
        <v>51</v>
      </c>
      <c r="N54" s="9" t="s">
        <v>51</v>
      </c>
      <c r="O54" s="9" t="s">
        <v>30</v>
      </c>
      <c r="P54" s="9"/>
      <c r="Q54" s="9"/>
      <c r="R54" s="9"/>
      <c r="S54" s="9"/>
      <c r="T54" s="9"/>
      <c r="U54" s="9"/>
      <c r="V54" s="12" t="s">
        <v>31</v>
      </c>
      <c r="W54" s="12"/>
      <c r="X54" s="14" t="b">
        <f>[1]STR!$X54</f>
        <v>0</v>
      </c>
      <c r="Y54" t="s">
        <v>31</v>
      </c>
    </row>
    <row r="55" spans="1:25">
      <c r="A55" s="8">
        <v>46265</v>
      </c>
      <c r="B55" s="9" t="s">
        <v>177</v>
      </c>
      <c r="C55" s="9" t="s">
        <v>178</v>
      </c>
      <c r="D55" s="9">
        <v>1801003127569</v>
      </c>
      <c r="E55" s="9">
        <v>0</v>
      </c>
      <c r="F55" s="9"/>
      <c r="G55" s="9"/>
      <c r="H55" s="9"/>
      <c r="I55" s="9" t="s">
        <v>34</v>
      </c>
      <c r="J55" s="9"/>
      <c r="K55" s="9"/>
      <c r="L55" s="9" t="s">
        <v>34</v>
      </c>
      <c r="M55" s="9" t="s">
        <v>35</v>
      </c>
      <c r="N55" s="9" t="s">
        <v>35</v>
      </c>
      <c r="O55" s="9" t="s">
        <v>30</v>
      </c>
      <c r="P55" s="9"/>
      <c r="Q55" s="9"/>
      <c r="R55" s="9"/>
      <c r="S55" s="9"/>
      <c r="T55" s="9"/>
      <c r="U55" s="9"/>
      <c r="V55" s="12" t="s">
        <v>31</v>
      </c>
      <c r="W55" s="12"/>
      <c r="X55" s="14" t="b">
        <f>[1]STR!$X55</f>
        <v>0</v>
      </c>
      <c r="Y55" t="s">
        <v>31</v>
      </c>
    </row>
    <row r="56" spans="1:25">
      <c r="A56" s="8">
        <v>46265</v>
      </c>
      <c r="B56" s="9" t="s">
        <v>179</v>
      </c>
      <c r="C56" s="9" t="s">
        <v>180</v>
      </c>
      <c r="D56" s="9">
        <v>35601002010301</v>
      </c>
      <c r="E56" s="9" t="s">
        <v>26</v>
      </c>
      <c r="F56" s="9"/>
      <c r="G56" s="9"/>
      <c r="H56" s="9"/>
      <c r="I56" s="9" t="s">
        <v>34</v>
      </c>
      <c r="J56" s="9"/>
      <c r="K56" s="9"/>
      <c r="L56" s="9" t="s">
        <v>34</v>
      </c>
      <c r="M56" s="9" t="s">
        <v>93</v>
      </c>
      <c r="N56" s="9" t="s">
        <v>93</v>
      </c>
      <c r="O56" s="9" t="s">
        <v>30</v>
      </c>
      <c r="P56" s="9"/>
      <c r="Q56" s="9"/>
      <c r="R56" s="9"/>
      <c r="S56" s="9"/>
      <c r="T56" s="9"/>
      <c r="U56" s="9"/>
      <c r="V56" s="12" t="s">
        <v>31</v>
      </c>
      <c r="W56" s="12"/>
      <c r="X56" s="14" t="b">
        <f>[1]STR!$X56</f>
        <v>0</v>
      </c>
      <c r="Y56" t="s">
        <v>31</v>
      </c>
    </row>
    <row r="57" spans="1:25">
      <c r="A57" s="8">
        <v>46265</v>
      </c>
      <c r="B57" s="9" t="s">
        <v>181</v>
      </c>
      <c r="C57" s="9" t="s">
        <v>182</v>
      </c>
      <c r="D57" s="9">
        <v>33801001976302</v>
      </c>
      <c r="E57" s="9" t="s">
        <v>38</v>
      </c>
      <c r="F57" s="9"/>
      <c r="G57" s="9"/>
      <c r="H57" s="9"/>
      <c r="I57" s="9" t="s">
        <v>34</v>
      </c>
      <c r="J57" s="9"/>
      <c r="K57" s="9"/>
      <c r="L57" s="9" t="s">
        <v>34</v>
      </c>
      <c r="M57" s="9" t="s">
        <v>87</v>
      </c>
      <c r="N57" s="9" t="s">
        <v>87</v>
      </c>
      <c r="O57" s="9" t="s">
        <v>30</v>
      </c>
      <c r="P57" s="9"/>
      <c r="Q57" s="9"/>
      <c r="R57" s="9"/>
      <c r="S57" s="9"/>
      <c r="T57" s="9"/>
      <c r="U57" s="9"/>
      <c r="V57" s="12" t="s">
        <v>31</v>
      </c>
      <c r="W57" s="12"/>
      <c r="X57" s="14" t="b">
        <f>[1]STR!$X57</f>
        <v>0</v>
      </c>
      <c r="Y57" t="s">
        <v>31</v>
      </c>
    </row>
    <row r="58" spans="1:25">
      <c r="A58" s="8">
        <v>46265</v>
      </c>
      <c r="B58" s="9" t="s">
        <v>183</v>
      </c>
      <c r="C58" s="9" t="s">
        <v>184</v>
      </c>
      <c r="D58" s="9">
        <v>32001001621300</v>
      </c>
      <c r="E58" s="9" t="s">
        <v>38</v>
      </c>
      <c r="F58" s="9"/>
      <c r="G58" s="9"/>
      <c r="H58" s="9"/>
      <c r="I58" s="9" t="s">
        <v>34</v>
      </c>
      <c r="J58" s="9"/>
      <c r="K58" s="9"/>
      <c r="L58" s="9" t="s">
        <v>34</v>
      </c>
      <c r="M58" s="9" t="s">
        <v>146</v>
      </c>
      <c r="N58" s="9" t="s">
        <v>146</v>
      </c>
      <c r="O58" s="9" t="s">
        <v>30</v>
      </c>
      <c r="P58" s="9"/>
      <c r="Q58" s="9"/>
      <c r="R58" s="9"/>
      <c r="S58" s="9"/>
      <c r="T58" s="9"/>
      <c r="U58" s="9"/>
      <c r="V58" s="12" t="s">
        <v>31</v>
      </c>
      <c r="W58" s="12"/>
      <c r="X58" s="14" t="b">
        <f>[1]STR!$X58</f>
        <v>0</v>
      </c>
      <c r="Y58" t="s">
        <v>31</v>
      </c>
    </row>
    <row r="59" spans="1:25">
      <c r="A59" s="8">
        <v>46265</v>
      </c>
      <c r="B59" s="9" t="s">
        <v>185</v>
      </c>
      <c r="C59" s="9" t="s">
        <v>186</v>
      </c>
      <c r="D59" s="9">
        <v>1801004745302</v>
      </c>
      <c r="E59" s="9" t="s">
        <v>26</v>
      </c>
      <c r="F59" s="9"/>
      <c r="G59" s="9"/>
      <c r="H59" s="9"/>
      <c r="I59" s="9" t="s">
        <v>34</v>
      </c>
      <c r="J59" s="9"/>
      <c r="K59" s="9"/>
      <c r="L59" s="9" t="s">
        <v>34</v>
      </c>
      <c r="M59" s="9" t="s">
        <v>35</v>
      </c>
      <c r="N59" s="9" t="s">
        <v>35</v>
      </c>
      <c r="O59" s="9" t="s">
        <v>30</v>
      </c>
      <c r="P59" s="9"/>
      <c r="Q59" s="9"/>
      <c r="R59" s="9"/>
      <c r="S59" s="9"/>
      <c r="T59" s="9"/>
      <c r="U59" s="9"/>
      <c r="V59" s="12" t="s">
        <v>31</v>
      </c>
      <c r="W59" s="12"/>
      <c r="X59" s="14" t="b">
        <f>[1]STR!$X59</f>
        <v>0</v>
      </c>
      <c r="Y59" t="s">
        <v>31</v>
      </c>
    </row>
    <row r="60" spans="1:25">
      <c r="A60" s="8">
        <v>46265</v>
      </c>
      <c r="B60" s="9" t="s">
        <v>187</v>
      </c>
      <c r="C60" s="9" t="s">
        <v>188</v>
      </c>
      <c r="D60" s="9">
        <v>34001003658309</v>
      </c>
      <c r="E60" s="9" t="s">
        <v>38</v>
      </c>
      <c r="F60" s="9"/>
      <c r="G60" s="9"/>
      <c r="H60" s="9"/>
      <c r="I60" s="9" t="s">
        <v>34</v>
      </c>
      <c r="J60" s="9"/>
      <c r="K60" s="9"/>
      <c r="L60" s="9" t="s">
        <v>34</v>
      </c>
      <c r="M60" s="9" t="s">
        <v>141</v>
      </c>
      <c r="N60" s="9" t="s">
        <v>141</v>
      </c>
      <c r="O60" s="9" t="s">
        <v>30</v>
      </c>
      <c r="P60" s="9"/>
      <c r="Q60" s="9"/>
      <c r="R60" s="9"/>
      <c r="S60" s="9"/>
      <c r="T60" s="9"/>
      <c r="U60" s="9"/>
      <c r="V60" s="12" t="s">
        <v>31</v>
      </c>
      <c r="W60" s="12"/>
      <c r="X60" s="14" t="b">
        <f>[1]STR!$X60</f>
        <v>0</v>
      </c>
      <c r="Y60" t="s">
        <v>31</v>
      </c>
    </row>
    <row r="61" spans="1:25">
      <c r="A61" s="8">
        <v>46265</v>
      </c>
      <c r="B61" s="9" t="s">
        <v>189</v>
      </c>
      <c r="C61" s="9" t="s">
        <v>190</v>
      </c>
      <c r="D61" s="9">
        <v>18601001856309</v>
      </c>
      <c r="E61" s="9" t="s">
        <v>38</v>
      </c>
      <c r="F61" s="9"/>
      <c r="G61" s="9"/>
      <c r="H61" s="9"/>
      <c r="I61" s="9" t="s">
        <v>34</v>
      </c>
      <c r="J61" s="9"/>
      <c r="K61" s="9"/>
      <c r="L61" s="9" t="s">
        <v>34</v>
      </c>
      <c r="M61" s="9" t="s">
        <v>66</v>
      </c>
      <c r="N61" s="9" t="s">
        <v>66</v>
      </c>
      <c r="O61" s="9" t="s">
        <v>30</v>
      </c>
      <c r="P61" s="9"/>
      <c r="Q61" s="9"/>
      <c r="R61" s="9"/>
      <c r="S61" s="9"/>
      <c r="T61" s="9"/>
      <c r="U61" s="9"/>
      <c r="V61" s="12" t="s">
        <v>31</v>
      </c>
      <c r="W61" s="12"/>
      <c r="X61" s="14" t="b">
        <f>[1]STR!$X61</f>
        <v>0</v>
      </c>
      <c r="Y61" t="s">
        <v>31</v>
      </c>
    </row>
    <row r="62" spans="1:25">
      <c r="A62" s="8">
        <v>46265</v>
      </c>
      <c r="B62" s="9" t="s">
        <v>191</v>
      </c>
      <c r="C62" s="9" t="s">
        <v>192</v>
      </c>
      <c r="D62" s="9">
        <v>20601222202565</v>
      </c>
      <c r="E62" s="9">
        <v>0</v>
      </c>
      <c r="F62" s="9"/>
      <c r="G62" s="9"/>
      <c r="H62" s="9"/>
      <c r="I62" s="9" t="s">
        <v>34</v>
      </c>
      <c r="J62" s="9"/>
      <c r="K62" s="9"/>
      <c r="L62" s="9" t="s">
        <v>34</v>
      </c>
      <c r="M62" s="9" t="s">
        <v>51</v>
      </c>
      <c r="N62" s="9" t="s">
        <v>51</v>
      </c>
      <c r="O62" s="9" t="s">
        <v>30</v>
      </c>
      <c r="P62" s="9"/>
      <c r="Q62" s="9"/>
      <c r="R62" s="9"/>
      <c r="S62" s="9"/>
      <c r="T62" s="9"/>
      <c r="U62" s="9"/>
      <c r="V62" s="12" t="s">
        <v>31</v>
      </c>
      <c r="W62" s="12"/>
      <c r="X62" s="14" t="b">
        <f>[1]STR!$X62</f>
        <v>1</v>
      </c>
      <c r="Y62" t="s">
        <v>31</v>
      </c>
    </row>
    <row r="63" spans="1:25">
      <c r="A63" s="8">
        <v>46265</v>
      </c>
      <c r="B63" s="9" t="s">
        <v>193</v>
      </c>
      <c r="C63" s="9" t="s">
        <v>194</v>
      </c>
      <c r="D63" s="9">
        <v>52801000515562</v>
      </c>
      <c r="E63" s="9">
        <v>0</v>
      </c>
      <c r="F63" s="9"/>
      <c r="G63" s="9"/>
      <c r="H63" s="9"/>
      <c r="I63" s="9" t="s">
        <v>34</v>
      </c>
      <c r="J63" s="9"/>
      <c r="K63" s="9"/>
      <c r="L63" s="9" t="s">
        <v>34</v>
      </c>
      <c r="M63" s="9" t="s">
        <v>195</v>
      </c>
      <c r="N63" s="9" t="s">
        <v>70</v>
      </c>
      <c r="O63" s="9" t="s">
        <v>30</v>
      </c>
      <c r="P63" s="9"/>
      <c r="Q63" s="9"/>
      <c r="R63" s="9"/>
      <c r="S63" s="9"/>
      <c r="T63" s="9"/>
      <c r="U63" s="9"/>
      <c r="V63" s="12" t="s">
        <v>31</v>
      </c>
      <c r="W63" s="12"/>
      <c r="X63" s="14" t="b">
        <f>[1]STR!$X63</f>
        <v>0</v>
      </c>
      <c r="Y63" t="s">
        <v>31</v>
      </c>
    </row>
    <row r="64" spans="1:25">
      <c r="A64" s="9">
        <v>46265</v>
      </c>
      <c r="B64" s="9" t="s">
        <v>196</v>
      </c>
      <c r="C64" s="9" t="s">
        <v>197</v>
      </c>
      <c r="D64" s="9">
        <v>32901060707505</v>
      </c>
      <c r="E64" s="9" t="s">
        <v>38</v>
      </c>
      <c r="F64" s="9"/>
      <c r="G64" s="9"/>
      <c r="H64" s="9"/>
      <c r="I64" s="9" t="s">
        <v>59</v>
      </c>
      <c r="J64" s="9"/>
      <c r="K64" s="9"/>
      <c r="L64" s="9" t="s">
        <v>60</v>
      </c>
      <c r="M64" s="9" t="s">
        <v>198</v>
      </c>
      <c r="N64" s="9" t="s">
        <v>198</v>
      </c>
      <c r="O64" s="9" t="s">
        <v>62</v>
      </c>
      <c r="P64" s="9"/>
      <c r="Q64" s="9"/>
      <c r="R64" s="9"/>
      <c r="S64" s="9"/>
      <c r="T64" s="9"/>
      <c r="U64" s="9"/>
      <c r="V64" s="12" t="s">
        <v>31</v>
      </c>
      <c r="W64" s="12"/>
      <c r="X64" s="14" t="b">
        <f>[1]STR!$X64</f>
        <v>0</v>
      </c>
      <c r="Y64" t="s">
        <v>31</v>
      </c>
    </row>
    <row r="65" spans="1:25">
      <c r="A65" s="9">
        <v>46265</v>
      </c>
      <c r="B65" s="9" t="s">
        <v>199</v>
      </c>
      <c r="C65" s="9" t="s">
        <v>200</v>
      </c>
      <c r="D65" s="9">
        <v>5326599000009950</v>
      </c>
      <c r="E65" s="9" t="s">
        <v>26</v>
      </c>
      <c r="F65" s="9"/>
      <c r="G65" s="9"/>
      <c r="H65" s="9"/>
      <c r="I65" s="9" t="s">
        <v>27</v>
      </c>
      <c r="J65" s="9"/>
      <c r="K65" s="9"/>
      <c r="L65" s="9" t="s">
        <v>28</v>
      </c>
      <c r="M65" s="9" t="s">
        <v>29</v>
      </c>
      <c r="N65" s="9" t="s">
        <v>29</v>
      </c>
      <c r="O65" s="9" t="s">
        <v>30</v>
      </c>
      <c r="P65" s="9"/>
      <c r="Q65" s="9"/>
      <c r="R65" s="9"/>
      <c r="S65" s="9"/>
      <c r="T65" s="9"/>
      <c r="U65" s="9"/>
      <c r="V65" s="12" t="s">
        <v>31</v>
      </c>
      <c r="W65" s="12"/>
      <c r="X65" s="14" t="b">
        <f>[1]STR!$X65</f>
        <v>0</v>
      </c>
      <c r="Y65" t="s">
        <v>31</v>
      </c>
    </row>
    <row r="66" spans="1:25">
      <c r="A66" s="9">
        <v>46265</v>
      </c>
      <c r="B66" s="9" t="s">
        <v>201</v>
      </c>
      <c r="C66" s="9" t="s">
        <v>202</v>
      </c>
      <c r="D66" s="9">
        <v>20601887766302</v>
      </c>
      <c r="E66" s="9" t="s">
        <v>38</v>
      </c>
      <c r="F66" s="9"/>
      <c r="G66" s="9"/>
      <c r="H66" s="9"/>
      <c r="I66" s="9" t="s">
        <v>34</v>
      </c>
      <c r="J66" s="9"/>
      <c r="K66" s="9"/>
      <c r="L66" s="9" t="s">
        <v>34</v>
      </c>
      <c r="M66" s="9" t="s">
        <v>51</v>
      </c>
      <c r="N66" s="9" t="s">
        <v>51</v>
      </c>
      <c r="O66" s="9" t="s">
        <v>30</v>
      </c>
      <c r="P66" s="9"/>
      <c r="Q66" s="9"/>
      <c r="R66" s="9"/>
      <c r="S66" s="9"/>
      <c r="T66" s="9"/>
      <c r="U66" s="9"/>
      <c r="V66" s="12" t="s">
        <v>31</v>
      </c>
      <c r="W66" s="12"/>
      <c r="X66" s="14" t="b">
        <f>[1]STR!$X66</f>
        <v>0</v>
      </c>
      <c r="Y66" t="s">
        <v>31</v>
      </c>
    </row>
    <row r="67" spans="1:25">
      <c r="A67" s="9">
        <v>46265</v>
      </c>
      <c r="B67" s="9" t="s">
        <v>203</v>
      </c>
      <c r="C67" s="9" t="s">
        <v>204</v>
      </c>
      <c r="D67" s="9">
        <v>33801001348305</v>
      </c>
      <c r="E67" s="9" t="s">
        <v>38</v>
      </c>
      <c r="F67" s="9"/>
      <c r="G67" s="9"/>
      <c r="H67" s="9"/>
      <c r="I67" s="9" t="s">
        <v>34</v>
      </c>
      <c r="J67" s="9"/>
      <c r="K67" s="9"/>
      <c r="L67" s="9" t="s">
        <v>34</v>
      </c>
      <c r="M67" s="9" t="s">
        <v>87</v>
      </c>
      <c r="N67" s="9" t="s">
        <v>87</v>
      </c>
      <c r="O67" s="9" t="s">
        <v>30</v>
      </c>
      <c r="P67" s="9"/>
      <c r="Q67" s="9"/>
      <c r="R67" s="9"/>
      <c r="S67" s="9"/>
      <c r="T67" s="9"/>
      <c r="U67" s="9"/>
      <c r="V67" s="12" t="s">
        <v>31</v>
      </c>
      <c r="W67" s="12"/>
      <c r="X67" s="14" t="b">
        <f>[1]STR!$X67</f>
        <v>0</v>
      </c>
      <c r="Y67" t="s">
        <v>31</v>
      </c>
    </row>
    <row r="68" spans="1:25">
      <c r="A68" s="9">
        <v>46265</v>
      </c>
      <c r="B68" s="9" t="s">
        <v>205</v>
      </c>
      <c r="C68" s="9" t="s">
        <v>206</v>
      </c>
      <c r="D68" s="9">
        <v>34001003389308</v>
      </c>
      <c r="E68" s="9" t="s">
        <v>38</v>
      </c>
      <c r="F68" s="9"/>
      <c r="G68" s="9"/>
      <c r="H68" s="9"/>
      <c r="I68" s="9" t="s">
        <v>34</v>
      </c>
      <c r="J68" s="9"/>
      <c r="K68" s="9"/>
      <c r="L68" s="9" t="s">
        <v>34</v>
      </c>
      <c r="M68" s="9" t="s">
        <v>141</v>
      </c>
      <c r="N68" s="9" t="s">
        <v>141</v>
      </c>
      <c r="O68" s="9" t="s">
        <v>30</v>
      </c>
      <c r="P68" s="9"/>
      <c r="Q68" s="9"/>
      <c r="R68" s="9"/>
      <c r="S68" s="9"/>
      <c r="T68" s="9"/>
      <c r="U68" s="9"/>
      <c r="V68" s="12" t="s">
        <v>31</v>
      </c>
      <c r="W68" s="12"/>
      <c r="X68" s="14" t="b">
        <f>[1]STR!$X68</f>
        <v>0</v>
      </c>
      <c r="Y68" t="s">
        <v>31</v>
      </c>
    </row>
    <row r="69" spans="1:25">
      <c r="A69" s="9">
        <v>46265</v>
      </c>
      <c r="B69" s="9" t="s">
        <v>207</v>
      </c>
      <c r="C69" s="9" t="s">
        <v>208</v>
      </c>
      <c r="D69" s="9">
        <v>1801004327308</v>
      </c>
      <c r="E69" s="9" t="s">
        <v>38</v>
      </c>
      <c r="F69" s="9"/>
      <c r="G69" s="9"/>
      <c r="H69" s="9"/>
      <c r="I69" s="9" t="s">
        <v>34</v>
      </c>
      <c r="J69" s="9"/>
      <c r="K69" s="9"/>
      <c r="L69" s="9" t="s">
        <v>34</v>
      </c>
      <c r="M69" s="9" t="s">
        <v>35</v>
      </c>
      <c r="N69" s="9" t="s">
        <v>35</v>
      </c>
      <c r="O69" s="9" t="s">
        <v>30</v>
      </c>
      <c r="P69" s="9"/>
      <c r="Q69" s="9"/>
      <c r="R69" s="9"/>
      <c r="S69" s="9"/>
      <c r="T69" s="9"/>
      <c r="U69" s="9"/>
      <c r="V69" s="12" t="s">
        <v>31</v>
      </c>
      <c r="W69" s="12"/>
      <c r="X69" s="14" t="b">
        <f>[1]STR!$X69</f>
        <v>0</v>
      </c>
      <c r="Y69" t="s">
        <v>31</v>
      </c>
    </row>
    <row r="70" spans="1:25">
      <c r="A70" s="9">
        <v>46265</v>
      </c>
      <c r="B70" s="9" t="s">
        <v>209</v>
      </c>
      <c r="C70" s="9" t="s">
        <v>210</v>
      </c>
      <c r="D70" s="9">
        <v>20601222202303</v>
      </c>
      <c r="E70" s="9">
        <v>0</v>
      </c>
      <c r="F70" s="9"/>
      <c r="G70" s="9"/>
      <c r="H70" s="9"/>
      <c r="I70" s="9" t="s">
        <v>34</v>
      </c>
      <c r="J70" s="9"/>
      <c r="K70" s="9"/>
      <c r="L70" s="9" t="s">
        <v>34</v>
      </c>
      <c r="M70" s="9" t="s">
        <v>51</v>
      </c>
      <c r="N70" s="9" t="s">
        <v>51</v>
      </c>
      <c r="O70" s="9" t="s">
        <v>30</v>
      </c>
      <c r="P70" s="9"/>
      <c r="Q70" s="9"/>
      <c r="R70" s="9"/>
      <c r="S70" s="9"/>
      <c r="T70" s="9"/>
      <c r="U70" s="9"/>
      <c r="V70" s="12" t="s">
        <v>31</v>
      </c>
      <c r="W70" s="12"/>
      <c r="X70" s="14" t="b">
        <f>[1]STR!$X70</f>
        <v>1</v>
      </c>
      <c r="Y70" t="s">
        <v>31</v>
      </c>
    </row>
    <row r="71" spans="1:25">
      <c r="A71" s="9">
        <v>46265</v>
      </c>
      <c r="B71" s="9" t="s">
        <v>209</v>
      </c>
      <c r="C71" s="9" t="s">
        <v>211</v>
      </c>
      <c r="D71" s="9">
        <v>20602114444300</v>
      </c>
      <c r="E71" s="9">
        <v>0</v>
      </c>
      <c r="F71" s="9"/>
      <c r="G71" s="9"/>
      <c r="H71" s="9"/>
      <c r="I71" s="9" t="s">
        <v>34</v>
      </c>
      <c r="J71" s="9"/>
      <c r="K71" s="9"/>
      <c r="L71" s="9" t="s">
        <v>34</v>
      </c>
      <c r="M71" s="9" t="s">
        <v>51</v>
      </c>
      <c r="N71" s="9" t="s">
        <v>51</v>
      </c>
      <c r="O71" s="9" t="s">
        <v>30</v>
      </c>
      <c r="P71" s="9"/>
      <c r="Q71" s="9"/>
      <c r="R71" s="9"/>
      <c r="S71" s="9"/>
      <c r="T71" s="9"/>
      <c r="U71" s="9"/>
      <c r="V71" s="12" t="s">
        <v>31</v>
      </c>
      <c r="W71" s="12"/>
      <c r="X71" s="14" t="b">
        <f>[1]STR!$X71</f>
        <v>1</v>
      </c>
      <c r="Y71" t="s">
        <v>31</v>
      </c>
    </row>
    <row r="72" spans="1:25">
      <c r="A72" s="9">
        <v>46265</v>
      </c>
      <c r="B72" s="9" t="s">
        <v>212</v>
      </c>
      <c r="C72" s="9" t="s">
        <v>213</v>
      </c>
      <c r="D72" s="9">
        <v>32901004183307</v>
      </c>
      <c r="E72" s="9" t="s">
        <v>38</v>
      </c>
      <c r="F72" s="9"/>
      <c r="G72" s="9"/>
      <c r="H72" s="9"/>
      <c r="I72" s="9" t="s">
        <v>59</v>
      </c>
      <c r="J72" s="9"/>
      <c r="K72" s="9"/>
      <c r="L72" s="9" t="s">
        <v>60</v>
      </c>
      <c r="M72" s="9" t="s">
        <v>198</v>
      </c>
      <c r="N72" s="9" t="s">
        <v>198</v>
      </c>
      <c r="O72" s="9" t="s">
        <v>62</v>
      </c>
      <c r="P72" s="9"/>
      <c r="Q72" s="9"/>
      <c r="R72" s="9"/>
      <c r="S72" s="9"/>
      <c r="T72" s="9"/>
      <c r="U72" s="9"/>
      <c r="V72" s="12" t="s">
        <v>31</v>
      </c>
      <c r="W72" s="12"/>
      <c r="X72" s="14" t="b">
        <f>[1]STR!$X72</f>
        <v>0</v>
      </c>
      <c r="Y72" t="s">
        <v>31</v>
      </c>
    </row>
    <row r="73" spans="1:25">
      <c r="A73" s="9">
        <v>46265</v>
      </c>
      <c r="B73" s="9" t="s">
        <v>214</v>
      </c>
      <c r="C73" s="9" t="s">
        <v>215</v>
      </c>
      <c r="D73" s="9">
        <v>20601040976500</v>
      </c>
      <c r="E73" s="9" t="s">
        <v>26</v>
      </c>
      <c r="F73" s="9"/>
      <c r="G73" s="9"/>
      <c r="H73" s="9"/>
      <c r="I73" s="9" t="s">
        <v>27</v>
      </c>
      <c r="J73" s="9"/>
      <c r="K73" s="9"/>
      <c r="L73" s="9" t="s">
        <v>28</v>
      </c>
      <c r="M73" s="9" t="s">
        <v>29</v>
      </c>
      <c r="N73" s="9" t="s">
        <v>29</v>
      </c>
      <c r="O73" s="9" t="s">
        <v>30</v>
      </c>
      <c r="P73" s="9"/>
      <c r="Q73" s="9"/>
      <c r="R73" s="9"/>
      <c r="S73" s="9"/>
      <c r="T73" s="9"/>
      <c r="U73" s="9"/>
      <c r="V73" s="12" t="s">
        <v>31</v>
      </c>
      <c r="W73" s="12"/>
      <c r="X73" s="14" t="b">
        <f>[1]STR!$X73</f>
        <v>0</v>
      </c>
      <c r="Y73" t="s">
        <v>31</v>
      </c>
    </row>
    <row r="74" spans="1:25">
      <c r="A74" s="9">
        <v>46265</v>
      </c>
      <c r="B74" s="9" t="s">
        <v>216</v>
      </c>
      <c r="C74" s="9" t="s">
        <v>217</v>
      </c>
      <c r="D74" s="9">
        <v>51001000210565</v>
      </c>
      <c r="E74" s="9" t="s">
        <v>38</v>
      </c>
      <c r="F74" s="9"/>
      <c r="G74" s="9"/>
      <c r="H74" s="9"/>
      <c r="I74" s="9" t="s">
        <v>218</v>
      </c>
      <c r="J74" s="9"/>
      <c r="K74" s="9"/>
      <c r="L74" s="9" t="s">
        <v>218</v>
      </c>
      <c r="M74" s="9" t="s">
        <v>219</v>
      </c>
      <c r="N74" s="9" t="s">
        <v>90</v>
      </c>
      <c r="O74" s="9" t="s">
        <v>30</v>
      </c>
      <c r="P74" s="9"/>
      <c r="Q74" s="9"/>
      <c r="R74" s="9"/>
      <c r="S74" s="9"/>
      <c r="T74" s="9"/>
      <c r="U74" s="9"/>
      <c r="V74" s="12" t="s">
        <v>31</v>
      </c>
      <c r="W74" s="12"/>
      <c r="X74" s="14" t="b">
        <f>[1]STR!$X74</f>
        <v>0</v>
      </c>
      <c r="Y74" t="s">
        <v>31</v>
      </c>
    </row>
    <row r="75" spans="1:25">
      <c r="A75" s="9">
        <v>46265</v>
      </c>
      <c r="B75" s="9" t="s">
        <v>220</v>
      </c>
      <c r="C75" s="9" t="s">
        <v>221</v>
      </c>
      <c r="D75" s="9">
        <v>112401000603568</v>
      </c>
      <c r="E75" s="9" t="s">
        <v>38</v>
      </c>
      <c r="F75" s="9"/>
      <c r="G75" s="9"/>
      <c r="H75" s="9"/>
      <c r="I75" s="9" t="s">
        <v>59</v>
      </c>
      <c r="J75" s="9"/>
      <c r="K75" s="9"/>
      <c r="L75" s="9" t="s">
        <v>60</v>
      </c>
      <c r="M75" s="9" t="s">
        <v>222</v>
      </c>
      <c r="N75" s="9" t="s">
        <v>223</v>
      </c>
      <c r="O75" s="9" t="s">
        <v>62</v>
      </c>
      <c r="P75" s="9"/>
      <c r="Q75" s="9"/>
      <c r="R75" s="9"/>
      <c r="S75" s="9"/>
      <c r="T75" s="9"/>
      <c r="U75" s="9"/>
      <c r="V75" s="12" t="s">
        <v>31</v>
      </c>
      <c r="W75" s="12"/>
      <c r="X75" s="14" t="b">
        <f>[1]STR!$X75</f>
        <v>0</v>
      </c>
      <c r="Y75" t="s">
        <v>31</v>
      </c>
    </row>
    <row r="76" spans="1:25">
      <c r="A76" s="9">
        <v>46265</v>
      </c>
      <c r="B76" s="9" t="s">
        <v>224</v>
      </c>
      <c r="C76" s="9" t="s">
        <v>225</v>
      </c>
      <c r="D76" s="9">
        <v>5326599000002780</v>
      </c>
      <c r="E76" s="9" t="s">
        <v>26</v>
      </c>
      <c r="F76" s="9"/>
      <c r="G76" s="9"/>
      <c r="H76" s="9"/>
      <c r="I76" s="9" t="s">
        <v>27</v>
      </c>
      <c r="J76" s="9"/>
      <c r="K76" s="9"/>
      <c r="L76" s="9" t="s">
        <v>28</v>
      </c>
      <c r="M76" s="9" t="s">
        <v>29</v>
      </c>
      <c r="N76" s="9" t="s">
        <v>29</v>
      </c>
      <c r="O76" s="9" t="s">
        <v>30</v>
      </c>
      <c r="P76" s="9"/>
      <c r="Q76" s="9"/>
      <c r="R76" s="9"/>
      <c r="S76" s="9"/>
      <c r="T76" s="9"/>
      <c r="U76" s="9"/>
      <c r="V76" s="12" t="s">
        <v>31</v>
      </c>
      <c r="W76" s="12"/>
      <c r="X76" s="14" t="b">
        <f>[1]STR!$X76</f>
        <v>0</v>
      </c>
      <c r="Y76" t="s">
        <v>31</v>
      </c>
    </row>
    <row r="77" spans="1:25">
      <c r="A77" s="9">
        <v>46265</v>
      </c>
      <c r="B77" s="9" t="s">
        <v>226</v>
      </c>
      <c r="C77" s="9" t="s">
        <v>227</v>
      </c>
      <c r="D77" s="9">
        <v>5326599000000210</v>
      </c>
      <c r="E77" s="9" t="s">
        <v>26</v>
      </c>
      <c r="F77" s="9"/>
      <c r="G77" s="9"/>
      <c r="H77" s="9"/>
      <c r="I77" s="9" t="s">
        <v>27</v>
      </c>
      <c r="J77" s="9"/>
      <c r="K77" s="9"/>
      <c r="L77" s="9" t="s">
        <v>28</v>
      </c>
      <c r="M77" s="9" t="s">
        <v>29</v>
      </c>
      <c r="N77" s="9" t="s">
        <v>29</v>
      </c>
      <c r="O77" s="9" t="s">
        <v>30</v>
      </c>
      <c r="P77" s="9"/>
      <c r="Q77" s="9"/>
      <c r="R77" s="9"/>
      <c r="S77" s="9"/>
      <c r="T77" s="9"/>
      <c r="U77" s="9"/>
      <c r="V77" s="12" t="s">
        <v>31</v>
      </c>
      <c r="W77" s="12"/>
      <c r="X77" s="14" t="b">
        <f>[1]STR!$X77</f>
        <v>0</v>
      </c>
      <c r="Y77" t="s">
        <v>31</v>
      </c>
    </row>
    <row r="78" spans="1:25">
      <c r="A78" s="9">
        <v>46265</v>
      </c>
      <c r="B78" s="9" t="s">
        <v>228</v>
      </c>
      <c r="C78" s="9" t="s">
        <v>229</v>
      </c>
      <c r="D78" s="9">
        <v>20601080808301</v>
      </c>
      <c r="E78" s="9">
        <v>0</v>
      </c>
      <c r="F78" s="9"/>
      <c r="G78" s="9"/>
      <c r="H78" s="9"/>
      <c r="I78" s="9" t="s">
        <v>59</v>
      </c>
      <c r="J78" s="9"/>
      <c r="K78" s="9"/>
      <c r="L78" s="9" t="s">
        <v>60</v>
      </c>
      <c r="M78" s="9" t="s">
        <v>230</v>
      </c>
      <c r="N78" s="9" t="s">
        <v>230</v>
      </c>
      <c r="O78" s="9" t="s">
        <v>62</v>
      </c>
      <c r="P78" s="9"/>
      <c r="Q78" s="9"/>
      <c r="R78" s="9"/>
      <c r="S78" s="9"/>
      <c r="T78" s="9"/>
      <c r="U78" s="9"/>
      <c r="V78" s="12" t="s">
        <v>31</v>
      </c>
      <c r="W78" s="12"/>
      <c r="X78" s="14" t="b">
        <f>[1]STR!$X78</f>
        <v>0</v>
      </c>
      <c r="Y78" t="s">
        <v>31</v>
      </c>
    </row>
    <row r="79" spans="1:25">
      <c r="A79" s="9">
        <v>46265</v>
      </c>
      <c r="B79" s="9" t="s">
        <v>231</v>
      </c>
      <c r="C79" s="9" t="s">
        <v>232</v>
      </c>
      <c r="D79" s="9">
        <v>5326590002740560</v>
      </c>
      <c r="E79" s="9" t="s">
        <v>26</v>
      </c>
      <c r="F79" s="9"/>
      <c r="G79" s="9"/>
      <c r="H79" s="9"/>
      <c r="I79" s="9" t="s">
        <v>27</v>
      </c>
      <c r="J79" s="9"/>
      <c r="K79" s="9"/>
      <c r="L79" s="9" t="s">
        <v>28</v>
      </c>
      <c r="M79" s="9" t="s">
        <v>29</v>
      </c>
      <c r="N79" s="9" t="s">
        <v>29</v>
      </c>
      <c r="O79" s="9" t="s">
        <v>30</v>
      </c>
      <c r="P79" s="9"/>
      <c r="Q79" s="9"/>
      <c r="R79" s="9"/>
      <c r="S79" s="9"/>
      <c r="T79" s="9"/>
      <c r="U79" s="9"/>
      <c r="V79" s="12" t="s">
        <v>31</v>
      </c>
      <c r="W79" s="12"/>
      <c r="X79" s="14" t="b">
        <f>[1]STR!$X79</f>
        <v>0</v>
      </c>
      <c r="Y79" t="s">
        <v>31</v>
      </c>
    </row>
    <row r="80" spans="1:25">
      <c r="A80" s="9">
        <v>46265</v>
      </c>
      <c r="B80" s="9" t="s">
        <v>233</v>
      </c>
      <c r="C80" s="9" t="s">
        <v>234</v>
      </c>
      <c r="D80" s="9">
        <v>5326590003298980</v>
      </c>
      <c r="E80" s="9" t="s">
        <v>26</v>
      </c>
      <c r="F80" s="9"/>
      <c r="G80" s="9"/>
      <c r="H80" s="9"/>
      <c r="I80" s="9" t="s">
        <v>27</v>
      </c>
      <c r="J80" s="9"/>
      <c r="K80" s="9"/>
      <c r="L80" s="9" t="s">
        <v>28</v>
      </c>
      <c r="M80" s="9" t="s">
        <v>29</v>
      </c>
      <c r="N80" s="9" t="s">
        <v>29</v>
      </c>
      <c r="O80" s="9" t="s">
        <v>30</v>
      </c>
      <c r="P80" s="9"/>
      <c r="Q80" s="9"/>
      <c r="R80" s="9"/>
      <c r="S80" s="9"/>
      <c r="T80" s="9"/>
      <c r="U80" s="9"/>
      <c r="V80" s="12" t="s">
        <v>31</v>
      </c>
      <c r="W80" s="12"/>
      <c r="X80" s="14" t="b">
        <f>[1]STR!$X80</f>
        <v>0</v>
      </c>
      <c r="Y80" t="s">
        <v>31</v>
      </c>
    </row>
    <row r="81" spans="1:25">
      <c r="A81" s="9">
        <v>46265</v>
      </c>
      <c r="B81" s="9" t="s">
        <v>235</v>
      </c>
      <c r="C81" s="9" t="s">
        <v>236</v>
      </c>
      <c r="D81" s="9">
        <v>33501001948307</v>
      </c>
      <c r="E81" s="9" t="s">
        <v>38</v>
      </c>
      <c r="F81" s="9"/>
      <c r="G81" s="9"/>
      <c r="H81" s="9"/>
      <c r="I81" s="9" t="s">
        <v>59</v>
      </c>
      <c r="J81" s="9"/>
      <c r="K81" s="9"/>
      <c r="L81" s="9" t="s">
        <v>60</v>
      </c>
      <c r="M81" s="9" t="s">
        <v>237</v>
      </c>
      <c r="N81" s="9" t="s">
        <v>237</v>
      </c>
      <c r="O81" s="9" t="s">
        <v>62</v>
      </c>
      <c r="P81" s="9"/>
      <c r="Q81" s="9"/>
      <c r="R81" s="9"/>
      <c r="S81" s="9"/>
      <c r="T81" s="9"/>
      <c r="U81" s="9"/>
      <c r="V81" s="12" t="s">
        <v>31</v>
      </c>
      <c r="W81" s="12"/>
      <c r="X81" s="14" t="b">
        <f>[1]STR!$X81</f>
        <v>1</v>
      </c>
      <c r="Y81" t="s">
        <v>31</v>
      </c>
    </row>
    <row r="82" spans="1:25">
      <c r="A82" s="9">
        <v>46265</v>
      </c>
      <c r="B82" s="9" t="s">
        <v>238</v>
      </c>
      <c r="C82" s="9" t="s">
        <v>239</v>
      </c>
      <c r="D82" s="9">
        <v>20601015726304</v>
      </c>
      <c r="E82" s="9" t="s">
        <v>38</v>
      </c>
      <c r="F82" s="9"/>
      <c r="G82" s="9"/>
      <c r="H82" s="9"/>
      <c r="I82" s="9" t="s">
        <v>59</v>
      </c>
      <c r="J82" s="9"/>
      <c r="K82" s="9"/>
      <c r="L82" s="9" t="s">
        <v>60</v>
      </c>
      <c r="M82" s="9" t="s">
        <v>230</v>
      </c>
      <c r="N82" s="9" t="s">
        <v>230</v>
      </c>
      <c r="O82" s="9" t="s">
        <v>62</v>
      </c>
      <c r="P82" s="9"/>
      <c r="Q82" s="9"/>
      <c r="R82" s="9"/>
      <c r="S82" s="9"/>
      <c r="T82" s="9"/>
      <c r="U82" s="9"/>
      <c r="V82" s="12" t="s">
        <v>31</v>
      </c>
      <c r="W82" s="12"/>
      <c r="X82" s="14" t="b">
        <f>[1]STR!$X82</f>
        <v>0</v>
      </c>
      <c r="Y82" t="s">
        <v>31</v>
      </c>
    </row>
    <row r="83" spans="1:25">
      <c r="A83" s="9">
        <v>46265</v>
      </c>
      <c r="B83" s="9" t="s">
        <v>240</v>
      </c>
      <c r="C83" s="9" t="s">
        <v>241</v>
      </c>
      <c r="D83" s="9">
        <v>32901003434307</v>
      </c>
      <c r="E83" s="9" t="s">
        <v>38</v>
      </c>
      <c r="F83" s="9"/>
      <c r="G83" s="9"/>
      <c r="H83" s="9"/>
      <c r="I83" s="9" t="s">
        <v>59</v>
      </c>
      <c r="J83" s="9"/>
      <c r="K83" s="9"/>
      <c r="L83" s="9" t="s">
        <v>60</v>
      </c>
      <c r="M83" s="9" t="s">
        <v>198</v>
      </c>
      <c r="N83" s="9" t="s">
        <v>198</v>
      </c>
      <c r="O83" s="9" t="s">
        <v>62</v>
      </c>
      <c r="P83" s="9"/>
      <c r="Q83" s="9"/>
      <c r="R83" s="9"/>
      <c r="S83" s="9"/>
      <c r="T83" s="9"/>
      <c r="U83" s="9"/>
      <c r="V83" s="12" t="s">
        <v>31</v>
      </c>
      <c r="W83" s="12"/>
      <c r="X83" s="14" t="b">
        <f>[1]STR!$X83</f>
        <v>0</v>
      </c>
      <c r="Y83" t="s">
        <v>31</v>
      </c>
    </row>
    <row r="84" spans="1:25">
      <c r="A84" s="9">
        <v>46265</v>
      </c>
      <c r="B84" s="9" t="s">
        <v>242</v>
      </c>
      <c r="C84" s="9" t="s">
        <v>243</v>
      </c>
      <c r="D84" s="9">
        <v>5326590001929280</v>
      </c>
      <c r="E84" s="9">
        <v>0</v>
      </c>
      <c r="F84" s="9"/>
      <c r="G84" s="9"/>
      <c r="H84" s="9"/>
      <c r="I84" s="9" t="s">
        <v>27</v>
      </c>
      <c r="J84" s="9"/>
      <c r="K84" s="9"/>
      <c r="L84" s="9" t="s">
        <v>28</v>
      </c>
      <c r="M84" s="9" t="s">
        <v>29</v>
      </c>
      <c r="N84" s="9" t="s">
        <v>29</v>
      </c>
      <c r="O84" s="9" t="s">
        <v>30</v>
      </c>
      <c r="P84" s="9"/>
      <c r="Q84" s="9"/>
      <c r="R84" s="9"/>
      <c r="S84" s="9"/>
      <c r="T84" s="9"/>
      <c r="U84" s="9"/>
      <c r="V84" s="12" t="s">
        <v>31</v>
      </c>
      <c r="W84" s="12"/>
      <c r="X84" s="14" t="b">
        <f>[1]STR!$X84</f>
        <v>0</v>
      </c>
      <c r="Y84" t="s">
        <v>31</v>
      </c>
    </row>
  </sheetData>
  <protectedRanges>
    <protectedRange sqref="V1:X84" name="Range2"/>
  </protectedRanges>
  <autoFilter ref="A1:X146" xr:uid="{5D929615-8C3A-47EA-A934-C22D5264FDC7}"/>
  <dataValidations count="1">
    <dataValidation type="list" allowBlank="1" showInputMessage="1" showErrorMessage="1" sqref="V2:V84" xr:uid="{2341CA14-C8BA-42F2-B311-D1A2854DF0B8}">
      <formula1>"Indra Jantana"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4422-91B6-4A51-943A-538253BDFA20}">
  <sheetPr>
    <tabColor theme="3" tint="0.499984740745262"/>
  </sheetPr>
  <dimension ref="A1:E26"/>
  <sheetViews>
    <sheetView workbookViewId="0">
      <selection activeCell="B19" sqref="B19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3.7109375" bestFit="1" customWidth="1"/>
  </cols>
  <sheetData>
    <row r="1" spans="1:5">
      <c r="D1" s="50">
        <v>46280</v>
      </c>
      <c r="E1" s="51"/>
    </row>
    <row r="2" spans="1:5">
      <c r="A2" s="4" t="s">
        <v>244</v>
      </c>
      <c r="B2" s="4" t="s">
        <v>245</v>
      </c>
      <c r="C2" s="31" t="s">
        <v>246</v>
      </c>
      <c r="D2" s="30" t="s">
        <v>247</v>
      </c>
      <c r="E2" s="29" t="s">
        <v>248</v>
      </c>
    </row>
    <row r="3" spans="1:5">
      <c r="A3" s="3">
        <v>1</v>
      </c>
      <c r="B3" s="1" t="s">
        <v>223</v>
      </c>
      <c r="C3" s="18" t="s">
        <v>31</v>
      </c>
      <c r="D3" s="32">
        <f>_xlfn.XLOOKUP(B3, [2]PEP!$B:$B,[2]PEP!$G:$G)</f>
        <v>0.95721925133689845</v>
      </c>
      <c r="E3" s="52">
        <f>AVERAGE(D3:D26)</f>
        <v>0.93104020691560863</v>
      </c>
    </row>
    <row r="4" spans="1:5">
      <c r="A4" s="3">
        <v>2</v>
      </c>
      <c r="B4" s="1" t="s">
        <v>249</v>
      </c>
      <c r="C4" s="18" t="s">
        <v>31</v>
      </c>
      <c r="D4" s="32">
        <f>_xlfn.XLOOKUP(B4, [2]PEP!$B:$B,[2]PEP!$G:$G)</f>
        <v>1</v>
      </c>
      <c r="E4" s="53"/>
    </row>
    <row r="5" spans="1:5">
      <c r="A5" s="3">
        <v>3</v>
      </c>
      <c r="B5" s="1" t="s">
        <v>250</v>
      </c>
      <c r="C5" s="18" t="s">
        <v>31</v>
      </c>
      <c r="D5" s="32">
        <f>_xlfn.XLOOKUP(B5, [2]PEP!$B:$B,[2]PEP!$G:$G)</f>
        <v>0.9642857142857143</v>
      </c>
      <c r="E5" s="53"/>
    </row>
    <row r="6" spans="1:5">
      <c r="A6" s="3">
        <v>4</v>
      </c>
      <c r="B6" s="1" t="s">
        <v>251</v>
      </c>
      <c r="C6" s="18" t="s">
        <v>31</v>
      </c>
      <c r="D6" s="32">
        <f>_xlfn.XLOOKUP(B6, [2]PEP!$B:$B,[2]PEP!$G:$G)</f>
        <v>0.88059701492537312</v>
      </c>
      <c r="E6" s="53"/>
    </row>
    <row r="7" spans="1:5">
      <c r="A7" s="3">
        <v>5</v>
      </c>
      <c r="B7" s="1" t="s">
        <v>252</v>
      </c>
      <c r="C7" s="18" t="s">
        <v>31</v>
      </c>
      <c r="D7" s="32">
        <f>_xlfn.XLOOKUP(B7, [2]PEP!$B:$B,[2]PEP!$G:$G)</f>
        <v>0.9</v>
      </c>
      <c r="E7" s="53"/>
    </row>
    <row r="8" spans="1:5">
      <c r="A8" s="3">
        <v>6</v>
      </c>
      <c r="B8" s="1" t="s">
        <v>253</v>
      </c>
      <c r="C8" s="18" t="s">
        <v>31</v>
      </c>
      <c r="D8" s="32">
        <f>_xlfn.XLOOKUP(B8, [2]PEP!$B:$B,[2]PEP!$G:$G)</f>
        <v>1</v>
      </c>
      <c r="E8" s="53"/>
    </row>
    <row r="9" spans="1:5">
      <c r="A9" s="3">
        <v>7</v>
      </c>
      <c r="B9" s="1" t="s">
        <v>61</v>
      </c>
      <c r="C9" s="18" t="s">
        <v>31</v>
      </c>
      <c r="D9" s="32">
        <f>_xlfn.XLOOKUP(B9, [2]PEP!$B:$B,[2]PEP!$G:$G)</f>
        <v>0.93939393939393945</v>
      </c>
      <c r="E9" s="53"/>
    </row>
    <row r="10" spans="1:5">
      <c r="A10" s="3">
        <v>8</v>
      </c>
      <c r="B10" s="1" t="s">
        <v>254</v>
      </c>
      <c r="C10" s="18" t="s">
        <v>31</v>
      </c>
      <c r="D10" s="32">
        <f>_xlfn.XLOOKUP(B10, [2]PEP!$B:$B,[2]PEP!$G:$G)</f>
        <v>0.8</v>
      </c>
      <c r="E10" s="53"/>
    </row>
    <row r="11" spans="1:5">
      <c r="A11" s="3">
        <v>9</v>
      </c>
      <c r="B11" s="1" t="s">
        <v>237</v>
      </c>
      <c r="C11" s="18" t="s">
        <v>31</v>
      </c>
      <c r="D11" s="32">
        <f>_xlfn.XLOOKUP(B11, [2]PEP!$B:$B,[2]PEP!$G:$G)</f>
        <v>0.96153846153846156</v>
      </c>
      <c r="E11" s="53"/>
    </row>
    <row r="12" spans="1:5">
      <c r="A12" s="3">
        <v>10</v>
      </c>
      <c r="B12" s="1" t="s">
        <v>255</v>
      </c>
      <c r="C12" s="18" t="s">
        <v>31</v>
      </c>
      <c r="D12" s="32">
        <f>_xlfn.XLOOKUP(B12, [2]PEP!$B:$B,[2]PEP!$G:$G)</f>
        <v>0.96551724137931039</v>
      </c>
      <c r="E12" s="53"/>
    </row>
    <row r="13" spans="1:5">
      <c r="A13" s="3">
        <v>11</v>
      </c>
      <c r="B13" s="1" t="s">
        <v>256</v>
      </c>
      <c r="C13" s="18" t="s">
        <v>31</v>
      </c>
      <c r="D13" s="32">
        <f>_xlfn.XLOOKUP(B13, [2]PEP!$B:$B,[2]PEP!$G:$G)</f>
        <v>0.83333333333333337</v>
      </c>
      <c r="E13" s="53"/>
    </row>
    <row r="14" spans="1:5">
      <c r="A14" s="3">
        <v>12</v>
      </c>
      <c r="B14" s="1" t="s">
        <v>257</v>
      </c>
      <c r="C14" s="18" t="s">
        <v>31</v>
      </c>
      <c r="D14" s="32">
        <f>_xlfn.XLOOKUP(B14, [2]PEP!$B:$B,[2]PEP!$G:$G)</f>
        <v>0.80952380952380953</v>
      </c>
      <c r="E14" s="53"/>
    </row>
    <row r="15" spans="1:5">
      <c r="A15" s="3">
        <v>13</v>
      </c>
      <c r="B15" s="1" t="s">
        <v>258</v>
      </c>
      <c r="C15" s="18" t="s">
        <v>31</v>
      </c>
      <c r="D15" s="32">
        <f>_xlfn.XLOOKUP(B15, [2]PEP!$B:$B,[2]PEP!$G:$G)</f>
        <v>0.8</v>
      </c>
      <c r="E15" s="53"/>
    </row>
    <row r="16" spans="1:5">
      <c r="A16" s="3">
        <v>14</v>
      </c>
      <c r="B16" s="1" t="s">
        <v>259</v>
      </c>
      <c r="C16" s="18" t="s">
        <v>31</v>
      </c>
      <c r="D16" s="32">
        <f>_xlfn.XLOOKUP(B16, [2]PEP!$B:$B,[2]PEP!$G:$G)</f>
        <v>0.93181818181818177</v>
      </c>
      <c r="E16" s="53"/>
    </row>
    <row r="17" spans="1:5">
      <c r="A17" s="3">
        <v>15</v>
      </c>
      <c r="B17" s="2" t="s">
        <v>198</v>
      </c>
      <c r="C17" s="18" t="s">
        <v>31</v>
      </c>
      <c r="D17" s="32">
        <f>_xlfn.XLOOKUP(B17, [2]PEP!$B:$B,[2]PEP!$G:$G)</f>
        <v>0.99099099099099097</v>
      </c>
      <c r="E17" s="53"/>
    </row>
    <row r="18" spans="1:5">
      <c r="A18" s="3">
        <v>16</v>
      </c>
      <c r="B18" s="1" t="s">
        <v>260</v>
      </c>
      <c r="C18" s="18" t="s">
        <v>31</v>
      </c>
      <c r="D18" s="32">
        <f>_xlfn.XLOOKUP(B18, [2]PEP!$B:$B,[2]PEP!$G:$G)</f>
        <v>0.9</v>
      </c>
      <c r="E18" s="53"/>
    </row>
    <row r="19" spans="1:5">
      <c r="A19" s="3">
        <v>17</v>
      </c>
      <c r="B19" s="1" t="s">
        <v>261</v>
      </c>
      <c r="C19" s="18" t="s">
        <v>31</v>
      </c>
      <c r="D19" s="32">
        <f>_xlfn.XLOOKUP(B19, [2]PEP!$B:$B,[2]PEP!$G:$G)</f>
        <v>0.97297297297297303</v>
      </c>
      <c r="E19" s="53"/>
    </row>
    <row r="20" spans="1:5">
      <c r="A20" s="3">
        <v>18</v>
      </c>
      <c r="B20" s="1" t="s">
        <v>262</v>
      </c>
      <c r="C20" s="18" t="s">
        <v>31</v>
      </c>
      <c r="D20" s="32">
        <f>_xlfn.XLOOKUP(B20, [2]PEP!$B:$B,[2]PEP!$G:$G)</f>
        <v>1</v>
      </c>
      <c r="E20" s="53"/>
    </row>
    <row r="21" spans="1:5">
      <c r="A21" s="3">
        <v>19</v>
      </c>
      <c r="B21" s="1" t="s">
        <v>263</v>
      </c>
      <c r="C21" s="18" t="s">
        <v>31</v>
      </c>
      <c r="D21" s="32">
        <f>_xlfn.XLOOKUP(B21, [2]PEP!$B:$B,[2]PEP!$G:$G)</f>
        <v>0.97413793103448276</v>
      </c>
      <c r="E21" s="53"/>
    </row>
    <row r="22" spans="1:5">
      <c r="A22" s="3">
        <v>20</v>
      </c>
      <c r="B22" s="1" t="s">
        <v>264</v>
      </c>
      <c r="C22" s="18" t="s">
        <v>31</v>
      </c>
      <c r="D22" s="32">
        <f>_xlfn.XLOOKUP(B22, [2]PEP!$B:$B,[2]PEP!$G:$G)</f>
        <v>0.88749999999999996</v>
      </c>
      <c r="E22" s="53"/>
    </row>
    <row r="23" spans="1:5">
      <c r="A23" s="3">
        <v>21</v>
      </c>
      <c r="B23" s="1" t="s">
        <v>265</v>
      </c>
      <c r="C23" s="18" t="s">
        <v>31</v>
      </c>
      <c r="D23" s="32">
        <f>_xlfn.XLOOKUP(B23, [2]PEP!$B:$B,[2]PEP!$G:$G)</f>
        <v>0.91228070175438591</v>
      </c>
      <c r="E23" s="53"/>
    </row>
    <row r="24" spans="1:5">
      <c r="A24" s="3">
        <v>22</v>
      </c>
      <c r="B24" s="1" t="s">
        <v>266</v>
      </c>
      <c r="C24" s="18" t="s">
        <v>31</v>
      </c>
      <c r="D24" s="32">
        <f>_xlfn.XLOOKUP(B24, [2]PEP!$B:$B,[2]PEP!$G:$G)</f>
        <v>0.96385542168674698</v>
      </c>
      <c r="E24" s="53"/>
    </row>
    <row r="25" spans="1:5">
      <c r="A25" s="3">
        <v>23</v>
      </c>
      <c r="B25" s="1" t="s">
        <v>267</v>
      </c>
      <c r="C25" s="18" t="s">
        <v>31</v>
      </c>
      <c r="D25" s="32">
        <f>_xlfn.XLOOKUP(B25, [2]PEP!$B:$B,[2]PEP!$G:$G)</f>
        <v>1</v>
      </c>
      <c r="E25" s="53"/>
    </row>
    <row r="26" spans="1:5">
      <c r="A26" s="3">
        <v>24</v>
      </c>
      <c r="B26" s="1" t="s">
        <v>268</v>
      </c>
      <c r="C26" s="18" t="s">
        <v>31</v>
      </c>
      <c r="D26" s="32">
        <f>_xlfn.XLOOKUP(B26, [2]PEP!$B:$B,[2]PEP!$G:$G)</f>
        <v>1</v>
      </c>
      <c r="E26" s="54"/>
    </row>
  </sheetData>
  <mergeCells count="2">
    <mergeCell ref="D1:E1"/>
    <mergeCell ref="E3:E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6D2E-D4B0-4D06-8463-5F1BA6AA9626}">
  <sheetPr>
    <tabColor theme="6" tint="-0.249977111117893"/>
  </sheetPr>
  <dimension ref="A1:E26"/>
  <sheetViews>
    <sheetView workbookViewId="0">
      <selection activeCell="D11" sqref="D11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3.7109375" bestFit="1" customWidth="1"/>
  </cols>
  <sheetData>
    <row r="1" spans="1:5">
      <c r="D1" s="55">
        <v>46280</v>
      </c>
      <c r="E1" s="51"/>
    </row>
    <row r="2" spans="1:5">
      <c r="A2" s="4" t="s">
        <v>244</v>
      </c>
      <c r="B2" s="4" t="s">
        <v>245</v>
      </c>
      <c r="C2" s="4" t="s">
        <v>246</v>
      </c>
      <c r="D2" s="28" t="s">
        <v>269</v>
      </c>
      <c r="E2" s="29" t="s">
        <v>248</v>
      </c>
    </row>
    <row r="3" spans="1:5">
      <c r="A3" s="3">
        <v>1</v>
      </c>
      <c r="B3" s="15" t="s">
        <v>223</v>
      </c>
      <c r="C3" s="3" t="s">
        <v>31</v>
      </c>
      <c r="D3" s="32">
        <f>_xlfn.XLOOKUP(B3, '[2]Bad Data'!$B:$B, '[2]Bad Data'!$D:$D)</f>
        <v>3.6800000000000001E-3</v>
      </c>
      <c r="E3" s="52">
        <f>AVERAGE(D3:D26)</f>
        <v>2.2066666666666671E-3</v>
      </c>
    </row>
    <row r="4" spans="1:5">
      <c r="A4" s="3">
        <v>2</v>
      </c>
      <c r="B4" s="16" t="s">
        <v>249</v>
      </c>
      <c r="C4" s="3" t="s">
        <v>31</v>
      </c>
      <c r="D4" s="32">
        <f>_xlfn.XLOOKUP(B4, '[2]Bad Data'!$B:$B, '[2]Bad Data'!$D:$D)</f>
        <v>1.9000000000000001E-4</v>
      </c>
      <c r="E4" s="53"/>
    </row>
    <row r="5" spans="1:5">
      <c r="A5" s="3">
        <v>3</v>
      </c>
      <c r="B5" s="16" t="s">
        <v>250</v>
      </c>
      <c r="C5" s="3" t="s">
        <v>31</v>
      </c>
      <c r="D5" s="32">
        <f>_xlfn.XLOOKUP(B5, '[2]Bad Data'!$B:$B, '[2]Bad Data'!$D:$D)</f>
        <v>6.2899999999999996E-3</v>
      </c>
      <c r="E5" s="53"/>
    </row>
    <row r="6" spans="1:5">
      <c r="A6" s="3">
        <v>4</v>
      </c>
      <c r="B6" s="16" t="s">
        <v>251</v>
      </c>
      <c r="C6" s="3" t="s">
        <v>31</v>
      </c>
      <c r="D6" s="32">
        <f>_xlfn.XLOOKUP(B6, '[2]Bad Data'!$B:$B, '[2]Bad Data'!$D:$D)</f>
        <v>5.5000000000000003E-4</v>
      </c>
      <c r="E6" s="53"/>
    </row>
    <row r="7" spans="1:5">
      <c r="A7" s="3">
        <v>5</v>
      </c>
      <c r="B7" s="16" t="s">
        <v>252</v>
      </c>
      <c r="C7" s="3" t="s">
        <v>31</v>
      </c>
      <c r="D7" s="32">
        <f>_xlfn.XLOOKUP(B7, '[2]Bad Data'!$B:$B, '[2]Bad Data'!$D:$D)</f>
        <v>7.7999999999999999E-4</v>
      </c>
      <c r="E7" s="53"/>
    </row>
    <row r="8" spans="1:5">
      <c r="A8" s="3">
        <v>6</v>
      </c>
      <c r="B8" s="16" t="s">
        <v>253</v>
      </c>
      <c r="C8" s="3" t="s">
        <v>31</v>
      </c>
      <c r="D8" s="32">
        <f>_xlfn.XLOOKUP(B8, '[2]Bad Data'!$B:$B, '[2]Bad Data'!$D:$D)</f>
        <v>7.1000000000000002E-4</v>
      </c>
      <c r="E8" s="53"/>
    </row>
    <row r="9" spans="1:5">
      <c r="A9" s="3">
        <v>7</v>
      </c>
      <c r="B9" s="16" t="s">
        <v>61</v>
      </c>
      <c r="C9" s="3" t="s">
        <v>31</v>
      </c>
      <c r="D9" s="32">
        <f>_xlfn.XLOOKUP(B9, '[2]Bad Data'!$B:$B, '[2]Bad Data'!$D:$D)</f>
        <v>9.7000000000000005E-4</v>
      </c>
      <c r="E9" s="53"/>
    </row>
    <row r="10" spans="1:5">
      <c r="A10" s="3">
        <v>8</v>
      </c>
      <c r="B10" s="16" t="s">
        <v>254</v>
      </c>
      <c r="C10" s="3" t="s">
        <v>31</v>
      </c>
      <c r="D10" s="32">
        <f>_xlfn.XLOOKUP(B10, '[2]Bad Data'!$B:$B, '[2]Bad Data'!$D:$D)</f>
        <v>1.2E-4</v>
      </c>
      <c r="E10" s="53"/>
    </row>
    <row r="11" spans="1:5">
      <c r="A11" s="3">
        <v>9</v>
      </c>
      <c r="B11" s="16" t="s">
        <v>237</v>
      </c>
      <c r="C11" s="3" t="s">
        <v>31</v>
      </c>
      <c r="D11" s="32">
        <f>_xlfn.XLOOKUP(B11, '[2]Bad Data'!$B:$B, '[2]Bad Data'!$D:$D)</f>
        <v>4.4999999999999999E-4</v>
      </c>
      <c r="E11" s="53"/>
    </row>
    <row r="12" spans="1:5">
      <c r="A12" s="3">
        <v>10</v>
      </c>
      <c r="B12" s="16" t="s">
        <v>255</v>
      </c>
      <c r="C12" s="3" t="s">
        <v>31</v>
      </c>
      <c r="D12" s="32">
        <f>_xlfn.XLOOKUP(B12, '[2]Bad Data'!$B:$B, '[2]Bad Data'!$D:$D)</f>
        <v>6.2300000000000003E-3</v>
      </c>
      <c r="E12" s="53"/>
    </row>
    <row r="13" spans="1:5">
      <c r="A13" s="3">
        <v>11</v>
      </c>
      <c r="B13" s="16" t="s">
        <v>256</v>
      </c>
      <c r="C13" s="3" t="s">
        <v>31</v>
      </c>
      <c r="D13" s="32">
        <f>_xlfn.XLOOKUP(B13, '[2]Bad Data'!$B:$B, '[2]Bad Data'!$D:$D)</f>
        <v>1.39E-3</v>
      </c>
      <c r="E13" s="53"/>
    </row>
    <row r="14" spans="1:5">
      <c r="A14" s="3">
        <v>12</v>
      </c>
      <c r="B14" s="16" t="s">
        <v>257</v>
      </c>
      <c r="C14" s="3" t="s">
        <v>31</v>
      </c>
      <c r="D14" s="32">
        <f>_xlfn.XLOOKUP(B14, '[2]Bad Data'!$B:$B, '[2]Bad Data'!$D:$D)</f>
        <v>3.5500000000000002E-3</v>
      </c>
      <c r="E14" s="53"/>
    </row>
    <row r="15" spans="1:5">
      <c r="A15" s="3">
        <v>13</v>
      </c>
      <c r="B15" s="16" t="s">
        <v>258</v>
      </c>
      <c r="C15" s="3" t="s">
        <v>31</v>
      </c>
      <c r="D15" s="32">
        <f>_xlfn.XLOOKUP(B15, '[2]Bad Data'!$B:$B, '[2]Bad Data'!$D:$D)</f>
        <v>3.8999999999999999E-4</v>
      </c>
      <c r="E15" s="53"/>
    </row>
    <row r="16" spans="1:5">
      <c r="A16" s="3">
        <v>14</v>
      </c>
      <c r="B16" s="16" t="s">
        <v>259</v>
      </c>
      <c r="C16" s="3" t="s">
        <v>31</v>
      </c>
      <c r="D16" s="32">
        <f>_xlfn.XLOOKUP(B16, '[2]Bad Data'!$B:$B, '[2]Bad Data'!$D:$D)</f>
        <v>2.3500000000000001E-3</v>
      </c>
      <c r="E16" s="53"/>
    </row>
    <row r="17" spans="1:5">
      <c r="A17" s="3">
        <v>15</v>
      </c>
      <c r="B17" s="16" t="s">
        <v>198</v>
      </c>
      <c r="C17" s="3" t="s">
        <v>31</v>
      </c>
      <c r="D17" s="32">
        <f>_xlfn.XLOOKUP(B17, '[2]Bad Data'!$B:$B, '[2]Bad Data'!$D:$D)</f>
        <v>1.0200000000000001E-3</v>
      </c>
      <c r="E17" s="53"/>
    </row>
    <row r="18" spans="1:5">
      <c r="A18" s="3">
        <v>16</v>
      </c>
      <c r="B18" s="16" t="s">
        <v>260</v>
      </c>
      <c r="C18" s="3" t="s">
        <v>31</v>
      </c>
      <c r="D18" s="32">
        <f>_xlfn.XLOOKUP(B18, '[2]Bad Data'!$B:$B, '[2]Bad Data'!$D:$D)</f>
        <v>1.3999999999999999E-4</v>
      </c>
      <c r="E18" s="53"/>
    </row>
    <row r="19" spans="1:5">
      <c r="A19" s="3">
        <v>17</v>
      </c>
      <c r="B19" s="16" t="s">
        <v>261</v>
      </c>
      <c r="C19" s="3" t="s">
        <v>31</v>
      </c>
      <c r="D19" s="32">
        <f>_xlfn.XLOOKUP(B19, '[2]Bad Data'!$B:$B, '[2]Bad Data'!$D:$D)</f>
        <v>3.2699999999999999E-3</v>
      </c>
      <c r="E19" s="53"/>
    </row>
    <row r="20" spans="1:5">
      <c r="A20" s="3">
        <v>18</v>
      </c>
      <c r="B20" s="16" t="s">
        <v>262</v>
      </c>
      <c r="C20" s="3" t="s">
        <v>31</v>
      </c>
      <c r="D20" s="32">
        <f>_xlfn.XLOOKUP(B20, '[2]Bad Data'!$B:$B, '[2]Bad Data'!$D:$D)</f>
        <v>2.3900000000000002E-3</v>
      </c>
      <c r="E20" s="53"/>
    </row>
    <row r="21" spans="1:5">
      <c r="A21" s="3">
        <v>19</v>
      </c>
      <c r="B21" s="16" t="s">
        <v>263</v>
      </c>
      <c r="C21" s="3" t="s">
        <v>31</v>
      </c>
      <c r="D21" s="32">
        <f>_xlfn.XLOOKUP(B21, '[2]Bad Data'!$B:$B, '[2]Bad Data'!$D:$D)</f>
        <v>3.13E-3</v>
      </c>
      <c r="E21" s="53"/>
    </row>
    <row r="22" spans="1:5">
      <c r="A22" s="3">
        <v>20</v>
      </c>
      <c r="B22" s="16" t="s">
        <v>264</v>
      </c>
      <c r="C22" s="3" t="s">
        <v>31</v>
      </c>
      <c r="D22" s="32">
        <f>_xlfn.XLOOKUP(B22, '[2]Bad Data'!$B:$B, '[2]Bad Data'!$D:$D)</f>
        <v>4.9100000000000003E-3</v>
      </c>
      <c r="E22" s="53"/>
    </row>
    <row r="23" spans="1:5">
      <c r="A23" s="3">
        <v>21</v>
      </c>
      <c r="B23" s="16" t="s">
        <v>265</v>
      </c>
      <c r="C23" s="3" t="s">
        <v>31</v>
      </c>
      <c r="D23" s="32">
        <f>_xlfn.XLOOKUP(B23, '[2]Bad Data'!$B:$B, '[2]Bad Data'!$D:$D)</f>
        <v>1.07E-3</v>
      </c>
      <c r="E23" s="53"/>
    </row>
    <row r="24" spans="1:5">
      <c r="A24" s="3">
        <v>22</v>
      </c>
      <c r="B24" s="16" t="s">
        <v>266</v>
      </c>
      <c r="C24" s="3" t="s">
        <v>31</v>
      </c>
      <c r="D24" s="32">
        <f>_xlfn.XLOOKUP(B24, '[2]Bad Data'!$B:$B, '[2]Bad Data'!$D:$D)</f>
        <v>2.5600000000000002E-3</v>
      </c>
      <c r="E24" s="53"/>
    </row>
    <row r="25" spans="1:5">
      <c r="A25" s="3">
        <v>23</v>
      </c>
      <c r="B25" s="16" t="s">
        <v>267</v>
      </c>
      <c r="C25" s="3" t="s">
        <v>31</v>
      </c>
      <c r="D25" s="32">
        <f>_xlfn.XLOOKUP(B25, '[2]Bad Data'!$B:$B, '[2]Bad Data'!$D:$D)</f>
        <v>6.4400000000000004E-3</v>
      </c>
      <c r="E25" s="53"/>
    </row>
    <row r="26" spans="1:5">
      <c r="A26" s="3">
        <v>24</v>
      </c>
      <c r="B26" s="16" t="s">
        <v>268</v>
      </c>
      <c r="C26" s="3" t="s">
        <v>31</v>
      </c>
      <c r="D26" s="32">
        <f>_xlfn.XLOOKUP(B26, '[2]Bad Data'!$B:$B, '[2]Bad Data'!$D:$D)</f>
        <v>3.8000000000000002E-4</v>
      </c>
      <c r="E26" s="54"/>
    </row>
  </sheetData>
  <mergeCells count="2">
    <mergeCell ref="D1:E1"/>
    <mergeCell ref="E3:E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8AB7-E42C-4A16-9B8C-3C102575C179}">
  <dimension ref="A1:I36"/>
  <sheetViews>
    <sheetView workbookViewId="0">
      <selection activeCell="E2" sqref="E2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8.42578125" customWidth="1"/>
    <col min="5" max="5" width="26.42578125" bestFit="1" customWidth="1"/>
    <col min="6" max="6" width="21.7109375" customWidth="1"/>
    <col min="7" max="7" width="24.85546875" customWidth="1"/>
    <col min="8" max="8" width="15.85546875" customWidth="1"/>
    <col min="9" max="9" width="21.42578125" customWidth="1"/>
    <col min="10" max="10" width="19.42578125" customWidth="1"/>
  </cols>
  <sheetData>
    <row r="1" spans="1:9">
      <c r="A1" s="4" t="s">
        <v>244</v>
      </c>
      <c r="B1" s="4" t="s">
        <v>245</v>
      </c>
      <c r="C1" s="4" t="s">
        <v>246</v>
      </c>
      <c r="D1" s="4" t="s">
        <v>270</v>
      </c>
      <c r="E1" s="4" t="s">
        <v>271</v>
      </c>
      <c r="F1" s="4" t="s">
        <v>272</v>
      </c>
      <c r="G1" s="4" t="s">
        <v>273</v>
      </c>
      <c r="H1" s="4" t="s">
        <v>274</v>
      </c>
      <c r="I1" s="4" t="s">
        <v>275</v>
      </c>
    </row>
    <row r="2" spans="1:9">
      <c r="A2" s="3">
        <v>1</v>
      </c>
      <c r="B2" s="1" t="s">
        <v>276</v>
      </c>
      <c r="C2" s="3"/>
      <c r="D2" s="3"/>
      <c r="E2" s="3"/>
      <c r="F2" s="3"/>
      <c r="G2" s="3"/>
      <c r="H2" s="3"/>
      <c r="I2" s="3"/>
    </row>
    <row r="3" spans="1:9">
      <c r="A3" s="3">
        <v>2</v>
      </c>
      <c r="B3" s="1" t="s">
        <v>277</v>
      </c>
      <c r="C3" s="3"/>
      <c r="D3" s="3"/>
      <c r="E3" s="3"/>
      <c r="F3" s="3"/>
      <c r="G3" s="3"/>
      <c r="H3" s="3"/>
      <c r="I3" s="3"/>
    </row>
    <row r="4" spans="1:9">
      <c r="A4" s="3">
        <v>3</v>
      </c>
      <c r="B4" s="1" t="s">
        <v>278</v>
      </c>
      <c r="C4" s="3"/>
      <c r="D4" s="3"/>
      <c r="E4" s="3"/>
      <c r="F4" s="3"/>
      <c r="G4" s="3"/>
      <c r="H4" s="3"/>
      <c r="I4" s="3"/>
    </row>
    <row r="5" spans="1:9">
      <c r="A5" s="3">
        <v>4</v>
      </c>
      <c r="B5" s="1" t="s">
        <v>279</v>
      </c>
      <c r="C5" s="3"/>
      <c r="D5" s="3"/>
      <c r="E5" s="3"/>
      <c r="F5" s="3"/>
      <c r="G5" s="3"/>
      <c r="H5" s="3"/>
      <c r="I5" s="3"/>
    </row>
    <row r="6" spans="1:9">
      <c r="A6" s="3">
        <v>5</v>
      </c>
      <c r="B6" s="1" t="s">
        <v>280</v>
      </c>
      <c r="C6" s="3"/>
      <c r="D6" s="3"/>
      <c r="E6" s="3"/>
      <c r="F6" s="3"/>
      <c r="G6" s="3"/>
      <c r="H6" s="3"/>
      <c r="I6" s="3"/>
    </row>
    <row r="7" spans="1:9">
      <c r="A7" s="3">
        <v>6</v>
      </c>
      <c r="B7" s="1" t="s">
        <v>281</v>
      </c>
      <c r="C7" s="3"/>
      <c r="D7" s="3"/>
      <c r="E7" s="3"/>
      <c r="F7" s="3"/>
      <c r="G7" s="3"/>
      <c r="H7" s="3"/>
      <c r="I7" s="3"/>
    </row>
    <row r="8" spans="1:9">
      <c r="A8" s="3">
        <v>7</v>
      </c>
      <c r="B8" s="1" t="s">
        <v>282</v>
      </c>
      <c r="C8" s="3"/>
      <c r="D8" s="3"/>
      <c r="E8" s="3"/>
      <c r="F8" s="3"/>
      <c r="G8" s="3"/>
      <c r="H8" s="3"/>
      <c r="I8" s="3"/>
    </row>
    <row r="9" spans="1:9">
      <c r="A9" s="3">
        <v>8</v>
      </c>
      <c r="B9" s="1" t="s">
        <v>283</v>
      </c>
      <c r="C9" s="3"/>
      <c r="D9" s="3"/>
      <c r="E9" s="3"/>
      <c r="F9" s="3"/>
      <c r="G9" s="3"/>
      <c r="H9" s="3"/>
      <c r="I9" s="3"/>
    </row>
    <row r="10" spans="1:9">
      <c r="A10" s="3">
        <v>9</v>
      </c>
      <c r="B10" s="1" t="s">
        <v>284</v>
      </c>
      <c r="C10" s="3"/>
      <c r="D10" s="3"/>
      <c r="E10" s="3"/>
      <c r="F10" s="3"/>
      <c r="G10" s="3"/>
      <c r="H10" s="3"/>
      <c r="I10" s="3"/>
    </row>
    <row r="11" spans="1:9">
      <c r="A11" s="3">
        <v>10</v>
      </c>
      <c r="B11" s="1" t="s">
        <v>285</v>
      </c>
      <c r="C11" s="3"/>
      <c r="D11" s="3"/>
      <c r="E11" s="3"/>
      <c r="F11" s="3"/>
      <c r="G11" s="3"/>
      <c r="H11" s="3"/>
      <c r="I11" s="3"/>
    </row>
    <row r="12" spans="1:9">
      <c r="A12" s="3">
        <v>11</v>
      </c>
      <c r="B12" s="1" t="s">
        <v>286</v>
      </c>
      <c r="C12" s="3"/>
      <c r="D12" s="3"/>
      <c r="E12" s="3"/>
      <c r="F12" s="3"/>
      <c r="G12" s="3"/>
      <c r="H12" s="3"/>
      <c r="I12" s="3"/>
    </row>
    <row r="13" spans="1:9">
      <c r="A13" s="3">
        <v>12</v>
      </c>
      <c r="B13" s="1" t="s">
        <v>287</v>
      </c>
      <c r="C13" s="3"/>
      <c r="D13" s="3"/>
      <c r="E13" s="3"/>
      <c r="F13" s="3"/>
      <c r="G13" s="3"/>
      <c r="H13" s="3"/>
      <c r="I13" s="3"/>
    </row>
    <row r="14" spans="1:9">
      <c r="A14" s="3">
        <v>13</v>
      </c>
      <c r="B14" s="1" t="s">
        <v>288</v>
      </c>
      <c r="C14" s="3"/>
      <c r="D14" s="3"/>
      <c r="E14" s="3"/>
      <c r="F14" s="3"/>
      <c r="G14" s="3"/>
      <c r="H14" s="3"/>
      <c r="I14" s="3"/>
    </row>
    <row r="15" spans="1:9">
      <c r="A15" s="3">
        <v>14</v>
      </c>
      <c r="B15" s="1" t="s">
        <v>289</v>
      </c>
      <c r="C15" s="3"/>
      <c r="D15" s="3"/>
      <c r="E15" s="3"/>
      <c r="F15" s="3"/>
      <c r="G15" s="3"/>
      <c r="H15" s="3"/>
      <c r="I15" s="3"/>
    </row>
    <row r="16" spans="1:9">
      <c r="A16" s="3">
        <v>15</v>
      </c>
      <c r="B16" s="2" t="s">
        <v>290</v>
      </c>
      <c r="C16" s="3"/>
      <c r="D16" s="3"/>
      <c r="E16" s="3"/>
      <c r="F16" s="3"/>
      <c r="G16" s="3"/>
      <c r="H16" s="3"/>
      <c r="I16" s="3"/>
    </row>
    <row r="17" spans="1:9">
      <c r="A17" s="3">
        <v>16</v>
      </c>
      <c r="B17" s="1" t="s">
        <v>291</v>
      </c>
      <c r="C17" s="3"/>
      <c r="D17" s="3"/>
      <c r="E17" s="3"/>
      <c r="F17" s="3"/>
      <c r="G17" s="3"/>
      <c r="H17" s="3"/>
      <c r="I17" s="3"/>
    </row>
    <row r="18" spans="1:9">
      <c r="A18" s="3">
        <v>17</v>
      </c>
      <c r="B18" s="1" t="s">
        <v>292</v>
      </c>
      <c r="C18" s="3"/>
      <c r="D18" s="3"/>
      <c r="E18" s="3"/>
      <c r="F18" s="3"/>
      <c r="G18" s="3"/>
      <c r="H18" s="3"/>
      <c r="I18" s="3"/>
    </row>
    <row r="19" spans="1:9">
      <c r="A19" s="3">
        <v>18</v>
      </c>
      <c r="B19" s="1" t="s">
        <v>293</v>
      </c>
      <c r="C19" s="3"/>
      <c r="D19" s="3"/>
      <c r="E19" s="3"/>
      <c r="F19" s="3"/>
      <c r="G19" s="3"/>
      <c r="H19" s="3"/>
      <c r="I19" s="3"/>
    </row>
    <row r="20" spans="1:9">
      <c r="A20" s="3">
        <v>19</v>
      </c>
      <c r="B20" s="1" t="s">
        <v>294</v>
      </c>
      <c r="C20" s="3"/>
      <c r="D20" s="3"/>
      <c r="E20" s="3"/>
      <c r="F20" s="3"/>
      <c r="G20" s="3"/>
      <c r="H20" s="3"/>
      <c r="I20" s="3"/>
    </row>
    <row r="21" spans="1:9">
      <c r="A21" s="3">
        <v>20</v>
      </c>
      <c r="B21" s="1" t="s">
        <v>295</v>
      </c>
      <c r="C21" s="3"/>
      <c r="D21" s="3"/>
      <c r="E21" s="3"/>
      <c r="F21" s="3"/>
      <c r="G21" s="3"/>
      <c r="H21" s="3"/>
      <c r="I21" s="3"/>
    </row>
    <row r="22" spans="1:9">
      <c r="A22" s="3">
        <v>21</v>
      </c>
      <c r="B22" s="1" t="s">
        <v>296</v>
      </c>
      <c r="C22" s="3"/>
      <c r="D22" s="3"/>
      <c r="E22" s="3"/>
      <c r="F22" s="3"/>
      <c r="G22" s="3"/>
      <c r="H22" s="3"/>
      <c r="I22" s="3"/>
    </row>
    <row r="23" spans="1:9">
      <c r="A23" s="3">
        <v>22</v>
      </c>
      <c r="B23" s="1" t="s">
        <v>297</v>
      </c>
      <c r="C23" s="3"/>
      <c r="D23" s="3"/>
      <c r="E23" s="3"/>
      <c r="F23" s="3"/>
      <c r="G23" s="3"/>
      <c r="H23" s="3"/>
      <c r="I23" s="3"/>
    </row>
    <row r="24" spans="1:9">
      <c r="A24" s="3">
        <v>23</v>
      </c>
      <c r="B24" s="1" t="s">
        <v>298</v>
      </c>
      <c r="C24" s="3"/>
      <c r="D24" s="3"/>
      <c r="E24" s="3"/>
      <c r="F24" s="3"/>
      <c r="G24" s="3"/>
      <c r="H24" s="3"/>
      <c r="I24" s="3"/>
    </row>
    <row r="25" spans="1:9">
      <c r="A25" s="3">
        <v>24</v>
      </c>
      <c r="B25" s="1" t="s">
        <v>299</v>
      </c>
      <c r="C25" s="3"/>
      <c r="D25" s="3"/>
      <c r="E25" s="3"/>
      <c r="F25" s="3"/>
      <c r="G25" s="3"/>
      <c r="H25" s="3"/>
      <c r="I25" s="3"/>
    </row>
    <row r="27" spans="1:9">
      <c r="B27" s="5" t="s">
        <v>300</v>
      </c>
    </row>
    <row r="28" spans="1:9">
      <c r="B28" s="5" t="s">
        <v>301</v>
      </c>
    </row>
    <row r="29" spans="1:9">
      <c r="B29" s="6" t="s">
        <v>302</v>
      </c>
    </row>
    <row r="31" spans="1:9">
      <c r="B31" t="s">
        <v>303</v>
      </c>
    </row>
    <row r="32" spans="1:9">
      <c r="B32" t="s">
        <v>304</v>
      </c>
    </row>
    <row r="33" spans="2:2">
      <c r="B33" t="s">
        <v>305</v>
      </c>
    </row>
    <row r="34" spans="2:2">
      <c r="B34" t="s">
        <v>306</v>
      </c>
    </row>
    <row r="35" spans="2:2">
      <c r="B35" t="s">
        <v>307</v>
      </c>
    </row>
    <row r="36" spans="2:2">
      <c r="B36" t="s">
        <v>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BD84-5D1A-4337-99EB-B0C267B6544E}">
  <sheetPr>
    <tabColor theme="6" tint="-0.249977111117893"/>
  </sheetPr>
  <dimension ref="A1:E26"/>
  <sheetViews>
    <sheetView workbookViewId="0">
      <selection activeCell="B3" sqref="B3:B26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7.42578125" bestFit="1" customWidth="1"/>
  </cols>
  <sheetData>
    <row r="1" spans="1:5">
      <c r="D1" s="55">
        <v>46280</v>
      </c>
      <c r="E1" s="51"/>
    </row>
    <row r="2" spans="1:5" ht="15">
      <c r="A2" s="4" t="s">
        <v>244</v>
      </c>
      <c r="B2" s="4" t="s">
        <v>245</v>
      </c>
      <c r="C2" s="4" t="s">
        <v>246</v>
      </c>
      <c r="D2" s="28" t="s">
        <v>309</v>
      </c>
      <c r="E2" s="29" t="s">
        <v>248</v>
      </c>
    </row>
    <row r="3" spans="1:5" ht="15">
      <c r="A3" s="3">
        <v>1</v>
      </c>
      <c r="B3" s="15" t="s">
        <v>223</v>
      </c>
      <c r="C3" s="3" t="s">
        <v>31</v>
      </c>
      <c r="D3" s="33">
        <f>_xlfn.XLOOKUP(B3,'[2]Pengkinian Data'!$B:$B,'[2]Pengkinian Data'!$E:$E)</f>
        <v>0.97750000000000004</v>
      </c>
      <c r="E3" s="52">
        <f>AVERAGE(D3:D26)</f>
        <v>0.97966249999999999</v>
      </c>
    </row>
    <row r="4" spans="1:5">
      <c r="A4" s="3">
        <v>2</v>
      </c>
      <c r="B4" s="16" t="s">
        <v>249</v>
      </c>
      <c r="C4" s="3" t="s">
        <v>31</v>
      </c>
      <c r="D4" s="33">
        <f>_xlfn.XLOOKUP(B4,'[2]Pengkinian Data'!$B:$B,'[2]Pengkinian Data'!$E:$E)</f>
        <v>1</v>
      </c>
      <c r="E4" s="53"/>
    </row>
    <row r="5" spans="1:5">
      <c r="A5" s="3">
        <v>3</v>
      </c>
      <c r="B5" s="16" t="s">
        <v>250</v>
      </c>
      <c r="C5" s="3" t="s">
        <v>31</v>
      </c>
      <c r="D5" s="33">
        <f>_xlfn.XLOOKUP(B5,'[2]Pengkinian Data'!$B:$B,'[2]Pengkinian Data'!$E:$E)</f>
        <v>0.96919999999999995</v>
      </c>
      <c r="E5" s="53"/>
    </row>
    <row r="6" spans="1:5">
      <c r="A6" s="3">
        <v>4</v>
      </c>
      <c r="B6" s="16" t="s">
        <v>251</v>
      </c>
      <c r="C6" s="3" t="s">
        <v>31</v>
      </c>
      <c r="D6" s="33">
        <f>_xlfn.XLOOKUP(B6,'[2]Pengkinian Data'!$B:$B,'[2]Pengkinian Data'!$E:$E)</f>
        <v>0.96779999999999999</v>
      </c>
      <c r="E6" s="53"/>
    </row>
    <row r="7" spans="1:5">
      <c r="A7" s="3">
        <v>5</v>
      </c>
      <c r="B7" s="16" t="s">
        <v>252</v>
      </c>
      <c r="C7" s="3" t="s">
        <v>31</v>
      </c>
      <c r="D7" s="33">
        <f>_xlfn.XLOOKUP(B7,'[2]Pengkinian Data'!$B:$B,'[2]Pengkinian Data'!$E:$E)</f>
        <v>0.99960000000000004</v>
      </c>
      <c r="E7" s="53"/>
    </row>
    <row r="8" spans="1:5">
      <c r="A8" s="3">
        <v>6</v>
      </c>
      <c r="B8" s="16" t="s">
        <v>253</v>
      </c>
      <c r="C8" s="3" t="s">
        <v>31</v>
      </c>
      <c r="D8" s="33">
        <f>_xlfn.XLOOKUP(B8,'[2]Pengkinian Data'!$B:$B,'[2]Pengkinian Data'!$E:$E)</f>
        <v>0.996</v>
      </c>
      <c r="E8" s="53"/>
    </row>
    <row r="9" spans="1:5">
      <c r="A9" s="3">
        <v>7</v>
      </c>
      <c r="B9" s="16" t="s">
        <v>61</v>
      </c>
      <c r="C9" s="3" t="s">
        <v>31</v>
      </c>
      <c r="D9" s="33">
        <f>_xlfn.XLOOKUP(B9,'[2]Pengkinian Data'!$B:$B,'[2]Pengkinian Data'!$E:$E)</f>
        <v>0.99709999999999999</v>
      </c>
      <c r="E9" s="53"/>
    </row>
    <row r="10" spans="1:5">
      <c r="A10" s="3">
        <v>8</v>
      </c>
      <c r="B10" s="16" t="s">
        <v>254</v>
      </c>
      <c r="C10" s="3" t="s">
        <v>31</v>
      </c>
      <c r="D10" s="33">
        <f>_xlfn.XLOOKUP(B10,'[2]Pengkinian Data'!$B:$B,'[2]Pengkinian Data'!$E:$E)</f>
        <v>0.99939999999999996</v>
      </c>
      <c r="E10" s="53"/>
    </row>
    <row r="11" spans="1:5">
      <c r="A11" s="3">
        <v>9</v>
      </c>
      <c r="B11" s="16" t="s">
        <v>237</v>
      </c>
      <c r="C11" s="3" t="s">
        <v>31</v>
      </c>
      <c r="D11" s="33">
        <f>_xlfn.XLOOKUP(B11,'[2]Pengkinian Data'!$B:$B,'[2]Pengkinian Data'!$E:$E)</f>
        <v>0.99780000000000002</v>
      </c>
      <c r="E11" s="53"/>
    </row>
    <row r="12" spans="1:5">
      <c r="A12" s="3">
        <v>10</v>
      </c>
      <c r="B12" s="16" t="s">
        <v>255</v>
      </c>
      <c r="C12" s="3" t="s">
        <v>31</v>
      </c>
      <c r="D12" s="33">
        <f>_xlfn.XLOOKUP(B12,'[2]Pengkinian Data'!$B:$B,'[2]Pengkinian Data'!$E:$E)</f>
        <v>0.88319999999999999</v>
      </c>
      <c r="E12" s="53"/>
    </row>
    <row r="13" spans="1:5">
      <c r="A13" s="3">
        <v>11</v>
      </c>
      <c r="B13" s="16" t="s">
        <v>256</v>
      </c>
      <c r="C13" s="3" t="s">
        <v>31</v>
      </c>
      <c r="D13" s="33">
        <f>_xlfn.XLOOKUP(B13,'[2]Pengkinian Data'!$B:$B,'[2]Pengkinian Data'!$E:$E)</f>
        <v>0.96850000000000003</v>
      </c>
      <c r="E13" s="53"/>
    </row>
    <row r="14" spans="1:5">
      <c r="A14" s="3">
        <v>12</v>
      </c>
      <c r="B14" s="16" t="s">
        <v>257</v>
      </c>
      <c r="C14" s="3" t="s">
        <v>31</v>
      </c>
      <c r="D14" s="33">
        <f>_xlfn.XLOOKUP(B14,'[2]Pengkinian Data'!$B:$B,'[2]Pengkinian Data'!$E:$E)</f>
        <v>0.96089999999999998</v>
      </c>
      <c r="E14" s="53"/>
    </row>
    <row r="15" spans="1:5">
      <c r="A15" s="3">
        <v>13</v>
      </c>
      <c r="B15" s="16" t="s">
        <v>258</v>
      </c>
      <c r="C15" s="3" t="s">
        <v>31</v>
      </c>
      <c r="D15" s="33">
        <f>_xlfn.XLOOKUP(B15,'[2]Pengkinian Data'!$B:$B,'[2]Pengkinian Data'!$E:$E)</f>
        <v>0.99170000000000003</v>
      </c>
      <c r="E15" s="53"/>
    </row>
    <row r="16" spans="1:5">
      <c r="A16" s="3">
        <v>14</v>
      </c>
      <c r="B16" s="16" t="s">
        <v>259</v>
      </c>
      <c r="C16" s="3" t="s">
        <v>31</v>
      </c>
      <c r="D16" s="33">
        <f>_xlfn.XLOOKUP(B16,'[2]Pengkinian Data'!$B:$B,'[2]Pengkinian Data'!$E:$E)</f>
        <v>0.99270000000000003</v>
      </c>
      <c r="E16" s="53"/>
    </row>
    <row r="17" spans="1:5">
      <c r="A17" s="3">
        <v>15</v>
      </c>
      <c r="B17" s="16" t="s">
        <v>198</v>
      </c>
      <c r="C17" s="3" t="s">
        <v>31</v>
      </c>
      <c r="D17" s="33">
        <f>_xlfn.XLOOKUP(B17,'[2]Pengkinian Data'!$B:$B,'[2]Pengkinian Data'!$E:$E)</f>
        <v>0.97529999999999994</v>
      </c>
      <c r="E17" s="53"/>
    </row>
    <row r="18" spans="1:5">
      <c r="A18" s="3">
        <v>16</v>
      </c>
      <c r="B18" s="16" t="s">
        <v>260</v>
      </c>
      <c r="C18" s="3" t="s">
        <v>31</v>
      </c>
      <c r="D18" s="33">
        <f>_xlfn.XLOOKUP(B18,'[2]Pengkinian Data'!$B:$B,'[2]Pengkinian Data'!$E:$E)</f>
        <v>0.99650000000000005</v>
      </c>
      <c r="E18" s="53"/>
    </row>
    <row r="19" spans="1:5">
      <c r="A19" s="3">
        <v>17</v>
      </c>
      <c r="B19" s="16" t="s">
        <v>261</v>
      </c>
      <c r="C19" s="3" t="s">
        <v>31</v>
      </c>
      <c r="D19" s="33">
        <f>_xlfn.XLOOKUP(B19,'[2]Pengkinian Data'!$B:$B,'[2]Pengkinian Data'!$E:$E)</f>
        <v>0.98299999999999998</v>
      </c>
      <c r="E19" s="53"/>
    </row>
    <row r="20" spans="1:5">
      <c r="A20" s="3">
        <v>18</v>
      </c>
      <c r="B20" s="16" t="s">
        <v>262</v>
      </c>
      <c r="C20" s="3" t="s">
        <v>31</v>
      </c>
      <c r="D20" s="33">
        <f>_xlfn.XLOOKUP(B20,'[2]Pengkinian Data'!$B:$B,'[2]Pengkinian Data'!$E:$E)</f>
        <v>0.9637</v>
      </c>
      <c r="E20" s="53"/>
    </row>
    <row r="21" spans="1:5">
      <c r="A21" s="3">
        <v>19</v>
      </c>
      <c r="B21" s="16" t="s">
        <v>263</v>
      </c>
      <c r="C21" s="3" t="s">
        <v>31</v>
      </c>
      <c r="D21" s="33">
        <f>_xlfn.XLOOKUP(B21,'[2]Pengkinian Data'!$B:$B,'[2]Pengkinian Data'!$E:$E)</f>
        <v>0.9889</v>
      </c>
      <c r="E21" s="53"/>
    </row>
    <row r="22" spans="1:5">
      <c r="A22" s="3">
        <v>20</v>
      </c>
      <c r="B22" s="16" t="s">
        <v>264</v>
      </c>
      <c r="C22" s="3" t="s">
        <v>31</v>
      </c>
      <c r="D22" s="33">
        <f>_xlfn.XLOOKUP(B22,'[2]Pengkinian Data'!$B:$B,'[2]Pengkinian Data'!$E:$E)</f>
        <v>0.9446</v>
      </c>
      <c r="E22" s="53"/>
    </row>
    <row r="23" spans="1:5">
      <c r="A23" s="3">
        <v>21</v>
      </c>
      <c r="B23" s="16" t="s">
        <v>265</v>
      </c>
      <c r="C23" s="3" t="s">
        <v>31</v>
      </c>
      <c r="D23" s="33">
        <f>_xlfn.XLOOKUP(B23,'[2]Pengkinian Data'!$B:$B,'[2]Pengkinian Data'!$E:$E)</f>
        <v>0.96819999999999995</v>
      </c>
      <c r="E23" s="53"/>
    </row>
    <row r="24" spans="1:5">
      <c r="A24" s="3">
        <v>22</v>
      </c>
      <c r="B24" s="16" t="s">
        <v>266</v>
      </c>
      <c r="C24" s="3" t="s">
        <v>31</v>
      </c>
      <c r="D24" s="33">
        <f>_xlfn.XLOOKUP(B24,'[2]Pengkinian Data'!$B:$B,'[2]Pengkinian Data'!$E:$E)</f>
        <v>0.99450000000000005</v>
      </c>
      <c r="E24" s="53"/>
    </row>
    <row r="25" spans="1:5">
      <c r="A25" s="3">
        <v>23</v>
      </c>
      <c r="B25" s="16" t="s">
        <v>267</v>
      </c>
      <c r="C25" s="3" t="s">
        <v>31</v>
      </c>
      <c r="D25" s="33">
        <f>_xlfn.XLOOKUP(B25,'[2]Pengkinian Data'!$B:$B,'[2]Pengkinian Data'!$E:$E)</f>
        <v>0.99639999999999995</v>
      </c>
      <c r="E25" s="53"/>
    </row>
    <row r="26" spans="1:5">
      <c r="A26" s="3">
        <v>24</v>
      </c>
      <c r="B26" s="16" t="s">
        <v>268</v>
      </c>
      <c r="C26" s="3" t="s">
        <v>31</v>
      </c>
      <c r="D26" s="33">
        <f>_xlfn.XLOOKUP(B26,'[2]Pengkinian Data'!$B:$B,'[2]Pengkinian Data'!$E:$E)</f>
        <v>0.99939999999999996</v>
      </c>
      <c r="E26" s="54"/>
    </row>
  </sheetData>
  <mergeCells count="2">
    <mergeCell ref="D1:E1"/>
    <mergeCell ref="E3:E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0A79-0362-4E82-9560-CAFBA5104F76}">
  <sheetPr>
    <tabColor theme="8"/>
  </sheetPr>
  <dimension ref="A1:F39"/>
  <sheetViews>
    <sheetView workbookViewId="0">
      <selection activeCell="H1" sqref="H1"/>
    </sheetView>
  </sheetViews>
  <sheetFormatPr defaultRowHeight="14.45"/>
  <cols>
    <col min="1" max="1" width="3.5703125" bestFit="1" customWidth="1"/>
    <col min="2" max="2" width="24.140625" bestFit="1" customWidth="1"/>
    <col min="3" max="3" width="17" customWidth="1"/>
    <col min="4" max="4" width="19.42578125" bestFit="1" customWidth="1"/>
    <col min="5" max="5" width="19.42578125" customWidth="1"/>
    <col min="6" max="6" width="19.140625" bestFit="1" customWidth="1"/>
  </cols>
  <sheetData>
    <row r="1" spans="1:6" s="7" customFormat="1">
      <c r="A1" s="56" t="s">
        <v>244</v>
      </c>
      <c r="B1" s="56" t="s">
        <v>245</v>
      </c>
      <c r="C1" s="56" t="s">
        <v>246</v>
      </c>
      <c r="D1" s="56" t="s">
        <v>310</v>
      </c>
      <c r="E1" s="56" t="s">
        <v>272</v>
      </c>
      <c r="F1" s="56" t="s">
        <v>275</v>
      </c>
    </row>
    <row r="2" spans="1:6" s="7" customFormat="1">
      <c r="A2" s="57"/>
      <c r="B2" s="57"/>
      <c r="C2" s="57"/>
      <c r="D2" s="57"/>
      <c r="E2" s="57"/>
      <c r="F2" s="57"/>
    </row>
    <row r="3" spans="1:6">
      <c r="A3" s="3"/>
      <c r="B3" s="1"/>
      <c r="C3" s="3" t="s">
        <v>31</v>
      </c>
      <c r="D3" s="3"/>
      <c r="E3" s="3"/>
      <c r="F3" s="3"/>
    </row>
    <row r="4" spans="1:6">
      <c r="A4" s="3"/>
      <c r="B4" s="1"/>
      <c r="C4" s="3" t="s">
        <v>31</v>
      </c>
      <c r="D4" s="3"/>
      <c r="E4" s="3"/>
      <c r="F4" s="3"/>
    </row>
    <row r="5" spans="1:6">
      <c r="A5" s="3"/>
      <c r="B5" s="1"/>
      <c r="C5" s="3" t="s">
        <v>31</v>
      </c>
      <c r="D5" s="3"/>
      <c r="E5" s="3"/>
      <c r="F5" s="3"/>
    </row>
    <row r="6" spans="1:6">
      <c r="A6" s="3"/>
      <c r="B6" s="1"/>
      <c r="C6" s="3" t="s">
        <v>31</v>
      </c>
      <c r="D6" s="3"/>
      <c r="E6" s="3"/>
      <c r="F6" s="3"/>
    </row>
    <row r="7" spans="1:6">
      <c r="A7" s="3"/>
      <c r="B7" s="1"/>
      <c r="C7" s="3" t="s">
        <v>31</v>
      </c>
      <c r="D7" s="3"/>
      <c r="E7" s="3"/>
      <c r="F7" s="3"/>
    </row>
    <row r="8" spans="1:6">
      <c r="A8" s="3"/>
      <c r="B8" s="1"/>
      <c r="C8" s="3" t="s">
        <v>31</v>
      </c>
      <c r="D8" s="3"/>
      <c r="E8" s="3"/>
      <c r="F8" s="3"/>
    </row>
    <row r="9" spans="1:6">
      <c r="A9" s="3"/>
      <c r="B9" s="1"/>
      <c r="C9" s="3" t="s">
        <v>31</v>
      </c>
      <c r="D9" s="3"/>
      <c r="E9" s="3"/>
      <c r="F9" s="3"/>
    </row>
    <row r="10" spans="1:6">
      <c r="A10" s="3"/>
      <c r="B10" s="1"/>
      <c r="C10" s="3" t="s">
        <v>31</v>
      </c>
      <c r="D10" s="3"/>
      <c r="E10" s="3"/>
      <c r="F10" s="3"/>
    </row>
    <row r="11" spans="1:6">
      <c r="A11" s="3"/>
      <c r="B11" s="1"/>
      <c r="C11" s="3" t="s">
        <v>31</v>
      </c>
      <c r="D11" s="3"/>
      <c r="E11" s="3"/>
      <c r="F11" s="3"/>
    </row>
    <row r="12" spans="1:6">
      <c r="A12" s="3"/>
      <c r="B12" s="1"/>
      <c r="C12" s="3" t="s">
        <v>31</v>
      </c>
      <c r="D12" s="3"/>
      <c r="E12" s="3"/>
      <c r="F12" s="3"/>
    </row>
    <row r="13" spans="1:6">
      <c r="A13" s="3"/>
      <c r="B13" s="1"/>
      <c r="C13" s="3" t="s">
        <v>31</v>
      </c>
      <c r="D13" s="3"/>
      <c r="E13" s="3"/>
      <c r="F13" s="3"/>
    </row>
    <row r="14" spans="1:6">
      <c r="A14" s="3"/>
      <c r="B14" s="1"/>
      <c r="C14" s="3" t="s">
        <v>31</v>
      </c>
      <c r="D14" s="3"/>
      <c r="E14" s="3"/>
      <c r="F14" s="3"/>
    </row>
    <row r="15" spans="1:6">
      <c r="A15" s="3"/>
      <c r="B15" s="1"/>
      <c r="C15" s="3" t="s">
        <v>31</v>
      </c>
      <c r="D15" s="3"/>
      <c r="E15" s="3"/>
      <c r="F15" s="3"/>
    </row>
    <row r="16" spans="1:6">
      <c r="A16" s="3"/>
      <c r="B16" s="1"/>
      <c r="C16" s="3" t="s">
        <v>31</v>
      </c>
      <c r="D16" s="3"/>
      <c r="E16" s="3"/>
      <c r="F16" s="3"/>
    </row>
    <row r="17" spans="1:6">
      <c r="A17" s="3"/>
      <c r="B17" s="2"/>
      <c r="C17" s="3" t="s">
        <v>31</v>
      </c>
      <c r="D17" s="3"/>
      <c r="E17" s="3"/>
      <c r="F17" s="3"/>
    </row>
    <row r="18" spans="1:6">
      <c r="A18" s="3"/>
      <c r="B18" s="1"/>
      <c r="C18" s="3" t="s">
        <v>31</v>
      </c>
      <c r="D18" s="3"/>
      <c r="E18" s="3"/>
      <c r="F18" s="3"/>
    </row>
    <row r="19" spans="1:6">
      <c r="A19" s="3"/>
      <c r="B19" s="1"/>
      <c r="C19" s="3" t="s">
        <v>31</v>
      </c>
      <c r="D19" s="3"/>
      <c r="E19" s="3"/>
      <c r="F19" s="3"/>
    </row>
    <row r="20" spans="1:6">
      <c r="A20" s="3"/>
      <c r="B20" s="1"/>
      <c r="C20" s="3" t="s">
        <v>31</v>
      </c>
      <c r="D20" s="3"/>
      <c r="E20" s="3"/>
      <c r="F20" s="3"/>
    </row>
    <row r="21" spans="1:6">
      <c r="A21" s="3"/>
      <c r="B21" s="1"/>
      <c r="C21" s="3" t="s">
        <v>31</v>
      </c>
      <c r="D21" s="3"/>
      <c r="E21" s="3"/>
      <c r="F21" s="3"/>
    </row>
    <row r="22" spans="1:6">
      <c r="A22" s="3"/>
      <c r="B22" s="1"/>
      <c r="C22" s="3" t="s">
        <v>31</v>
      </c>
      <c r="D22" s="3"/>
      <c r="E22" s="3"/>
      <c r="F22" s="3"/>
    </row>
    <row r="23" spans="1:6">
      <c r="A23" s="3"/>
      <c r="B23" s="1"/>
      <c r="C23" s="3" t="s">
        <v>31</v>
      </c>
      <c r="D23" s="3"/>
      <c r="E23" s="3"/>
      <c r="F23" s="3"/>
    </row>
    <row r="24" spans="1:6">
      <c r="A24" s="3"/>
      <c r="B24" s="1"/>
      <c r="C24" s="3" t="s">
        <v>31</v>
      </c>
      <c r="D24" s="3"/>
      <c r="E24" s="3"/>
      <c r="F24" s="3"/>
    </row>
    <row r="25" spans="1:6">
      <c r="A25" s="3"/>
      <c r="B25" s="1"/>
      <c r="C25" s="3" t="s">
        <v>31</v>
      </c>
      <c r="D25" s="3"/>
      <c r="E25" s="3"/>
      <c r="F25" s="3"/>
    </row>
    <row r="26" spans="1:6">
      <c r="A26" s="3"/>
      <c r="B26" s="1"/>
      <c r="C26" s="3" t="s">
        <v>31</v>
      </c>
      <c r="D26" s="3"/>
      <c r="E26" s="3"/>
      <c r="F26" s="3"/>
    </row>
    <row r="29" spans="1:6">
      <c r="B29" s="5" t="s">
        <v>300</v>
      </c>
    </row>
    <row r="30" spans="1:6">
      <c r="B30" s="5" t="s">
        <v>301</v>
      </c>
    </row>
    <row r="31" spans="1:6">
      <c r="B31" s="6" t="s">
        <v>311</v>
      </c>
    </row>
    <row r="34" spans="2:2">
      <c r="B34" t="s">
        <v>303</v>
      </c>
    </row>
    <row r="35" spans="2:2">
      <c r="B35" t="s">
        <v>304</v>
      </c>
    </row>
    <row r="36" spans="2:2">
      <c r="B36" t="s">
        <v>305</v>
      </c>
    </row>
    <row r="37" spans="2:2">
      <c r="B37" t="s">
        <v>306</v>
      </c>
    </row>
    <row r="38" spans="2:2">
      <c r="B38" t="s">
        <v>312</v>
      </c>
    </row>
    <row r="39" spans="2:2">
      <c r="B39" t="s">
        <v>313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6AEF5-3800-4035-8696-C26C4E57FA60}">
  <dimension ref="A1:H25"/>
  <sheetViews>
    <sheetView topLeftCell="A7" workbookViewId="0">
      <selection activeCell="E2" sqref="E2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5" width="14.42578125" bestFit="1" customWidth="1"/>
    <col min="6" max="6" width="15.85546875" bestFit="1" customWidth="1"/>
  </cols>
  <sheetData>
    <row r="1" spans="1:8">
      <c r="A1" s="4" t="s">
        <v>244</v>
      </c>
      <c r="B1" s="4" t="s">
        <v>245</v>
      </c>
      <c r="C1" s="4" t="s">
        <v>246</v>
      </c>
      <c r="D1" s="24" t="s">
        <v>314</v>
      </c>
      <c r="E1" s="24" t="s">
        <v>314</v>
      </c>
      <c r="F1" s="19" t="s">
        <v>315</v>
      </c>
    </row>
    <row r="2" spans="1:8">
      <c r="A2" s="3">
        <v>2</v>
      </c>
      <c r="B2" s="1" t="s">
        <v>249</v>
      </c>
      <c r="C2" s="18" t="s">
        <v>31</v>
      </c>
      <c r="D2" s="26">
        <v>8.2899999999999991</v>
      </c>
      <c r="E2" s="58">
        <f>AVERAGE(D2:D25)</f>
        <v>7.9724166666666667</v>
      </c>
      <c r="F2" s="58" t="s">
        <v>316</v>
      </c>
      <c r="G2" s="17"/>
      <c r="H2" s="17"/>
    </row>
    <row r="3" spans="1:8">
      <c r="A3" s="3">
        <v>3</v>
      </c>
      <c r="B3" s="1" t="s">
        <v>250</v>
      </c>
      <c r="C3" s="18" t="s">
        <v>31</v>
      </c>
      <c r="D3" s="26">
        <v>9.3469999999999995</v>
      </c>
      <c r="E3" s="59"/>
      <c r="F3" s="59"/>
      <c r="G3" s="17"/>
      <c r="H3" s="17"/>
    </row>
    <row r="4" spans="1:8">
      <c r="A4" s="3">
        <v>4</v>
      </c>
      <c r="B4" s="1" t="s">
        <v>251</v>
      </c>
      <c r="C4" s="18" t="s">
        <v>31</v>
      </c>
      <c r="D4" s="26">
        <v>8.8650000000000002</v>
      </c>
      <c r="E4" s="59"/>
      <c r="F4" s="59"/>
      <c r="G4" s="17"/>
      <c r="H4" s="17"/>
    </row>
    <row r="5" spans="1:8">
      <c r="A5" s="3">
        <v>5</v>
      </c>
      <c r="B5" s="1" t="s">
        <v>252</v>
      </c>
      <c r="C5" s="18" t="s">
        <v>31</v>
      </c>
      <c r="D5" s="26">
        <v>6.0890000000000004</v>
      </c>
      <c r="E5" s="59"/>
      <c r="F5" s="59"/>
      <c r="G5" s="17"/>
      <c r="H5" s="17"/>
    </row>
    <row r="6" spans="1:8">
      <c r="A6" s="3">
        <v>6</v>
      </c>
      <c r="B6" s="1" t="s">
        <v>253</v>
      </c>
      <c r="C6" s="18" t="s">
        <v>31</v>
      </c>
      <c r="D6" s="26">
        <v>8.44</v>
      </c>
      <c r="E6" s="59"/>
      <c r="F6" s="59"/>
      <c r="G6" s="1"/>
      <c r="H6" s="17"/>
    </row>
    <row r="7" spans="1:8">
      <c r="A7" s="3">
        <v>7</v>
      </c>
      <c r="B7" s="1" t="s">
        <v>61</v>
      </c>
      <c r="C7" s="18" t="s">
        <v>31</v>
      </c>
      <c r="D7" s="26">
        <v>8.1280000000000001</v>
      </c>
      <c r="E7" s="59"/>
      <c r="F7" s="59"/>
      <c r="G7" s="17"/>
      <c r="H7" s="17"/>
    </row>
    <row r="8" spans="1:8">
      <c r="A8" s="3">
        <v>19</v>
      </c>
      <c r="B8" s="1" t="s">
        <v>263</v>
      </c>
      <c r="C8" s="18" t="s">
        <v>31</v>
      </c>
      <c r="D8" s="26">
        <v>5.8209999999999997</v>
      </c>
      <c r="E8" s="59"/>
      <c r="F8" s="59"/>
      <c r="G8" s="17"/>
      <c r="H8" s="17"/>
    </row>
    <row r="9" spans="1:8">
      <c r="A9" s="3">
        <v>8</v>
      </c>
      <c r="B9" s="1" t="s">
        <v>254</v>
      </c>
      <c r="C9" s="18" t="s">
        <v>31</v>
      </c>
      <c r="D9" s="26">
        <v>8.875</v>
      </c>
      <c r="E9" s="59"/>
      <c r="F9" s="59"/>
      <c r="G9" s="17"/>
      <c r="H9" s="17"/>
    </row>
    <row r="10" spans="1:8">
      <c r="A10" s="3">
        <v>23</v>
      </c>
      <c r="B10" s="1" t="s">
        <v>267</v>
      </c>
      <c r="C10" s="18" t="s">
        <v>31</v>
      </c>
      <c r="D10" s="26">
        <v>6.2249999999999996</v>
      </c>
      <c r="E10" s="59"/>
      <c r="F10" s="59"/>
      <c r="G10" s="17"/>
      <c r="H10" s="17"/>
    </row>
    <row r="11" spans="1:8">
      <c r="A11" s="3">
        <v>9</v>
      </c>
      <c r="B11" s="1" t="s">
        <v>237</v>
      </c>
      <c r="C11" s="18" t="s">
        <v>31</v>
      </c>
      <c r="D11" s="26">
        <v>8.2129999999999992</v>
      </c>
      <c r="E11" s="59"/>
      <c r="F11" s="59"/>
      <c r="G11" s="17"/>
      <c r="H11" s="17"/>
    </row>
    <row r="12" spans="1:8">
      <c r="A12" s="3">
        <v>1</v>
      </c>
      <c r="B12" s="1" t="s">
        <v>223</v>
      </c>
      <c r="C12" s="18" t="s">
        <v>31</v>
      </c>
      <c r="D12" s="26">
        <v>8.7759999999999998</v>
      </c>
      <c r="E12" s="59"/>
      <c r="F12" s="59"/>
      <c r="G12" s="17"/>
      <c r="H12" s="17"/>
    </row>
    <row r="13" spans="1:8">
      <c r="A13" s="3">
        <v>10</v>
      </c>
      <c r="B13" s="1" t="s">
        <v>255</v>
      </c>
      <c r="C13" s="18" t="s">
        <v>31</v>
      </c>
      <c r="D13" s="26">
        <v>4.5369999999999999</v>
      </c>
      <c r="E13" s="59"/>
      <c r="F13" s="59"/>
      <c r="G13" s="17"/>
      <c r="H13" s="17"/>
    </row>
    <row r="14" spans="1:8">
      <c r="A14" s="3">
        <v>11</v>
      </c>
      <c r="B14" s="1" t="s">
        <v>256</v>
      </c>
      <c r="C14" s="18" t="s">
        <v>31</v>
      </c>
      <c r="D14" s="26">
        <v>7.4260000000000002</v>
      </c>
      <c r="E14" s="59"/>
      <c r="F14" s="59"/>
      <c r="G14" s="17"/>
      <c r="H14" s="17"/>
    </row>
    <row r="15" spans="1:8">
      <c r="A15" s="3">
        <v>20</v>
      </c>
      <c r="B15" s="1" t="s">
        <v>264</v>
      </c>
      <c r="C15" s="18" t="s">
        <v>31</v>
      </c>
      <c r="D15" s="26">
        <v>8.657</v>
      </c>
      <c r="E15" s="59"/>
      <c r="F15" s="59"/>
      <c r="G15" s="17"/>
      <c r="H15" s="17"/>
    </row>
    <row r="16" spans="1:8">
      <c r="A16" s="3">
        <v>24</v>
      </c>
      <c r="B16" s="1" t="s">
        <v>268</v>
      </c>
      <c r="C16" s="18" t="s">
        <v>31</v>
      </c>
      <c r="D16" s="26">
        <v>8.0690000000000008</v>
      </c>
      <c r="E16" s="59"/>
      <c r="F16" s="59"/>
      <c r="G16" s="17"/>
      <c r="H16" s="17"/>
    </row>
    <row r="17" spans="1:8">
      <c r="A17" s="3">
        <v>12</v>
      </c>
      <c r="B17" s="1" t="s">
        <v>257</v>
      </c>
      <c r="C17" s="18" t="s">
        <v>31</v>
      </c>
      <c r="D17" s="26">
        <v>8.7309999999999999</v>
      </c>
      <c r="E17" s="59"/>
      <c r="F17" s="59"/>
      <c r="G17" s="17"/>
      <c r="H17" s="17"/>
    </row>
    <row r="18" spans="1:8">
      <c r="A18" s="3">
        <v>21</v>
      </c>
      <c r="B18" s="1" t="s">
        <v>265</v>
      </c>
      <c r="C18" s="18" t="s">
        <v>31</v>
      </c>
      <c r="D18" s="26">
        <v>8.4369999999999994</v>
      </c>
      <c r="E18" s="59"/>
      <c r="F18" s="59"/>
      <c r="G18" s="17"/>
      <c r="H18" s="17"/>
    </row>
    <row r="19" spans="1:8">
      <c r="A19" s="3">
        <v>17</v>
      </c>
      <c r="B19" s="1" t="s">
        <v>261</v>
      </c>
      <c r="C19" s="18" t="s">
        <v>31</v>
      </c>
      <c r="D19" s="26">
        <v>8.8770000000000007</v>
      </c>
      <c r="E19" s="59"/>
      <c r="F19" s="59"/>
      <c r="G19" s="17"/>
      <c r="H19" s="17"/>
    </row>
    <row r="20" spans="1:8">
      <c r="A20" s="3">
        <v>13</v>
      </c>
      <c r="B20" s="1" t="s">
        <v>258</v>
      </c>
      <c r="C20" s="18" t="s">
        <v>31</v>
      </c>
      <c r="D20" s="26">
        <v>7.82</v>
      </c>
      <c r="E20" s="59"/>
      <c r="F20" s="59"/>
      <c r="G20" s="17"/>
      <c r="H20" s="17"/>
    </row>
    <row r="21" spans="1:8">
      <c r="A21" s="3">
        <v>14</v>
      </c>
      <c r="B21" s="1" t="s">
        <v>259</v>
      </c>
      <c r="C21" s="18" t="s">
        <v>31</v>
      </c>
      <c r="D21" s="26">
        <v>8.3339999999999996</v>
      </c>
      <c r="E21" s="59"/>
      <c r="F21" s="59"/>
      <c r="G21" s="17"/>
      <c r="H21" s="17"/>
    </row>
    <row r="22" spans="1:8">
      <c r="A22" s="3">
        <v>22</v>
      </c>
      <c r="B22" s="1" t="s">
        <v>266</v>
      </c>
      <c r="C22" s="18" t="s">
        <v>31</v>
      </c>
      <c r="D22" s="26">
        <v>7.9649999999999999</v>
      </c>
      <c r="E22" s="59"/>
      <c r="F22" s="59"/>
      <c r="G22" s="17"/>
      <c r="H22" s="17"/>
    </row>
    <row r="23" spans="1:8">
      <c r="A23" s="3">
        <v>15</v>
      </c>
      <c r="B23" s="2" t="s">
        <v>198</v>
      </c>
      <c r="C23" s="18" t="s">
        <v>31</v>
      </c>
      <c r="D23" s="26">
        <v>8.3610000000000007</v>
      </c>
      <c r="E23" s="59"/>
      <c r="F23" s="59"/>
      <c r="G23" s="17"/>
      <c r="H23" s="17"/>
    </row>
    <row r="24" spans="1:8">
      <c r="A24" s="3">
        <v>18</v>
      </c>
      <c r="B24" s="1" t="s">
        <v>262</v>
      </c>
      <c r="C24" s="18" t="s">
        <v>31</v>
      </c>
      <c r="D24" s="26">
        <v>8.9220000000000006</v>
      </c>
      <c r="E24" s="59"/>
      <c r="F24" s="59"/>
      <c r="G24" s="1"/>
      <c r="H24" s="17"/>
    </row>
    <row r="25" spans="1:8">
      <c r="A25" s="3">
        <v>16</v>
      </c>
      <c r="B25" s="1" t="s">
        <v>317</v>
      </c>
      <c r="C25" s="18" t="s">
        <v>31</v>
      </c>
      <c r="D25" s="26">
        <v>8.1329999999999991</v>
      </c>
      <c r="E25" s="60"/>
      <c r="F25" s="60"/>
      <c r="G25" s="17"/>
      <c r="H25" s="17"/>
    </row>
  </sheetData>
  <autoFilter ref="A1:D1" xr:uid="{FD9A7B95-F124-4CE6-993C-88740F8340E7}">
    <sortState xmlns:xlrd2="http://schemas.microsoft.com/office/spreadsheetml/2017/richdata2" ref="A2:D25">
      <sortCondition ref="B1"/>
    </sortState>
  </autoFilter>
  <sortState xmlns:xlrd2="http://schemas.microsoft.com/office/spreadsheetml/2017/richdata2" ref="G4:G25">
    <sortCondition ref="G4:G25"/>
  </sortState>
  <mergeCells count="2">
    <mergeCell ref="E2:E25"/>
    <mergeCell ref="F2:F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15884-3CCA-4567-B6F9-354D54783E08}">
  <dimension ref="A1:H25"/>
  <sheetViews>
    <sheetView topLeftCell="A7" workbookViewId="0">
      <selection activeCell="E2" sqref="E2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2.5703125" bestFit="1" customWidth="1"/>
    <col min="5" max="5" width="14.7109375" bestFit="1" customWidth="1"/>
    <col min="6" max="6" width="16.28515625" bestFit="1" customWidth="1"/>
  </cols>
  <sheetData>
    <row r="1" spans="1:8">
      <c r="A1" s="4" t="s">
        <v>244</v>
      </c>
      <c r="B1" s="4" t="s">
        <v>245</v>
      </c>
      <c r="C1" s="4" t="s">
        <v>246</v>
      </c>
      <c r="D1" s="19" t="s">
        <v>318</v>
      </c>
      <c r="E1" s="19" t="s">
        <v>319</v>
      </c>
      <c r="F1" s="19" t="s">
        <v>320</v>
      </c>
    </row>
    <row r="2" spans="1:8">
      <c r="A2" s="3">
        <v>2</v>
      </c>
      <c r="B2" s="1" t="s">
        <v>249</v>
      </c>
      <c r="C2" s="3" t="s">
        <v>31</v>
      </c>
      <c r="D2" s="26">
        <v>6.3250000000000002</v>
      </c>
      <c r="E2" s="58">
        <f>AVERAGE(D2:D25)</f>
        <v>6.1267916666666666</v>
      </c>
      <c r="F2" s="58" t="s">
        <v>321</v>
      </c>
      <c r="G2" s="17"/>
      <c r="H2" s="17"/>
    </row>
    <row r="3" spans="1:8">
      <c r="A3" s="3">
        <v>3</v>
      </c>
      <c r="B3" s="1" t="s">
        <v>250</v>
      </c>
      <c r="C3" s="3" t="s">
        <v>31</v>
      </c>
      <c r="D3" s="26">
        <v>6.2050000000000001</v>
      </c>
      <c r="E3" s="59"/>
      <c r="F3" s="59"/>
      <c r="G3" s="17"/>
      <c r="H3" s="17"/>
    </row>
    <row r="4" spans="1:8">
      <c r="A4" s="3">
        <v>4</v>
      </c>
      <c r="B4" s="1" t="s">
        <v>251</v>
      </c>
      <c r="C4" s="3" t="s">
        <v>31</v>
      </c>
      <c r="D4" s="26">
        <v>5.4770000000000003</v>
      </c>
      <c r="E4" s="59"/>
      <c r="F4" s="59"/>
      <c r="G4" s="17"/>
      <c r="H4" s="17"/>
    </row>
    <row r="5" spans="1:8">
      <c r="A5" s="3">
        <v>5</v>
      </c>
      <c r="B5" s="1" t="s">
        <v>252</v>
      </c>
      <c r="C5" s="3" t="s">
        <v>31</v>
      </c>
      <c r="D5" s="26">
        <v>6.7450000000000001</v>
      </c>
      <c r="E5" s="59"/>
      <c r="F5" s="59"/>
      <c r="G5" s="17"/>
      <c r="H5" s="17"/>
    </row>
    <row r="6" spans="1:8">
      <c r="A6" s="3">
        <v>6</v>
      </c>
      <c r="B6" s="1" t="s">
        <v>253</v>
      </c>
      <c r="C6" s="3" t="s">
        <v>31</v>
      </c>
      <c r="D6" s="26">
        <v>4.9749999999999996</v>
      </c>
      <c r="E6" s="59"/>
      <c r="F6" s="59"/>
      <c r="G6" s="17"/>
      <c r="H6" s="17"/>
    </row>
    <row r="7" spans="1:8">
      <c r="A7" s="3">
        <v>7</v>
      </c>
      <c r="B7" s="1" t="s">
        <v>61</v>
      </c>
      <c r="C7" s="3" t="s">
        <v>31</v>
      </c>
      <c r="D7" s="26">
        <v>5.4770000000000003</v>
      </c>
      <c r="E7" s="59"/>
      <c r="F7" s="59"/>
      <c r="G7" s="17"/>
      <c r="H7" s="17"/>
    </row>
    <row r="8" spans="1:8">
      <c r="A8" s="3">
        <v>19</v>
      </c>
      <c r="B8" s="1" t="s">
        <v>263</v>
      </c>
      <c r="C8" s="3" t="s">
        <v>31</v>
      </c>
      <c r="D8" s="27">
        <v>5.7450000000000001</v>
      </c>
      <c r="E8" s="59"/>
      <c r="F8" s="59"/>
      <c r="G8" s="17"/>
      <c r="H8" s="17"/>
    </row>
    <row r="9" spans="1:8">
      <c r="A9" s="3">
        <v>8</v>
      </c>
      <c r="B9" s="1" t="s">
        <v>254</v>
      </c>
      <c r="C9" s="3" t="s">
        <v>31</v>
      </c>
      <c r="D9" s="26">
        <v>6.9820000000000002</v>
      </c>
      <c r="E9" s="59"/>
      <c r="F9" s="59"/>
      <c r="G9" s="17"/>
      <c r="H9" s="17"/>
    </row>
    <row r="10" spans="1:8">
      <c r="A10" s="3">
        <v>23</v>
      </c>
      <c r="B10" s="1" t="s">
        <v>267</v>
      </c>
      <c r="C10" s="3" t="s">
        <v>31</v>
      </c>
      <c r="D10" s="27">
        <v>5.7009999999999996</v>
      </c>
      <c r="E10" s="59"/>
      <c r="F10" s="59"/>
      <c r="G10" s="17"/>
      <c r="H10" s="17"/>
    </row>
    <row r="11" spans="1:8">
      <c r="A11" s="3">
        <v>9</v>
      </c>
      <c r="B11" s="1" t="s">
        <v>237</v>
      </c>
      <c r="C11" s="3" t="s">
        <v>31</v>
      </c>
      <c r="D11" s="26">
        <v>5.7450000000000001</v>
      </c>
      <c r="E11" s="59"/>
      <c r="F11" s="59"/>
      <c r="G11" s="17"/>
      <c r="H11" s="17"/>
    </row>
    <row r="12" spans="1:8">
      <c r="A12" s="3">
        <v>1</v>
      </c>
      <c r="B12" s="1" t="s">
        <v>223</v>
      </c>
      <c r="C12" s="3" t="s">
        <v>31</v>
      </c>
      <c r="D12" s="26">
        <v>5.7450000000000001</v>
      </c>
      <c r="E12" s="59"/>
      <c r="F12" s="59"/>
      <c r="G12" s="17"/>
      <c r="H12" s="17"/>
    </row>
    <row r="13" spans="1:8">
      <c r="A13" s="3">
        <v>10</v>
      </c>
      <c r="B13" s="1" t="s">
        <v>255</v>
      </c>
      <c r="C13" s="3" t="s">
        <v>31</v>
      </c>
      <c r="D13" s="26">
        <v>6.4809999999999999</v>
      </c>
      <c r="E13" s="59"/>
      <c r="F13" s="59"/>
      <c r="G13" s="17"/>
      <c r="H13" s="17"/>
    </row>
    <row r="14" spans="1:8">
      <c r="A14" s="3">
        <v>11</v>
      </c>
      <c r="B14" s="1" t="s">
        <v>256</v>
      </c>
      <c r="C14" s="3" t="s">
        <v>31</v>
      </c>
      <c r="D14" s="26">
        <v>7</v>
      </c>
      <c r="E14" s="59"/>
      <c r="F14" s="59"/>
      <c r="G14" s="17"/>
      <c r="H14" s="17"/>
    </row>
    <row r="15" spans="1:8">
      <c r="A15" s="3">
        <v>20</v>
      </c>
      <c r="B15" s="1" t="s">
        <v>264</v>
      </c>
      <c r="C15" s="3" t="s">
        <v>31</v>
      </c>
      <c r="D15" s="27">
        <v>6.4809999999999999</v>
      </c>
      <c r="E15" s="59"/>
      <c r="F15" s="59"/>
      <c r="G15" s="17"/>
      <c r="H15" s="17"/>
    </row>
    <row r="16" spans="1:8">
      <c r="A16" s="3">
        <v>24</v>
      </c>
      <c r="B16" s="1" t="s">
        <v>268</v>
      </c>
      <c r="C16" s="3" t="s">
        <v>31</v>
      </c>
      <c r="D16" s="27">
        <v>6.9820000000000002</v>
      </c>
      <c r="E16" s="59"/>
      <c r="F16" s="59"/>
    </row>
    <row r="17" spans="1:6">
      <c r="A17" s="3">
        <v>12</v>
      </c>
      <c r="B17" s="1" t="s">
        <v>257</v>
      </c>
      <c r="C17" s="3" t="s">
        <v>31</v>
      </c>
      <c r="D17" s="26">
        <v>6</v>
      </c>
      <c r="E17" s="59"/>
      <c r="F17" s="59"/>
    </row>
    <row r="18" spans="1:6">
      <c r="A18" s="3">
        <v>21</v>
      </c>
      <c r="B18" s="1" t="s">
        <v>265</v>
      </c>
      <c r="C18" s="3" t="s">
        <v>31</v>
      </c>
      <c r="D18" s="27">
        <v>5.4770000000000003</v>
      </c>
      <c r="E18" s="59"/>
      <c r="F18" s="59"/>
    </row>
    <row r="19" spans="1:6">
      <c r="A19" s="3">
        <v>17</v>
      </c>
      <c r="B19" s="1" t="s">
        <v>261</v>
      </c>
      <c r="C19" s="3" t="s">
        <v>31</v>
      </c>
      <c r="D19" s="27">
        <v>6.2450000000000001</v>
      </c>
      <c r="E19" s="59"/>
      <c r="F19" s="59"/>
    </row>
    <row r="20" spans="1:6">
      <c r="A20" s="3">
        <v>13</v>
      </c>
      <c r="B20" s="1" t="s">
        <v>258</v>
      </c>
      <c r="C20" s="3" t="s">
        <v>31</v>
      </c>
      <c r="D20" s="26">
        <v>6.423</v>
      </c>
      <c r="E20" s="59"/>
      <c r="F20" s="59"/>
    </row>
    <row r="21" spans="1:6">
      <c r="A21" s="3">
        <v>14</v>
      </c>
      <c r="B21" s="1" t="s">
        <v>259</v>
      </c>
      <c r="C21" s="3" t="s">
        <v>31</v>
      </c>
      <c r="D21" s="26">
        <v>6.9820000000000002</v>
      </c>
      <c r="E21" s="59"/>
      <c r="F21" s="59"/>
    </row>
    <row r="22" spans="1:6">
      <c r="A22" s="3">
        <v>22</v>
      </c>
      <c r="B22" s="1" t="s">
        <v>266</v>
      </c>
      <c r="C22" s="3" t="s">
        <v>31</v>
      </c>
      <c r="D22" s="27">
        <v>5.7450000000000001</v>
      </c>
      <c r="E22" s="59"/>
      <c r="F22" s="59"/>
    </row>
    <row r="23" spans="1:6">
      <c r="A23" s="3">
        <v>15</v>
      </c>
      <c r="B23" s="2" t="s">
        <v>198</v>
      </c>
      <c r="C23" s="3" t="s">
        <v>31</v>
      </c>
      <c r="D23" s="27">
        <v>6.2050000000000001</v>
      </c>
      <c r="E23" s="59"/>
      <c r="F23" s="59"/>
    </row>
    <row r="24" spans="1:6">
      <c r="A24" s="3">
        <v>18</v>
      </c>
      <c r="B24" s="1" t="s">
        <v>262</v>
      </c>
      <c r="C24" s="3" t="s">
        <v>31</v>
      </c>
      <c r="D24" s="27">
        <v>6.423</v>
      </c>
      <c r="E24" s="59"/>
      <c r="F24" s="59"/>
    </row>
    <row r="25" spans="1:6">
      <c r="A25" s="3">
        <v>16</v>
      </c>
      <c r="B25" s="1" t="s">
        <v>317</v>
      </c>
      <c r="C25" s="3" t="s">
        <v>31</v>
      </c>
      <c r="D25" s="27">
        <v>5.4770000000000003</v>
      </c>
      <c r="E25" s="60"/>
      <c r="F25" s="60"/>
    </row>
  </sheetData>
  <autoFilter ref="A1:D1" xr:uid="{F294EAD7-2207-4EA2-A633-F6E085B1F34F}">
    <sortState xmlns:xlrd2="http://schemas.microsoft.com/office/spreadsheetml/2017/richdata2" ref="A2:D25">
      <sortCondition ref="B1"/>
    </sortState>
  </autoFilter>
  <mergeCells count="2">
    <mergeCell ref="E2:E25"/>
    <mergeCell ref="F2:F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5616B-67CF-4BBC-8E93-BF35858D2540}">
  <dimension ref="A1:H40"/>
  <sheetViews>
    <sheetView workbookViewId="0">
      <selection activeCell="C5" sqref="C5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4.28515625" bestFit="1" customWidth="1"/>
    <col min="5" max="5" width="17.85546875" bestFit="1" customWidth="1"/>
    <col min="6" max="6" width="19.42578125" bestFit="1" customWidth="1"/>
  </cols>
  <sheetData>
    <row r="1" spans="1:8">
      <c r="A1" s="19" t="s">
        <v>244</v>
      </c>
      <c r="B1" s="19" t="s">
        <v>245</v>
      </c>
      <c r="C1" s="19" t="s">
        <v>246</v>
      </c>
      <c r="D1" s="24" t="s">
        <v>322</v>
      </c>
      <c r="E1" s="19" t="s">
        <v>323</v>
      </c>
      <c r="F1" s="19" t="s">
        <v>324</v>
      </c>
    </row>
    <row r="2" spans="1:8">
      <c r="A2" s="9">
        <v>2</v>
      </c>
      <c r="B2" s="20" t="s">
        <v>249</v>
      </c>
      <c r="C2" s="23" t="s">
        <v>31</v>
      </c>
      <c r="D2" s="22">
        <v>7.375</v>
      </c>
      <c r="E2" s="58">
        <f>AVERAGE(D2:D25)</f>
        <v>7.145833333333333</v>
      </c>
      <c r="F2" s="58" t="s">
        <v>325</v>
      </c>
      <c r="G2" s="17"/>
      <c r="H2" s="17"/>
    </row>
    <row r="3" spans="1:8">
      <c r="A3" s="9">
        <v>3</v>
      </c>
      <c r="B3" s="20" t="s">
        <v>250</v>
      </c>
      <c r="C3" s="23" t="s">
        <v>31</v>
      </c>
      <c r="D3" s="22">
        <v>7.375</v>
      </c>
      <c r="E3" s="59"/>
      <c r="F3" s="59"/>
      <c r="G3" s="17"/>
      <c r="H3" s="17"/>
    </row>
    <row r="4" spans="1:8">
      <c r="A4" s="9">
        <v>4</v>
      </c>
      <c r="B4" s="20" t="s">
        <v>251</v>
      </c>
      <c r="C4" s="23" t="s">
        <v>31</v>
      </c>
      <c r="D4" s="22">
        <v>6.875</v>
      </c>
      <c r="E4" s="59"/>
      <c r="F4" s="59"/>
      <c r="G4" s="17"/>
      <c r="H4" s="17"/>
    </row>
    <row r="5" spans="1:8">
      <c r="A5" s="9">
        <v>5</v>
      </c>
      <c r="B5" s="20" t="s">
        <v>252</v>
      </c>
      <c r="C5" s="23" t="s">
        <v>31</v>
      </c>
      <c r="D5" s="22">
        <v>7.375</v>
      </c>
      <c r="E5" s="59"/>
      <c r="F5" s="59"/>
      <c r="G5" s="17"/>
      <c r="H5" s="17"/>
    </row>
    <row r="6" spans="1:8">
      <c r="A6" s="9">
        <v>6</v>
      </c>
      <c r="B6" s="20" t="s">
        <v>253</v>
      </c>
      <c r="C6" s="23" t="s">
        <v>31</v>
      </c>
      <c r="D6" s="22">
        <v>7.375</v>
      </c>
      <c r="E6" s="59"/>
      <c r="F6" s="59"/>
      <c r="G6" s="17"/>
      <c r="H6" s="17"/>
    </row>
    <row r="7" spans="1:8">
      <c r="A7" s="9">
        <v>7</v>
      </c>
      <c r="B7" s="20" t="s">
        <v>61</v>
      </c>
      <c r="C7" s="23" t="s">
        <v>31</v>
      </c>
      <c r="D7" s="22">
        <v>6.875</v>
      </c>
      <c r="E7" s="59"/>
      <c r="F7" s="59"/>
      <c r="G7" s="17"/>
      <c r="H7" s="17"/>
    </row>
    <row r="8" spans="1:8">
      <c r="A8" s="9">
        <v>19</v>
      </c>
      <c r="B8" s="20" t="s">
        <v>263</v>
      </c>
      <c r="C8" s="23" t="s">
        <v>31</v>
      </c>
      <c r="D8" s="22">
        <v>6.875</v>
      </c>
      <c r="E8" s="59"/>
      <c r="F8" s="59"/>
      <c r="G8" s="17"/>
      <c r="H8" s="17"/>
    </row>
    <row r="9" spans="1:8">
      <c r="A9" s="9">
        <v>8</v>
      </c>
      <c r="B9" s="20" t="s">
        <v>254</v>
      </c>
      <c r="C9" s="23" t="s">
        <v>31</v>
      </c>
      <c r="D9" s="22">
        <v>7.375</v>
      </c>
      <c r="E9" s="59"/>
      <c r="F9" s="59"/>
      <c r="G9" s="17"/>
      <c r="H9" s="17"/>
    </row>
    <row r="10" spans="1:8">
      <c r="A10" s="9">
        <v>23</v>
      </c>
      <c r="B10" s="20" t="s">
        <v>267</v>
      </c>
      <c r="C10" s="23" t="s">
        <v>31</v>
      </c>
      <c r="D10" s="22">
        <v>7.375</v>
      </c>
      <c r="E10" s="59"/>
      <c r="F10" s="59"/>
      <c r="G10" s="17"/>
      <c r="H10" s="17"/>
    </row>
    <row r="11" spans="1:8">
      <c r="A11" s="9">
        <v>9</v>
      </c>
      <c r="B11" s="20" t="s">
        <v>237</v>
      </c>
      <c r="C11" s="23" t="s">
        <v>31</v>
      </c>
      <c r="D11" s="22">
        <v>7.375</v>
      </c>
      <c r="E11" s="59"/>
      <c r="F11" s="59"/>
      <c r="G11" s="17"/>
      <c r="H11" s="17"/>
    </row>
    <row r="12" spans="1:8">
      <c r="A12" s="9">
        <v>1</v>
      </c>
      <c r="B12" s="20" t="s">
        <v>223</v>
      </c>
      <c r="C12" s="23" t="s">
        <v>31</v>
      </c>
      <c r="D12" s="22">
        <v>6.875</v>
      </c>
      <c r="E12" s="59"/>
      <c r="F12" s="59"/>
      <c r="G12" s="17"/>
      <c r="H12" s="17"/>
    </row>
    <row r="13" spans="1:8">
      <c r="A13" s="9">
        <v>10</v>
      </c>
      <c r="B13" s="20" t="s">
        <v>255</v>
      </c>
      <c r="C13" s="23" t="s">
        <v>31</v>
      </c>
      <c r="D13" s="22">
        <v>7.375</v>
      </c>
      <c r="E13" s="59"/>
      <c r="F13" s="59"/>
      <c r="G13" s="17"/>
      <c r="H13" s="17"/>
    </row>
    <row r="14" spans="1:8">
      <c r="A14" s="9">
        <v>11</v>
      </c>
      <c r="B14" s="20" t="s">
        <v>256</v>
      </c>
      <c r="C14" s="23" t="s">
        <v>31</v>
      </c>
      <c r="D14" s="22">
        <v>6.875</v>
      </c>
      <c r="E14" s="59"/>
      <c r="F14" s="59"/>
      <c r="G14" s="17"/>
      <c r="H14" s="17"/>
    </row>
    <row r="15" spans="1:8">
      <c r="A15" s="9">
        <v>20</v>
      </c>
      <c r="B15" s="20" t="s">
        <v>264</v>
      </c>
      <c r="C15" s="23" t="s">
        <v>31</v>
      </c>
      <c r="D15" s="22">
        <v>7.375</v>
      </c>
      <c r="E15" s="59"/>
      <c r="F15" s="59"/>
      <c r="G15" s="17"/>
      <c r="H15" s="17"/>
    </row>
    <row r="16" spans="1:8">
      <c r="A16" s="9">
        <v>24</v>
      </c>
      <c r="B16" s="20" t="s">
        <v>268</v>
      </c>
      <c r="C16" s="23" t="s">
        <v>31</v>
      </c>
      <c r="D16" s="22">
        <v>7.375</v>
      </c>
      <c r="E16" s="59"/>
      <c r="F16" s="59"/>
      <c r="G16" s="17"/>
      <c r="H16" s="17"/>
    </row>
    <row r="17" spans="1:8">
      <c r="A17" s="9">
        <v>12</v>
      </c>
      <c r="B17" s="20" t="s">
        <v>257</v>
      </c>
      <c r="C17" s="23" t="s">
        <v>31</v>
      </c>
      <c r="D17" s="22">
        <v>6.875</v>
      </c>
      <c r="E17" s="59"/>
      <c r="F17" s="59"/>
      <c r="G17" s="17"/>
      <c r="H17" s="17"/>
    </row>
    <row r="18" spans="1:8">
      <c r="A18" s="9">
        <v>21</v>
      </c>
      <c r="B18" s="20" t="s">
        <v>265</v>
      </c>
      <c r="C18" s="23" t="s">
        <v>31</v>
      </c>
      <c r="D18" s="22">
        <v>7.375</v>
      </c>
      <c r="E18" s="59"/>
      <c r="F18" s="59"/>
      <c r="G18" s="17"/>
      <c r="H18" s="17"/>
    </row>
    <row r="19" spans="1:8">
      <c r="A19" s="9">
        <v>17</v>
      </c>
      <c r="B19" s="20" t="s">
        <v>261</v>
      </c>
      <c r="C19" s="23" t="s">
        <v>31</v>
      </c>
      <c r="D19" s="22">
        <v>6.875</v>
      </c>
      <c r="E19" s="59"/>
      <c r="F19" s="59"/>
      <c r="G19" s="17"/>
      <c r="H19" s="17"/>
    </row>
    <row r="20" spans="1:8">
      <c r="A20" s="9">
        <v>13</v>
      </c>
      <c r="B20" s="20" t="s">
        <v>258</v>
      </c>
      <c r="C20" s="23" t="s">
        <v>31</v>
      </c>
      <c r="D20" s="22">
        <v>7.375</v>
      </c>
      <c r="E20" s="59"/>
      <c r="F20" s="59"/>
      <c r="G20" s="17"/>
      <c r="H20" s="17"/>
    </row>
    <row r="21" spans="1:8">
      <c r="A21" s="9">
        <v>14</v>
      </c>
      <c r="B21" s="20" t="s">
        <v>259</v>
      </c>
      <c r="C21" s="23" t="s">
        <v>31</v>
      </c>
      <c r="D21" s="22">
        <v>6.875</v>
      </c>
      <c r="E21" s="59"/>
      <c r="F21" s="59"/>
      <c r="G21" s="17"/>
      <c r="H21" s="17"/>
    </row>
    <row r="22" spans="1:8">
      <c r="A22" s="9">
        <v>22</v>
      </c>
      <c r="B22" s="20" t="s">
        <v>266</v>
      </c>
      <c r="C22" s="23" t="s">
        <v>31</v>
      </c>
      <c r="D22" s="22">
        <v>6.875</v>
      </c>
      <c r="E22" s="59"/>
      <c r="F22" s="59"/>
      <c r="G22" s="17"/>
      <c r="H22" s="17"/>
    </row>
    <row r="23" spans="1:8">
      <c r="A23" s="9">
        <v>15</v>
      </c>
      <c r="B23" s="21" t="s">
        <v>198</v>
      </c>
      <c r="C23" s="23" t="s">
        <v>31</v>
      </c>
      <c r="D23" s="22">
        <v>7.375</v>
      </c>
      <c r="E23" s="59"/>
      <c r="F23" s="59"/>
      <c r="G23" s="17"/>
      <c r="H23" s="17"/>
    </row>
    <row r="24" spans="1:8">
      <c r="A24" s="9">
        <v>18</v>
      </c>
      <c r="B24" s="20" t="s">
        <v>262</v>
      </c>
      <c r="C24" s="23" t="s">
        <v>31</v>
      </c>
      <c r="D24" s="22">
        <v>6.375</v>
      </c>
      <c r="E24" s="59"/>
      <c r="F24" s="59"/>
      <c r="G24" s="17"/>
      <c r="H24" s="17"/>
    </row>
    <row r="25" spans="1:8">
      <c r="A25" s="9">
        <v>16</v>
      </c>
      <c r="B25" s="20" t="s">
        <v>317</v>
      </c>
      <c r="C25" s="23" t="s">
        <v>31</v>
      </c>
      <c r="D25" s="22">
        <v>7.375</v>
      </c>
      <c r="E25" s="60"/>
      <c r="F25" s="60"/>
      <c r="G25" s="17"/>
      <c r="H25" s="17"/>
    </row>
    <row r="35" spans="4:5">
      <c r="D35" s="25"/>
      <c r="E35" s="25"/>
    </row>
    <row r="36" spans="4:5">
      <c r="D36" s="25"/>
      <c r="E36" s="25"/>
    </row>
    <row r="37" spans="4:5">
      <c r="D37" s="25"/>
      <c r="E37" s="25"/>
    </row>
    <row r="38" spans="4:5">
      <c r="D38" s="25"/>
      <c r="E38" s="25"/>
    </row>
    <row r="39" spans="4:5">
      <c r="D39" s="25"/>
      <c r="E39" s="25"/>
    </row>
    <row r="40" spans="4:5">
      <c r="D40" s="25"/>
      <c r="E40" s="25"/>
    </row>
  </sheetData>
  <autoFilter ref="A1:D1" xr:uid="{6981F627-9C8A-440F-9117-C65AEBF04DD7}">
    <sortState xmlns:xlrd2="http://schemas.microsoft.com/office/spreadsheetml/2017/richdata2" ref="A2:D25">
      <sortCondition ref="B1"/>
    </sortState>
  </autoFilter>
  <mergeCells count="2">
    <mergeCell ref="E2:E25"/>
    <mergeCell ref="F2:F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3B243-531C-4326-A791-C3AFC38C3972}">
  <dimension ref="A2:L15"/>
  <sheetViews>
    <sheetView workbookViewId="0">
      <selection activeCell="C7" sqref="C7"/>
    </sheetView>
  </sheetViews>
  <sheetFormatPr defaultRowHeight="15"/>
  <cols>
    <col min="1" max="1" width="4" bestFit="1" customWidth="1"/>
    <col min="2" max="2" width="27.140625" bestFit="1" customWidth="1"/>
    <col min="3" max="5" width="12" customWidth="1"/>
  </cols>
  <sheetData>
    <row r="2" spans="1:12">
      <c r="A2" s="46" t="s">
        <v>326</v>
      </c>
      <c r="B2" s="46" t="s">
        <v>327</v>
      </c>
      <c r="C2" s="47" t="s">
        <v>31</v>
      </c>
      <c r="D2" s="47"/>
      <c r="E2" s="47"/>
    </row>
    <row r="3" spans="1:12">
      <c r="A3" s="46"/>
      <c r="B3" s="46"/>
      <c r="C3" s="34" t="s">
        <v>328</v>
      </c>
      <c r="D3" s="34" t="s">
        <v>329</v>
      </c>
      <c r="E3" s="34" t="s">
        <v>330</v>
      </c>
    </row>
    <row r="4" spans="1:12">
      <c r="A4" s="35">
        <v>1</v>
      </c>
      <c r="B4" s="36" t="s">
        <v>331</v>
      </c>
      <c r="C4" s="37">
        <f>IFERROR(COUNTIFS(STR!$V:$V, Overview!C$2, STR!$X:$X, "TRUE")/COUNTIFS(STR!$V:$V, Overview!C2), 0)</f>
        <v>0.13253012048192772</v>
      </c>
      <c r="D4" s="38">
        <v>0.15</v>
      </c>
      <c r="E4" s="37">
        <f>D4*C4</f>
        <v>1.9879518072289156E-2</v>
      </c>
    </row>
    <row r="5" spans="1:12">
      <c r="A5" s="35">
        <v>2</v>
      </c>
      <c r="B5" s="36" t="s">
        <v>332</v>
      </c>
      <c r="C5" s="37">
        <f>1-AVERAGEIF('Bad Data'!$C:$C, Overview!C$2, 'Bad Data'!$D:$D)</f>
        <v>0.99779333333333331</v>
      </c>
      <c r="D5" s="38">
        <v>0.1</v>
      </c>
      <c r="E5" s="37">
        <f t="shared" ref="E5:E14" si="0">D5*C5</f>
        <v>9.9779333333333331E-2</v>
      </c>
    </row>
    <row r="6" spans="1:12">
      <c r="A6" s="35">
        <v>3</v>
      </c>
      <c r="B6" s="36" t="s">
        <v>333</v>
      </c>
      <c r="C6" s="37">
        <f>AVERAGEIF('Pengkinian Data'!$C:$C, Overview!C$2, 'Pengkinian Data'!$D:$D)</f>
        <v>0.97966249999999999</v>
      </c>
      <c r="D6" s="38">
        <v>0.1</v>
      </c>
      <c r="E6" s="37">
        <f t="shared" si="0"/>
        <v>9.7966250000000005E-2</v>
      </c>
      <c r="L6" t="s">
        <v>45</v>
      </c>
    </row>
    <row r="7" spans="1:12">
      <c r="A7" s="35">
        <v>4</v>
      </c>
      <c r="B7" s="36" t="s">
        <v>334</v>
      </c>
      <c r="C7" s="37" cm="1">
        <f t="array" ref="C7">IFERROR(SUMPRODUCT(--('[1]Uji Petik'!$E$3:$E$73&lt;&gt;""), --('[1]Uji Petik'!$C$3:$C$73=C2)) / SUMPRODUCT(--('[1]Uji Petik'!$C$3:$C$73=C2)), 0)</f>
        <v>0</v>
      </c>
      <c r="D7" s="38">
        <v>0</v>
      </c>
      <c r="E7" s="37">
        <f t="shared" si="0"/>
        <v>0</v>
      </c>
    </row>
    <row r="8" spans="1:12">
      <c r="A8" s="35">
        <v>5</v>
      </c>
      <c r="B8" s="36" t="s">
        <v>335</v>
      </c>
      <c r="C8" s="39" cm="1">
        <f t="array" ref="C8">IFERROR(AVERAGE(IF([2]Sosialisasi!$C$1:$C$10000=C2, [2]Sosialisasi!$D$1:$D$10000)), 0)</f>
        <v>4.1666666666666664E-2</v>
      </c>
      <c r="D8" s="38">
        <v>0.15</v>
      </c>
      <c r="E8" s="37">
        <f t="shared" si="0"/>
        <v>6.2499999999999995E-3</v>
      </c>
    </row>
    <row r="9" spans="1:12">
      <c r="A9" s="35">
        <v>6</v>
      </c>
      <c r="B9" s="36" t="s">
        <v>336</v>
      </c>
      <c r="C9" s="37">
        <f>AVERAGEIF('EDD PEP PPATK'!$C:$C, Overview!C$2, 'EDD PEP PPATK'!$D:$D)</f>
        <v>0.93104020691560863</v>
      </c>
      <c r="D9" s="38">
        <v>0.1</v>
      </c>
      <c r="E9" s="37">
        <f t="shared" si="0"/>
        <v>9.3104020691560874E-2</v>
      </c>
    </row>
    <row r="10" spans="1:12">
      <c r="A10" s="35">
        <v>7</v>
      </c>
      <c r="B10" s="36" t="s">
        <v>337</v>
      </c>
      <c r="C10" s="37" cm="1">
        <f t="array" ref="C10">IF(IFERROR(AVERAGE(IF('[2]Sheet2 (2)'!$C$1:$C$10000=C$2, '[2]Sheet2 (2)'!$D$1:$D$10000)), 0)&gt;0.9, 1, IFERROR(AVERAGE(IF('[2]Sheet2 (2)'!$C$1:$C$10000=C$2, '[2]Sheet2 (2)'!$D$1:$D$10000)), 0))</f>
        <v>1</v>
      </c>
      <c r="D10" s="38">
        <v>0.05</v>
      </c>
      <c r="E10" s="37">
        <f t="shared" si="0"/>
        <v>0.05</v>
      </c>
    </row>
    <row r="11" spans="1:12">
      <c r="A11" s="35">
        <v>8</v>
      </c>
      <c r="B11" s="36" t="s">
        <v>338</v>
      </c>
      <c r="C11" s="37" cm="1">
        <f t="array" ref="C11">IF(IFERROR(AVERAGE(IF('[2]Sheet2 (3)'!$C$1:$C$10000=C2, '[2]Sheet2 (3)'!$D$1:$D$10000)), 0)&gt;90, 1, IFERROR(AVERAGE(IF('[2]Sheet2 (3)'!$C$1:$C$10000=C2, '[2]Sheet2 (3)'!$D$1:$D$10000)), 0)/90)</f>
        <v>1</v>
      </c>
      <c r="D11" s="38">
        <v>0.05</v>
      </c>
      <c r="E11" s="37">
        <f t="shared" si="0"/>
        <v>0.05</v>
      </c>
    </row>
    <row r="12" spans="1:12">
      <c r="A12" s="35">
        <v>9</v>
      </c>
      <c r="B12" s="36" t="s">
        <v>339</v>
      </c>
      <c r="C12" s="37">
        <f>IF(AVERAGEIF('Nilai Maturitas'!$C:$C, Overview!C2, 'Nilai Maturitas'!$D:$D) &gt; 8, 110%, AVERAGEIF('Nilai Maturitas'!$C:$C, Overview!C2, 'Nilai Maturitas'!$D:$D)/8*100%)</f>
        <v>0.99655208333333334</v>
      </c>
      <c r="D12" s="38">
        <v>0.1</v>
      </c>
      <c r="E12" s="37">
        <f t="shared" si="0"/>
        <v>9.9655208333333342E-2</v>
      </c>
    </row>
    <row r="13" spans="1:12">
      <c r="A13" s="35">
        <v>10</v>
      </c>
      <c r="B13" s="36" t="s">
        <v>340</v>
      </c>
      <c r="C13" s="37">
        <f>IF(AVERAGEIF('Maturitas Dashboard'!$C:$C, Overview!C$2, 'Maturitas Dashboard'!$D:$D) &gt; 8, 110%, AVERAGEIF('Maturitas Dashboard'!$C:$C, Overview!C$2, 'Maturitas Dashboard'!$D:$D)/8*100%)</f>
        <v>0.89322916666666663</v>
      </c>
      <c r="D13" s="38">
        <v>0.1</v>
      </c>
      <c r="E13" s="37">
        <f t="shared" si="0"/>
        <v>8.9322916666666669E-2</v>
      </c>
    </row>
    <row r="14" spans="1:12">
      <c r="A14" s="40">
        <v>11</v>
      </c>
      <c r="B14" s="41" t="s">
        <v>341</v>
      </c>
      <c r="C14" s="42">
        <f>IF(AVERAGEIF('Penilaian Resiko'!$C:$C, Overview!C$2, 'Penilaian Resiko'!$D:$D) &lt; 5.8, 110%, IF(AVERAGEIF('Penilaian Resiko'!$C:$C, Overview!C$2, 'Penilaian Resiko'!$D:$D) &lt;7.4, 3/4*100%, 3/5*100%))</f>
        <v>0.75</v>
      </c>
      <c r="D14" s="43">
        <v>0.1</v>
      </c>
      <c r="E14" s="42">
        <f t="shared" si="0"/>
        <v>7.5000000000000011E-2</v>
      </c>
    </row>
    <row r="15" spans="1:12">
      <c r="A15" s="44"/>
      <c r="B15" s="44"/>
      <c r="C15" s="48" t="s">
        <v>342</v>
      </c>
      <c r="D15" s="49"/>
      <c r="E15" s="45">
        <f>SUM(E4:E14)</f>
        <v>0.68095724709718342</v>
      </c>
    </row>
  </sheetData>
  <mergeCells count="4">
    <mergeCell ref="C15:D15"/>
    <mergeCell ref="A2:A3"/>
    <mergeCell ref="B2:B3"/>
    <mergeCell ref="C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BC91A-F749-47DA-BFF9-9B8BE6F75564}">
  <dimension ref="A2:I15"/>
  <sheetViews>
    <sheetView tabSelected="1" workbookViewId="0">
      <selection activeCell="C7" sqref="C7"/>
    </sheetView>
  </sheetViews>
  <sheetFormatPr defaultRowHeight="15"/>
  <cols>
    <col min="1" max="1" width="4" bestFit="1" customWidth="1"/>
    <col min="2" max="2" width="27.140625" bestFit="1" customWidth="1"/>
    <col min="3" max="5" width="12" customWidth="1"/>
  </cols>
  <sheetData>
    <row r="2" spans="1:9">
      <c r="A2" s="46" t="s">
        <v>326</v>
      </c>
      <c r="B2" s="46" t="s">
        <v>327</v>
      </c>
      <c r="C2" s="47" t="s">
        <v>31</v>
      </c>
      <c r="D2" s="47"/>
      <c r="E2" s="47"/>
    </row>
    <row r="3" spans="1:9">
      <c r="A3" s="46"/>
      <c r="B3" s="46"/>
      <c r="C3" s="34" t="s">
        <v>328</v>
      </c>
      <c r="D3" s="34" t="s">
        <v>329</v>
      </c>
      <c r="E3" s="34" t="s">
        <v>330</v>
      </c>
    </row>
    <row r="4" spans="1:9">
      <c r="A4" s="35">
        <v>1</v>
      </c>
      <c r="B4" s="36" t="s">
        <v>331</v>
      </c>
      <c r="C4" s="37">
        <f>IFERROR(COUNTIFS(STR!$V:$V, 'Overview tanpa KPI'!C$2, STR!$X:$X, "TRUE")/COUNTIFS(STR!$V:$V, 'Overview tanpa KPI'!C2), 0)</f>
        <v>0.13253012048192772</v>
      </c>
      <c r="D4" s="38">
        <v>0.15</v>
      </c>
      <c r="E4" s="37">
        <f>D4*C4</f>
        <v>1.9879518072289156E-2</v>
      </c>
    </row>
    <row r="5" spans="1:9">
      <c r="A5" s="35">
        <v>2</v>
      </c>
      <c r="B5" s="36" t="s">
        <v>332</v>
      </c>
      <c r="C5" s="37">
        <f>1-AVERAGEIF('Bad Data'!$C:$C, 'Overview tanpa KPI'!C$2, 'Bad Data'!$D:$D)</f>
        <v>0.99779333333333331</v>
      </c>
      <c r="D5" s="38">
        <v>0.1</v>
      </c>
      <c r="E5" s="37">
        <f t="shared" ref="E5:E14" si="0">D5*C5</f>
        <v>9.9779333333333331E-2</v>
      </c>
    </row>
    <row r="6" spans="1:9">
      <c r="A6" s="35">
        <v>3</v>
      </c>
      <c r="B6" s="36" t="s">
        <v>333</v>
      </c>
      <c r="C6" s="37">
        <f>AVERAGEIF('Pengkinian Data'!$C:$C, 'Overview tanpa KPI'!C$2, 'Pengkinian Data'!$D:$D)</f>
        <v>0.97966249999999999</v>
      </c>
      <c r="D6" s="38">
        <v>0.1</v>
      </c>
      <c r="E6" s="37">
        <f t="shared" si="0"/>
        <v>9.7966250000000005E-2</v>
      </c>
      <c r="I6" t="s">
        <v>45</v>
      </c>
    </row>
    <row r="7" spans="1:9">
      <c r="A7" s="35">
        <v>4</v>
      </c>
      <c r="B7" s="36" t="s">
        <v>334</v>
      </c>
      <c r="C7" s="37" cm="1">
        <f t="array" ref="C7">IFERROR(SUMPRODUCT(--('[1]Uji Petik'!$E$3:$E$73&lt;&gt;""), --('[1]Uji Petik'!$C$3:$C$73=C2)) / SUMPRODUCT(--('[1]Uji Petik'!$C$3:$C$73=C2)), 0)</f>
        <v>0</v>
      </c>
      <c r="D7" s="38">
        <v>0</v>
      </c>
      <c r="E7" s="37">
        <f t="shared" si="0"/>
        <v>0</v>
      </c>
    </row>
    <row r="8" spans="1:9">
      <c r="A8" s="35">
        <v>5</v>
      </c>
      <c r="B8" s="36" t="s">
        <v>335</v>
      </c>
      <c r="C8" s="39" cm="1">
        <f t="array" ref="C8">IFERROR(AVERAGE(IF([2]Sosialisasi!$C$1:$C$10000=C2, [2]Sosialisasi!$D$1:$D$10000)), 0)</f>
        <v>4.1666666666666664E-2</v>
      </c>
      <c r="D8" s="38">
        <v>0.15</v>
      </c>
      <c r="E8" s="37">
        <f t="shared" si="0"/>
        <v>6.2499999999999995E-3</v>
      </c>
    </row>
    <row r="9" spans="1:9">
      <c r="A9" s="35">
        <v>6</v>
      </c>
      <c r="B9" s="36" t="s">
        <v>336</v>
      </c>
      <c r="C9" s="37">
        <f>AVERAGEIF('EDD PEP PPATK'!$C:$C, 'Overview tanpa KPI'!C$2, 'EDD PEP PPATK'!$D:$D)</f>
        <v>0.93104020691560863</v>
      </c>
      <c r="D9" s="38">
        <v>0.1</v>
      </c>
      <c r="E9" s="37">
        <f t="shared" si="0"/>
        <v>9.3104020691560874E-2</v>
      </c>
    </row>
    <row r="10" spans="1:9">
      <c r="A10" s="35">
        <v>7</v>
      </c>
      <c r="B10" s="36" t="s">
        <v>337</v>
      </c>
      <c r="C10" s="37" cm="1">
        <f t="array" ref="C10">IFERROR(AVERAGE(IF('[2]Sheet2 (2)'!$C$1:$C$10000=C$2, '[2]Sheet2 (2)'!$D$1:$D$10000)), 0)</f>
        <v>0.97051354588922256</v>
      </c>
      <c r="D10" s="38">
        <v>0.05</v>
      </c>
      <c r="E10" s="37">
        <f t="shared" si="0"/>
        <v>4.8525677294461132E-2</v>
      </c>
    </row>
    <row r="11" spans="1:9">
      <c r="A11" s="35">
        <v>8</v>
      </c>
      <c r="B11" s="36" t="s">
        <v>338</v>
      </c>
      <c r="C11" s="37" cm="1">
        <f t="array" ref="C11">IFERROR(AVERAGE(IF('[2]Sheet2 (3)'!$C$1:$C$10000=C2, '[2]Sheet2 (3)'!$D$1:$D$10000)), 0)</f>
        <v>96.409037879166661</v>
      </c>
      <c r="D11" s="38">
        <v>0.05</v>
      </c>
      <c r="E11" s="37">
        <f t="shared" si="0"/>
        <v>4.8204518939583334</v>
      </c>
    </row>
    <row r="12" spans="1:9">
      <c r="A12" s="35">
        <v>9</v>
      </c>
      <c r="B12" s="36" t="s">
        <v>339</v>
      </c>
      <c r="C12" s="37">
        <f>AVERAGEIF('Nilai Maturitas'!$C:$C, 'Overview tanpa KPI'!C2, 'Nilai Maturitas'!$D:$D)</f>
        <v>7.9724166666666667</v>
      </c>
      <c r="D12" s="38">
        <v>0.1</v>
      </c>
      <c r="E12" s="37">
        <f t="shared" si="0"/>
        <v>0.79724166666666674</v>
      </c>
    </row>
    <row r="13" spans="1:9">
      <c r="A13" s="35">
        <v>10</v>
      </c>
      <c r="B13" s="36" t="s">
        <v>340</v>
      </c>
      <c r="C13" s="37">
        <f>AVERAGEIF('Maturitas Dashboard'!$C:$C, 'Overview tanpa KPI'!C$2, 'Maturitas Dashboard'!$D:$D)</f>
        <v>7.145833333333333</v>
      </c>
      <c r="D13" s="38">
        <v>0.1</v>
      </c>
      <c r="E13" s="37">
        <f t="shared" si="0"/>
        <v>0.71458333333333335</v>
      </c>
    </row>
    <row r="14" spans="1:9">
      <c r="A14" s="40">
        <v>11</v>
      </c>
      <c r="B14" s="41" t="s">
        <v>341</v>
      </c>
      <c r="C14" s="42">
        <f>AVERAGEIF('Penilaian Resiko'!$C:$C, 'Overview tanpa KPI'!C$2, 'Penilaian Resiko'!$D:$D)</f>
        <v>6.1267916666666666</v>
      </c>
      <c r="D14" s="43">
        <v>0.1</v>
      </c>
      <c r="E14" s="42">
        <f t="shared" si="0"/>
        <v>0.61267916666666666</v>
      </c>
    </row>
    <row r="15" spans="1:9">
      <c r="A15" s="44"/>
      <c r="B15" s="44"/>
      <c r="C15" s="48" t="s">
        <v>342</v>
      </c>
      <c r="D15" s="49"/>
      <c r="E15" s="45">
        <f>SUM(E4:E14)</f>
        <v>7.3104608600166436</v>
      </c>
    </row>
  </sheetData>
  <mergeCells count="4">
    <mergeCell ref="A2:A3"/>
    <mergeCell ref="B2:B3"/>
    <mergeCell ref="C2:E2"/>
    <mergeCell ref="C15:D1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795979-244b-45d7-b043-ae27e60f46ee}" enabled="0" method="" siteId="{76795979-244b-45d7-b043-ae27e60f4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Meisyara Tilova</dc:creator>
  <cp:keywords/>
  <dc:description/>
  <cp:lastModifiedBy>Arjun Michael Rogan</cp:lastModifiedBy>
  <cp:revision/>
  <dcterms:created xsi:type="dcterms:W3CDTF">2026-09-14T02:42:21Z</dcterms:created>
  <dcterms:modified xsi:type="dcterms:W3CDTF">2026-09-29T02:44:19Z</dcterms:modified>
  <cp:category/>
  <cp:contentStatus/>
</cp:coreProperties>
</file>