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246" documentId="8_{CBB978E0-DA6C-437E-96CC-89A4C9D131CC}" xr6:coauthVersionLast="47" xr6:coauthVersionMax="47" xr10:uidLastSave="{EDD31893-53B4-48F1-B214-9F7327FAA9F8}"/>
  <bookViews>
    <workbookView xWindow="-96" yWindow="0" windowWidth="11712" windowHeight="12336" firstSheet="1" activeTab="10" xr2:uid="{28B6D053-1D7F-4EEF-8978-633F77751EF4}"/>
  </bookViews>
  <sheets>
    <sheet name="STR" sheetId="5" r:id="rId1"/>
    <sheet name="EDD PEP PPATK" sheetId="1" r:id="rId2"/>
    <sheet name="Pengkinian Data" sheetId="10" r:id="rId3"/>
    <sheet name="Bad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1" r:id="rId10"/>
    <sheet name="Overview tanpa KPI" sheetId="12" r:id="rId11"/>
  </sheets>
  <externalReferences>
    <externalReference r:id="rId12"/>
    <externalReference r:id="rId13"/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7" i="12" l="1" a="1"/>
  <c r="C7" i="12"/>
  <c r="C7" i="11" a="1"/>
  <c r="C7" i="1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4" i="2"/>
  <c r="D5" i="2"/>
  <c r="D6" i="2"/>
  <c r="D7" i="2"/>
  <c r="D8" i="2"/>
  <c r="D9" i="2"/>
  <c r="D10" i="2"/>
  <c r="D11" i="2"/>
  <c r="D12" i="2"/>
  <c r="D13" i="2"/>
  <c r="D14" i="2"/>
  <c r="D15" i="2"/>
  <c r="D3" i="2"/>
  <c r="D4" i="10"/>
  <c r="D5" i="10"/>
  <c r="D6" i="10"/>
  <c r="D7" i="10"/>
  <c r="D8" i="10"/>
  <c r="D9" i="10"/>
  <c r="D10" i="10"/>
  <c r="D11" i="10"/>
  <c r="D12" i="10"/>
  <c r="D13" i="10"/>
  <c r="D14" i="10"/>
  <c r="D15" i="10"/>
  <c r="D3" i="10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2" i="5"/>
  <c r="C14" i="12"/>
  <c r="C4" i="12"/>
  <c r="C5" i="12"/>
  <c r="C6" i="12"/>
  <c r="C9" i="12"/>
  <c r="C12" i="12"/>
  <c r="C13" i="12"/>
  <c r="E14" i="12"/>
  <c r="E13" i="12"/>
  <c r="E12" i="12"/>
  <c r="C11" i="12" a="1"/>
  <c r="C11" i="12" s="1"/>
  <c r="E11" i="12" s="1"/>
  <c r="C10" i="12" a="1"/>
  <c r="C10" i="12" s="1"/>
  <c r="E10" i="12" s="1"/>
  <c r="E9" i="12"/>
  <c r="C8" i="12" a="1"/>
  <c r="C8" i="12" s="1"/>
  <c r="E8" i="12" s="1"/>
  <c r="E7" i="12"/>
  <c r="E6" i="12"/>
  <c r="E5" i="12"/>
  <c r="E4" i="12"/>
  <c r="E15" i="12" s="1"/>
  <c r="C9" i="11"/>
  <c r="C12" i="11"/>
  <c r="C13" i="11"/>
  <c r="C14" i="11"/>
  <c r="C4" i="11"/>
  <c r="C5" i="11"/>
  <c r="C6" i="11"/>
  <c r="E14" i="11"/>
  <c r="E13" i="11"/>
  <c r="E12" i="11"/>
  <c r="C11" i="11" a="1"/>
  <c r="C11" i="11" s="1"/>
  <c r="E11" i="11" s="1"/>
  <c r="C10" i="11" a="1"/>
  <c r="C10" i="11" s="1"/>
  <c r="E10" i="11" s="1"/>
  <c r="E9" i="11"/>
  <c r="C8" i="11" a="1"/>
  <c r="C8" i="11" s="1"/>
  <c r="E8" i="11" s="1"/>
  <c r="E7" i="11"/>
  <c r="E6" i="11"/>
  <c r="E5" i="11"/>
  <c r="E4" i="11"/>
  <c r="E15" i="11" s="1"/>
  <c r="A2" i="5" a="1"/>
  <c r="E3" i="2" l="1"/>
  <c r="E3" i="10"/>
  <c r="E2" i="6"/>
  <c r="E2" i="7"/>
  <c r="E2" i="8"/>
  <c r="E3" i="1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<sst xmlns="http://schemas.openxmlformats.org/spreadsheetml/2006/main" count="331" uniqueCount="135">
  <si>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</si>
  <si>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</si>
  <si>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</si>
  <si>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</si>
  <si>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</si>
  <si>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</si>
  <si>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</si>
  <si>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</si>
  <si>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</si>
  <si>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</si>
  <si>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</si>
  <si>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</si>
  <si>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</si>
  <si>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</si>
  <si>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</si>
  <si>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</si>
  <si>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</si>
  <si>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</si>
  <si>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</si>
  <si>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</si>
  <si>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</si>
  <si>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</si>
  <si>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</si>
  <si>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</si>
  <si>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Rinaldi Wicaksana</t>
  </si>
  <si>
    <t>.</t>
  </si>
  <si>
    <t>28 Agustus</t>
  </si>
  <si>
    <t>18 Agustus</t>
  </si>
  <si>
    <t>26 Agustus</t>
  </si>
  <si>
    <t>21 Agustus</t>
  </si>
  <si>
    <t>Sebelum ada RAC</t>
  </si>
  <si>
    <t>No.</t>
  </si>
  <si>
    <t>Unit Kerja</t>
  </si>
  <si>
    <t>PIC RAC</t>
  </si>
  <si>
    <t>%TL PEP Done</t>
  </si>
  <si>
    <t>Average</t>
  </si>
  <si>
    <t>KC Abepura</t>
  </si>
  <si>
    <t>KC Biak</t>
  </si>
  <si>
    <t>KC Bintuni</t>
  </si>
  <si>
    <t>KC FakFak</t>
  </si>
  <si>
    <t>KC Jayapura</t>
  </si>
  <si>
    <t>KC Manokwari</t>
  </si>
  <si>
    <t>KC Merauke</t>
  </si>
  <si>
    <t>KC Nabire</t>
  </si>
  <si>
    <t>KC Sentani</t>
  </si>
  <si>
    <t>KC Serui</t>
  </si>
  <si>
    <t>KC Sorong</t>
  </si>
  <si>
    <t>KC Timika</t>
  </si>
  <si>
    <t>KC Wamena</t>
  </si>
  <si>
    <t>%Pengkinian Data</t>
  </si>
  <si>
    <t>%Bad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</si>
  <si>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</si>
  <si>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</si>
  <si>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</si>
  <si>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</si>
  <si>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</si>
  <si>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</si>
  <si>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</si>
  <si>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</si>
  <si>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</si>
  <si>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</si>
  <si>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</si>
  <si>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</si>
  <si>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</si>
  <si>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</si>
  <si>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</si>
  <si>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</si>
  <si>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</si>
  <si>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</si>
  <si>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</si>
  <si>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</si>
  <si>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</si>
  <si>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</si>
  <si>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</si>
  <si>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</si>
  <si>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</si>
  <si>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</si>
  <si>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</si>
  <si>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</si>
  <si>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</si>
  <si>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</si>
  <si>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</si>
  <si>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</si>
  <si>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</si>
  <si>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</si>
  <si>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</si>
  <si>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</si>
  <si>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</si>
  <si>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</si>
  <si>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</si>
  <si>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</si>
  <si>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**https://bri2-my.sharepoint.com/:f:/g/personal/00136153_hq_bri_co_id/IgAdamfSWVWjSYRPLrn7s4h-AcmMWh2cssSPT1wRNni0aA4?e=v1nbdf</t>
  </si>
  <si>
    <t>4.Kertas Kerja</t>
  </si>
  <si>
    <t>5. Laporan Uji Petik</t>
  </si>
  <si>
    <t>Nilai maturitas</t>
  </si>
  <si>
    <t>Rating maturitas</t>
  </si>
  <si>
    <t>BO Abepura</t>
  </si>
  <si>
    <t>AB</t>
  </si>
  <si>
    <t>BO Biak</t>
  </si>
  <si>
    <t>BO Bintuni</t>
  </si>
  <si>
    <t>BO Fak-Fak</t>
  </si>
  <si>
    <t>BO Jayapura</t>
  </si>
  <si>
    <t>BO Manokwari</t>
  </si>
  <si>
    <t>BO Merauke</t>
  </si>
  <si>
    <t>BO Nabire</t>
  </si>
  <si>
    <t>BO Sentani</t>
  </si>
  <si>
    <t>BO Serui</t>
  </si>
  <si>
    <t>BO Sorong</t>
  </si>
  <si>
    <t>BO Timika</t>
  </si>
  <si>
    <t>BO Wamena</t>
  </si>
  <si>
    <t>Nilai Risiko</t>
  </si>
  <si>
    <t>Nilai Risiko PIC</t>
  </si>
  <si>
    <t>Rating Risiko PIC</t>
  </si>
  <si>
    <t>Medium</t>
  </si>
  <si>
    <t>Nilai Maturitas</t>
  </si>
  <si>
    <t>Nilai Maturitas PIC</t>
  </si>
  <si>
    <t>Rating Maturitas PIC</t>
  </si>
  <si>
    <t>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</si>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</sst>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5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" xfId="0" applyFont="1" applyBorder="1"/>
    <xf numFmtId="0" fontId="6" fillId="0" borderId="5" xfId="0" applyFont="1" applyBorder="1"/>
    <xf numFmtId="0" fontId="1" fillId="2" borderId="3" xfId="0" applyFont="1" applyFill="1" applyBorder="1" applyAlignment="1">
      <alignment horizontal="center"/>
    </xf>
    <xf numFmtId="0" fontId="6" fillId="5" borderId="3" xfId="0" applyFont="1" applyFill="1" applyBorder="1"/>
    <xf numFmtId="0" fontId="7" fillId="0" borderId="3" xfId="0" applyFont="1" applyBorder="1"/>
    <xf numFmtId="0" fontId="7" fillId="0" borderId="0" xfId="0" applyFont="1"/>
    <xf numFmtId="164" fontId="8" fillId="0" borderId="3" xfId="0" applyNumberFormat="1" applyFont="1" applyBorder="1"/>
    <xf numFmtId="15" fontId="1" fillId="2" borderId="9" xfId="0" applyNumberFormat="1" applyFont="1" applyFill="1" applyBorder="1"/>
    <xf numFmtId="15" fontId="1" fillId="2" borderId="10" xfId="0" applyNumberFormat="1" applyFont="1" applyFill="1" applyBorder="1"/>
    <xf numFmtId="0" fontId="1" fillId="2" borderId="9" xfId="0" applyFont="1" applyFill="1" applyBorder="1" applyAlignment="1">
      <alignment horizontal="center"/>
    </xf>
    <xf numFmtId="0" fontId="0" fillId="0" borderId="9" xfId="0" applyBorder="1"/>
    <xf numFmtId="15" fontId="1" fillId="2" borderId="3" xfId="0" applyNumberFormat="1" applyFont="1" applyFill="1" applyBorder="1"/>
    <xf numFmtId="10" fontId="8" fillId="0" borderId="3" xfId="1" applyNumberFormat="1" applyFont="1" applyBorder="1" applyAlignment="1">
      <alignment vertical="center"/>
    </xf>
    <xf numFmtId="10" fontId="0" fillId="0" borderId="3" xfId="1" applyNumberFormat="1" applyFont="1" applyBorder="1"/>
    <xf numFmtId="0" fontId="10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left" vertical="center"/>
    </xf>
    <xf numFmtId="164" fontId="10" fillId="0" borderId="6" xfId="0" applyNumberFormat="1" applyFont="1" applyBorder="1" applyAlignment="1">
      <alignment horizontal="center"/>
    </xf>
    <xf numFmtId="9" fontId="10" fillId="0" borderId="6" xfId="0" applyNumberFormat="1" applyFont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10" fontId="11" fillId="7" borderId="3" xfId="0" applyNumberFormat="1" applyFont="1" applyFill="1" applyBorder="1" applyAlignment="1">
      <alignment horizontal="center"/>
    </xf>
    <xf numFmtId="10" fontId="8" fillId="0" borderId="6" xfId="1" applyNumberFormat="1" applyFont="1" applyBorder="1" applyAlignment="1">
      <alignment horizontal="center" vertical="center"/>
    </xf>
    <xf numFmtId="10" fontId="8" fillId="0" borderId="7" xfId="1" applyNumberFormat="1" applyFont="1" applyBorder="1" applyAlignment="1">
      <alignment horizontal="center" vertical="center"/>
    </xf>
    <xf numFmtId="10" fontId="8" fillId="0" borderId="8" xfId="1" applyNumberFormat="1" applyFont="1" applyBorder="1" applyAlignment="1">
      <alignment horizontal="center" vertical="center"/>
    </xf>
    <xf numFmtId="15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18%20-%20Jayapura/Data%20Evaluasi%20Jayapura.xlsx" TargetMode="External"/><Relationship Id="rId2" Type="http://schemas.openxmlformats.org/officeDocument/2006/relationships/externalLinkPath" Target="https://bri2-my.sharepoint.com/personal/00136153_hq_bri_co_id/Documents/Assurance%20Team/RAC%20Team/Moneva/Region%2018%20-%20Jayapura/Data%20Evaluasi%20Jayapura.xlsx" TargetMode="External"/><Relationship Id="rId1" Type="http://schemas.openxmlformats.org/officeDocument/2006/relationships/externalLinkPath" Target="/personal/00136153_hq_bri_co_id/Documents/Assurance%20Team/RAC%20Team/Moneva/Region%2018%20-%20Jayapura/Data%20Evaluasi%20Jayapu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TJOSSDUF3W5VCZVS7I42XPNDI7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0</v>
          </cell>
        </row>
        <row r="3">
          <cell r="X3" t="b">
            <v>0</v>
          </cell>
        </row>
        <row r="4">
          <cell r="X4" t="b">
            <v>1</v>
          </cell>
        </row>
        <row r="5">
          <cell r="X5" t="b">
            <v>0</v>
          </cell>
        </row>
        <row r="6">
          <cell r="X6" t="b">
            <v>0</v>
          </cell>
        </row>
        <row r="7">
          <cell r="X7" t="b">
            <v>0</v>
          </cell>
        </row>
        <row r="8">
          <cell r="X8" t="b">
            <v>0</v>
          </cell>
        </row>
        <row r="9">
          <cell r="X9" t="b">
            <v>0</v>
          </cell>
        </row>
        <row r="10">
          <cell r="X10" t="b">
            <v>1</v>
          </cell>
        </row>
        <row r="11">
          <cell r="X11" t="b">
            <v>0</v>
          </cell>
        </row>
        <row r="12">
          <cell r="X12" t="b">
            <v>1</v>
          </cell>
        </row>
        <row r="13">
          <cell r="X13" t="b">
            <v>1</v>
          </cell>
        </row>
        <row r="14">
          <cell r="X14" t="b">
            <v>1</v>
          </cell>
        </row>
        <row r="15">
          <cell r="X15" t="b">
            <v>1</v>
          </cell>
        </row>
        <row r="16">
          <cell r="X16" t="b">
            <v>1</v>
          </cell>
        </row>
      </sheetData>
      <sheetData sheetId="1"/>
      <sheetData sheetId="2"/>
      <sheetData sheetId="3"/>
      <sheetData sheetId="4">
        <row r="3">
          <cell r="C3"/>
          <cell r="E3"/>
        </row>
        <row r="4">
          <cell r="C4"/>
          <cell r="E4"/>
        </row>
        <row r="5">
          <cell r="C5"/>
          <cell r="E5"/>
        </row>
        <row r="6">
          <cell r="C6"/>
          <cell r="E6"/>
        </row>
        <row r="7">
          <cell r="C7"/>
          <cell r="E7"/>
        </row>
        <row r="8">
          <cell r="C8"/>
          <cell r="E8"/>
        </row>
        <row r="9">
          <cell r="C9"/>
          <cell r="E9"/>
        </row>
        <row r="10">
          <cell r="C10"/>
          <cell r="E10"/>
        </row>
        <row r="11">
          <cell r="C11"/>
          <cell r="E11"/>
        </row>
        <row r="12">
          <cell r="C12"/>
          <cell r="E12"/>
        </row>
        <row r="13">
          <cell r="C13"/>
          <cell r="E13"/>
        </row>
        <row r="14">
          <cell r="C14"/>
          <cell r="E14"/>
        </row>
        <row r="15">
          <cell r="C15"/>
          <cell r="E15"/>
        </row>
        <row r="16">
          <cell r="C16"/>
          <cell r="E16"/>
        </row>
        <row r="17">
          <cell r="C17"/>
          <cell r="E17"/>
        </row>
        <row r="18">
          <cell r="C18"/>
          <cell r="E18"/>
        </row>
        <row r="19">
          <cell r="C19"/>
          <cell r="E19"/>
        </row>
        <row r="20">
          <cell r="C20"/>
          <cell r="E20"/>
        </row>
        <row r="21">
          <cell r="C21"/>
          <cell r="E21"/>
        </row>
        <row r="22">
          <cell r="C22"/>
          <cell r="E22"/>
        </row>
        <row r="23">
          <cell r="C23"/>
          <cell r="E23"/>
        </row>
        <row r="24">
          <cell r="C24"/>
          <cell r="E24"/>
        </row>
        <row r="25">
          <cell r="C25"/>
          <cell r="E25"/>
        </row>
        <row r="26">
          <cell r="C26"/>
          <cell r="E26"/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16"/>
  <sheetViews>
    <sheetView topLeftCell="L1" workbookViewId="0">
      <selection activeCell="V3" sqref="V3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20.5703125" customWidth="1"/>
    <col min="23" max="23" width="11.140625" customWidth="1"/>
  </cols>
  <sheetData>
    <row r="1" spans="1:2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6">
      <c r="A2" s="8" cm="1">
        <f t="array" ref="A2:U16">_xlfn._xlws.FILTER('[2]STR-2026-8-2026-8'!$A:$U, ISNUMBER(SEARCH("Jayapura", '[2]STR-2026-8-2026-8'!$O:$O)), "")</f>
        <v>46265</v>
      </c>
      <c r="B2" s="9" t="str">
        <v xml:space="preserve">ANUGERAH REGENCY HOLTEKAMP              </v>
      </c>
      <c r="C2" s="9" t="str">
        <v>ABBWB49</v>
      </c>
      <c r="D2" s="9">
        <v>30701004063309</v>
      </c>
      <c r="E2" s="9" t="str">
        <v>SEDANG</v>
      </c>
      <c r="F2" s="9" t="str">
        <v>Tidak</v>
      </c>
      <c r="G2" s="9" t="str">
        <v>Tidak</v>
      </c>
      <c r="H2" s="9" t="str">
        <v>Tidak</v>
      </c>
      <c r="I2" s="9" t="str">
        <v>Perpajakan</v>
      </c>
      <c r="J2" s="9">
        <v>53</v>
      </c>
      <c r="K2" s="9">
        <v>41</v>
      </c>
      <c r="L2" s="9" t="str">
        <v>Perpajakan</v>
      </c>
      <c r="M2" s="9" t="str">
        <v xml:space="preserve">KC Jayapura                             </v>
      </c>
      <c r="N2" s="9" t="str">
        <v xml:space="preserve">KC Jayapura                             </v>
      </c>
      <c r="O2" s="9" t="str">
        <v xml:space="preserve">KANWIL JAYAPURA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00336949 - Mochammad Al Farabi</v>
      </c>
      <c r="U2" s="9" t="str">
        <v>"-"</v>
      </c>
      <c r="V2" s="12" t="s">
        <v>24</v>
      </c>
      <c r="W2" s="13"/>
      <c r="X2" s="14" t="b">
        <f>[3]STR!$X2</f>
        <v>0</v>
      </c>
    </row>
    <row r="3" spans="1:26">
      <c r="A3" s="8">
        <v>46265</v>
      </c>
      <c r="B3" s="9" t="str">
        <v xml:space="preserve">CV MAROS JAYA                           </v>
      </c>
      <c r="C3" s="9" t="str">
        <v>CP61650</v>
      </c>
      <c r="D3" s="9">
        <v>172701000336569</v>
      </c>
      <c r="E3" s="9" t="str">
        <v>SEDANG</v>
      </c>
      <c r="F3" s="9" t="str">
        <v>Tidak</v>
      </c>
      <c r="G3" s="9" t="str">
        <v>Tidak</v>
      </c>
      <c r="H3" s="9" t="str">
        <v>Tidak</v>
      </c>
      <c r="I3" s="9" t="str">
        <v>Perpajakan</v>
      </c>
      <c r="J3" s="9">
        <v>48</v>
      </c>
      <c r="K3" s="9">
        <v>41</v>
      </c>
      <c r="L3" s="9" t="str">
        <v>Perpajakan</v>
      </c>
      <c r="M3" s="9" t="str">
        <v xml:space="preserve">KK RSUD MERAUKE                         </v>
      </c>
      <c r="N3" s="9" t="str">
        <v xml:space="preserve">KC Merauke                              </v>
      </c>
      <c r="O3" s="9" t="str">
        <v xml:space="preserve">KANWIL JAYAPURA 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90171841 - Rifqi Aziz</v>
      </c>
      <c r="U3" s="9" t="str">
        <v>"-"</v>
      </c>
      <c r="V3" s="12" t="s">
        <v>24</v>
      </c>
      <c r="W3" s="12"/>
      <c r="X3" s="14" t="b">
        <f>[3]STR!$X3</f>
        <v>0</v>
      </c>
    </row>
    <row r="4" spans="1:26">
      <c r="A4" s="8">
        <v>46265</v>
      </c>
      <c r="B4" s="9" t="str">
        <v xml:space="preserve">HERIANTO                                </v>
      </c>
      <c r="C4" s="9" t="str">
        <v>HLW7610</v>
      </c>
      <c r="D4" s="9">
        <v>31101167988502</v>
      </c>
      <c r="E4" s="9" t="str">
        <v>SEDANG</v>
      </c>
      <c r="F4" s="9" t="str">
        <v>Tidak</v>
      </c>
      <c r="G4" s="9" t="str">
        <v>Tidak</v>
      </c>
      <c r="H4" s="9" t="str">
        <v>Tidak</v>
      </c>
      <c r="I4" s="9" t="str">
        <v>Pencurian Rekening</v>
      </c>
      <c r="J4" s="9">
        <v>47</v>
      </c>
      <c r="K4" s="9">
        <v>59</v>
      </c>
      <c r="L4" s="9" t="str">
        <v>Perbankan</v>
      </c>
      <c r="M4" s="9" t="str">
        <v xml:space="preserve">KC Wamena                               </v>
      </c>
      <c r="N4" s="9" t="str">
        <v xml:space="preserve">KC Wamena                               </v>
      </c>
      <c r="O4" s="9" t="str">
        <v xml:space="preserve">KANWIL JAYAPURA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 t="str">
        <v>90185538 - Muhammad Fahikal Auz</v>
      </c>
      <c r="U4" s="9" t="str">
        <v>"-"</v>
      </c>
      <c r="V4" s="12" t="s">
        <v>24</v>
      </c>
      <c r="W4" s="12"/>
      <c r="X4" s="14" t="b">
        <f>[3]STR!$X4</f>
        <v>1</v>
      </c>
    </row>
    <row r="5" spans="1:26">
      <c r="A5" s="8">
        <v>46265</v>
      </c>
      <c r="B5" s="9" t="str">
        <v xml:space="preserve">MUHAMMAD IQBHAL                         </v>
      </c>
      <c r="C5" s="9" t="str">
        <v>MCQWQ36</v>
      </c>
      <c r="D5" s="9">
        <v>707501019002508</v>
      </c>
      <c r="E5" s="9">
        <v>0</v>
      </c>
      <c r="F5" s="9" t="str">
        <v>Tidak</v>
      </c>
      <c r="G5" s="9" t="str">
        <v>Tidak</v>
      </c>
      <c r="H5" s="9" t="str">
        <v>Tidak</v>
      </c>
      <c r="I5" s="9" t="str">
        <v>Narkotika - Area Lapas</v>
      </c>
      <c r="J5" s="9">
        <v>36</v>
      </c>
      <c r="K5" s="9">
        <v>48</v>
      </c>
      <c r="L5" s="9" t="str">
        <v>Narkotika</v>
      </c>
      <c r="M5" s="9" t="str">
        <v>UNIT KLASAMAN SORONG</v>
      </c>
      <c r="N5" s="9" t="str">
        <v>KC Sorong</v>
      </c>
      <c r="O5" s="9" t="str">
        <v>KANWIL JAYAPURA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90185537 - Moh.Khoerul Fajar Ar</v>
      </c>
      <c r="U5" s="9" t="str">
        <v>"-"</v>
      </c>
      <c r="V5" s="12" t="s">
        <v>24</v>
      </c>
      <c r="W5" s="12"/>
      <c r="X5" s="14" t="b">
        <f>[3]STR!$X5</f>
        <v>0</v>
      </c>
      <c r="Z5" t="s">
        <v>25</v>
      </c>
    </row>
    <row r="6" spans="1:26">
      <c r="A6" s="8">
        <v>46265</v>
      </c>
      <c r="B6" s="9" t="str">
        <v xml:space="preserve">MOHAMMAD ARIF                           </v>
      </c>
      <c r="C6" s="9" t="str">
        <v>MHHX468</v>
      </c>
      <c r="D6" s="9">
        <v>214101014269501</v>
      </c>
      <c r="E6" s="9" t="str">
        <v>SEDANG</v>
      </c>
      <c r="F6" s="9" t="str">
        <v>Tidak</v>
      </c>
      <c r="G6" s="9" t="str">
        <v>Tidak</v>
      </c>
      <c r="H6" s="9" t="str">
        <v>Tidak</v>
      </c>
      <c r="I6" s="9" t="str">
        <v>Narkotika - Area Lapas</v>
      </c>
      <c r="J6" s="9">
        <v>48</v>
      </c>
      <c r="K6" s="9">
        <v>48</v>
      </c>
      <c r="L6" s="9" t="str">
        <v>Narkotika</v>
      </c>
      <c r="M6" s="9" t="str">
        <v>KCP KOTA JAYAPURA</v>
      </c>
      <c r="N6" s="9" t="str">
        <v>KC Jayapura</v>
      </c>
      <c r="O6" s="9" t="str">
        <v>KANWIL JAYAPURA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00394521 - Muhammad Hibbanduta</v>
      </c>
      <c r="U6" s="9" t="str">
        <v>"-"</v>
      </c>
      <c r="V6" s="12" t="s">
        <v>24</v>
      </c>
      <c r="W6" s="12"/>
      <c r="X6" s="14" t="b">
        <f>[3]STR!$X6</f>
        <v>0</v>
      </c>
    </row>
    <row r="7" spans="1:26">
      <c r="A7" s="8">
        <v>46265</v>
      </c>
      <c r="B7" s="9" t="str">
        <v xml:space="preserve">SITI MARHANA                            </v>
      </c>
      <c r="C7" s="9" t="str">
        <v>SNKR522</v>
      </c>
      <c r="D7" s="9">
        <v>35201103491501</v>
      </c>
      <c r="E7" s="9" t="str">
        <v>SEDANG</v>
      </c>
      <c r="F7" s="9" t="str">
        <v>Tidak</v>
      </c>
      <c r="G7" s="9" t="str">
        <v>Tidak</v>
      </c>
      <c r="H7" s="9" t="str">
        <v>Tidak</v>
      </c>
      <c r="I7" s="9" t="str">
        <v>Perikanan dan Kelautan</v>
      </c>
      <c r="J7" s="9">
        <v>48</v>
      </c>
      <c r="K7" s="9">
        <v>101</v>
      </c>
      <c r="L7" s="9" t="str">
        <v>Perikanan dan Kelautan</v>
      </c>
      <c r="M7" s="9" t="str">
        <v xml:space="preserve">KCP KOTA MERAUKE                        </v>
      </c>
      <c r="N7" s="9" t="str">
        <v xml:space="preserve">KC Merauke                              </v>
      </c>
      <c r="O7" s="9" t="str">
        <v xml:space="preserve">KANWIL JAYAPURA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 t="str">
        <v>00336949 - Mochammad Al Farabi</v>
      </c>
      <c r="U7" s="9" t="str">
        <v>"-"</v>
      </c>
      <c r="V7" s="12" t="s">
        <v>24</v>
      </c>
      <c r="W7" s="12"/>
      <c r="X7" s="14" t="b">
        <f>[3]STR!$X7</f>
        <v>0</v>
      </c>
    </row>
    <row r="8" spans="1:26">
      <c r="A8" s="8">
        <v>46265</v>
      </c>
      <c r="B8" s="9" t="str">
        <v xml:space="preserve">MONICA PONGMAKAMBA                      </v>
      </c>
      <c r="C8" s="9" t="str">
        <v>MYC8553</v>
      </c>
      <c r="D8" s="9">
        <v>108101035822509</v>
      </c>
      <c r="E8" s="9" t="str">
        <v>SEDANG</v>
      </c>
      <c r="F8" s="9" t="str">
        <v>Tidak</v>
      </c>
      <c r="G8" s="9" t="str">
        <v>Tidak</v>
      </c>
      <c r="H8" s="9" t="str">
        <v>Tidak</v>
      </c>
      <c r="I8" s="9" t="str">
        <v>Narkotika - Area Lapas</v>
      </c>
      <c r="J8" s="9">
        <v>50</v>
      </c>
      <c r="K8" s="9">
        <v>48</v>
      </c>
      <c r="L8" s="9" t="str">
        <v>Narkotika</v>
      </c>
      <c r="M8" s="9" t="str">
        <v>KC Fakfak</v>
      </c>
      <c r="N8" s="9" t="str">
        <v>KC Fakfak</v>
      </c>
      <c r="O8" s="9" t="str">
        <v>KANWIL JAYAPURA</v>
      </c>
      <c r="P8" s="9" t="str">
        <v>Tidak</v>
      </c>
      <c r="Q8" s="9">
        <v>0</v>
      </c>
      <c r="R8" s="9" t="str">
        <v>Pending Approver</v>
      </c>
      <c r="S8" s="9" t="str">
        <v>Belum TL</v>
      </c>
      <c r="T8" s="9" t="str">
        <v>00394520 - Frida Akbar Rani</v>
      </c>
      <c r="U8" s="9" t="str">
        <v>"-"</v>
      </c>
      <c r="V8" s="12" t="s">
        <v>24</v>
      </c>
      <c r="W8" s="12"/>
      <c r="X8" s="14" t="b">
        <f>[3]STR!$X8</f>
        <v>0</v>
      </c>
    </row>
    <row r="9" spans="1:26">
      <c r="A9" s="8">
        <v>46265</v>
      </c>
      <c r="B9" s="9" t="str">
        <v xml:space="preserve">JOHN TABO                               </v>
      </c>
      <c r="C9" s="9" t="str">
        <v>J217725</v>
      </c>
      <c r="D9" s="9">
        <v>5326599000010800</v>
      </c>
      <c r="E9" s="9" t="str">
        <v>TINGGI</v>
      </c>
      <c r="F9" s="9" t="str">
        <v>Tidak</v>
      </c>
      <c r="G9" s="9" t="str">
        <v>Tidak</v>
      </c>
      <c r="H9" s="9" t="str">
        <v>Tidak</v>
      </c>
      <c r="I9" s="9" t="str">
        <v>Private or Priority Customer Investment</v>
      </c>
      <c r="J9" s="9">
        <v>83</v>
      </c>
      <c r="K9" s="9">
        <v>93</v>
      </c>
      <c r="L9" s="9" t="str">
        <v>Pasar Modal</v>
      </c>
      <c r="M9" s="9" t="str">
        <v xml:space="preserve">KC Jayapura                             </v>
      </c>
      <c r="N9" s="9" t="str">
        <v xml:space="preserve">KC Jayapura                             </v>
      </c>
      <c r="O9" s="9" t="str">
        <v xml:space="preserve">KANWIL JAYAPURA                         </v>
      </c>
      <c r="P9" s="9" t="str">
        <v>Tidak</v>
      </c>
      <c r="Q9" s="9">
        <v>0</v>
      </c>
      <c r="R9" s="9" t="str">
        <v>Done</v>
      </c>
      <c r="S9" s="9" t="str">
        <v>Belum TL</v>
      </c>
      <c r="T9" s="9" t="str">
        <v>90150130 - Intan Aida Pratiwi</v>
      </c>
      <c r="U9" s="9" t="str">
        <v>"-"</v>
      </c>
      <c r="V9" s="12" t="s">
        <v>24</v>
      </c>
      <c r="W9" s="12"/>
      <c r="X9" s="14" t="b">
        <f>[3]STR!$X9</f>
        <v>0</v>
      </c>
    </row>
    <row r="10" spans="1:26">
      <c r="A10" s="8">
        <v>46265</v>
      </c>
      <c r="B10" s="9" t="str">
        <v xml:space="preserve">PT PARAMA PANGAN PAPUA                  </v>
      </c>
      <c r="C10" s="9" t="str">
        <v>PW02628</v>
      </c>
      <c r="D10" s="9">
        <v>35201001853302</v>
      </c>
      <c r="E10" s="9" t="str">
        <v>SEDANG</v>
      </c>
      <c r="F10" s="9" t="str">
        <v>Tidak</v>
      </c>
      <c r="G10" s="9" t="str">
        <v>Tidak</v>
      </c>
      <c r="H10" s="9" t="str">
        <v>Tidak</v>
      </c>
      <c r="I10" s="9" t="str">
        <v>Perpajakan</v>
      </c>
      <c r="J10" s="9">
        <v>48</v>
      </c>
      <c r="K10" s="9">
        <v>41</v>
      </c>
      <c r="L10" s="9" t="str">
        <v>Perpajakan</v>
      </c>
      <c r="M10" s="9" t="str">
        <v xml:space="preserve">KC Merauke                              </v>
      </c>
      <c r="N10" s="9" t="str">
        <v xml:space="preserve">KC Merauke                              </v>
      </c>
      <c r="O10" s="9" t="str">
        <v xml:space="preserve">KANWIL JAYAPURA                         </v>
      </c>
      <c r="P10" s="9" t="str">
        <v>Tidak</v>
      </c>
      <c r="Q10" s="9" t="str">
        <v>Tidak</v>
      </c>
      <c r="R10" s="9" t="str">
        <v>Done</v>
      </c>
      <c r="S10" s="9" t="str">
        <v>Pending Checker</v>
      </c>
      <c r="T10" s="9" t="str">
        <v>90185538 - Muhammad Fahikal Auz</v>
      </c>
      <c r="U10" s="9" t="str">
        <v>"-"</v>
      </c>
      <c r="V10" s="12" t="s">
        <v>24</v>
      </c>
      <c r="W10" s="12" t="s">
        <v>26</v>
      </c>
      <c r="X10" s="14" t="b">
        <f>[3]STR!$X10</f>
        <v>1</v>
      </c>
    </row>
    <row r="11" spans="1:26">
      <c r="A11" s="8">
        <v>46265</v>
      </c>
      <c r="B11" s="9" t="str">
        <v xml:space="preserve">PATRICK DEVIS NASUTION                  </v>
      </c>
      <c r="C11" s="9" t="str">
        <v>PCH7636</v>
      </c>
      <c r="D11" s="9">
        <v>342301051378534</v>
      </c>
      <c r="E11" s="9" t="str">
        <v>SEDANG</v>
      </c>
      <c r="F11" s="9" t="str">
        <v>Tidak</v>
      </c>
      <c r="G11" s="9" t="str">
        <v>Tidak</v>
      </c>
      <c r="H11" s="9" t="str">
        <v>Tidak</v>
      </c>
      <c r="I11" s="9" t="str">
        <v>Narkotika - Area Lapas</v>
      </c>
      <c r="J11" s="9">
        <v>54</v>
      </c>
      <c r="K11" s="9">
        <v>48</v>
      </c>
      <c r="L11" s="9" t="str">
        <v>Narkotika</v>
      </c>
      <c r="M11" s="9" t="str">
        <v>UNIT NABIRE</v>
      </c>
      <c r="N11" s="9" t="str">
        <v>KC Nabire</v>
      </c>
      <c r="O11" s="9" t="str">
        <v>KANWIL JAYAPURA</v>
      </c>
      <c r="P11" s="9" t="str">
        <v>Tidak</v>
      </c>
      <c r="Q11" s="9" t="str">
        <v>Ya</v>
      </c>
      <c r="R11" s="9" t="str">
        <v>Done</v>
      </c>
      <c r="S11" s="9" t="str">
        <v>Pending Checker</v>
      </c>
      <c r="T11" s="9" t="str">
        <v>00394521 - Muhammad Hibbanduta</v>
      </c>
      <c r="U11" s="9" t="str">
        <v>"-"</v>
      </c>
      <c r="V11" s="12" t="s">
        <v>24</v>
      </c>
      <c r="W11" s="12"/>
      <c r="X11" s="14" t="b">
        <f>[3]STR!$X11</f>
        <v>0</v>
      </c>
    </row>
    <row r="12" spans="1:26">
      <c r="A12" s="8">
        <v>46265</v>
      </c>
      <c r="B12" s="9" t="str">
        <v xml:space="preserve">JHON VICTOR SUEBU                       </v>
      </c>
      <c r="C12" s="9" t="str">
        <v>JCU2493</v>
      </c>
      <c r="D12" s="9">
        <v>491401020852539</v>
      </c>
      <c r="E12" s="9" t="str">
        <v>SEDANG</v>
      </c>
      <c r="F12" s="9" t="str">
        <v>Tidak</v>
      </c>
      <c r="G12" s="9" t="str">
        <v>Tidak</v>
      </c>
      <c r="H12" s="9" t="str">
        <v>Tidak</v>
      </c>
      <c r="I12" s="9" t="str">
        <v>Narkotika - Area Lapas</v>
      </c>
      <c r="J12" s="9">
        <v>48</v>
      </c>
      <c r="K12" s="9">
        <v>48</v>
      </c>
      <c r="L12" s="9" t="str">
        <v>Narkotika</v>
      </c>
      <c r="M12" s="9" t="str">
        <v>UNIT ENTROP JAYAPURA</v>
      </c>
      <c r="N12" s="9" t="str">
        <v>KC Jayapura</v>
      </c>
      <c r="O12" s="9" t="str">
        <v>KANWIL JAYAPURA</v>
      </c>
      <c r="P12" s="9" t="str">
        <v>Tidak</v>
      </c>
      <c r="Q12" s="9" t="str">
        <v>Ya</v>
      </c>
      <c r="R12" s="9" t="str">
        <v>Done</v>
      </c>
      <c r="S12" s="9" t="str">
        <v>Pending Checker</v>
      </c>
      <c r="T12" s="9" t="str">
        <v>90186796 - Devito Arya Wiradila</v>
      </c>
      <c r="U12" s="9" t="str">
        <v>"-"</v>
      </c>
      <c r="V12" s="12" t="s">
        <v>24</v>
      </c>
      <c r="W12" s="12" t="s">
        <v>27</v>
      </c>
      <c r="X12" s="14" t="b">
        <f>[3]STR!$X12</f>
        <v>1</v>
      </c>
    </row>
    <row r="13" spans="1:26">
      <c r="A13" s="8">
        <v>46265</v>
      </c>
      <c r="B13" s="9" t="str">
        <v xml:space="preserve">DARNI                                   </v>
      </c>
      <c r="C13" s="9" t="str">
        <v>DJS4177</v>
      </c>
      <c r="D13" s="9">
        <v>31001112600503</v>
      </c>
      <c r="E13" s="9" t="str">
        <v>SEDANG</v>
      </c>
      <c r="F13" s="9" t="str">
        <v>Tidak</v>
      </c>
      <c r="G13" s="9" t="str">
        <v>Tidak</v>
      </c>
      <c r="H13" s="9" t="str">
        <v>Tidak</v>
      </c>
      <c r="I13" s="9" t="str">
        <v>Pencurian Rekening</v>
      </c>
      <c r="J13" s="9">
        <v>47</v>
      </c>
      <c r="K13" s="9">
        <v>59</v>
      </c>
      <c r="L13" s="9" t="str">
        <v>Perbankan</v>
      </c>
      <c r="M13" s="9" t="str">
        <v xml:space="preserve">KC Sorong                               </v>
      </c>
      <c r="N13" s="9" t="str">
        <v xml:space="preserve">KC Sorong                               </v>
      </c>
      <c r="O13" s="9" t="str">
        <v xml:space="preserve">KANWIL JAYAPURA                         </v>
      </c>
      <c r="P13" s="9" t="str">
        <v>Tidak</v>
      </c>
      <c r="Q13" s="9" t="str">
        <v>Tidak</v>
      </c>
      <c r="R13" s="9" t="str">
        <v>Done</v>
      </c>
      <c r="S13" s="9" t="str">
        <v>Pending Checker</v>
      </c>
      <c r="T13" s="9" t="str">
        <v>90186790 - Muhammad Alfin Farha</v>
      </c>
      <c r="U13" s="9" t="str">
        <v>"-"</v>
      </c>
      <c r="V13" s="12" t="s">
        <v>24</v>
      </c>
      <c r="W13" s="12" t="s">
        <v>28</v>
      </c>
      <c r="X13" s="14" t="b">
        <f>[3]STR!$X13</f>
        <v>1</v>
      </c>
    </row>
    <row r="14" spans="1:26">
      <c r="A14" s="8">
        <v>46265</v>
      </c>
      <c r="B14" s="9" t="str">
        <v xml:space="preserve">AMAN JAYA                               </v>
      </c>
      <c r="C14" s="9" t="str">
        <v>ACSV920</v>
      </c>
      <c r="D14" s="9">
        <v>68701001351565</v>
      </c>
      <c r="E14" s="9" t="str">
        <v>SEDANG</v>
      </c>
      <c r="F14" s="9" t="str">
        <v>Tidak</v>
      </c>
      <c r="G14" s="9" t="str">
        <v>Tidak</v>
      </c>
      <c r="H14" s="9" t="str">
        <v>Tidak</v>
      </c>
      <c r="I14" s="9" t="str">
        <v>Perpajakan</v>
      </c>
      <c r="J14" s="9">
        <v>48</v>
      </c>
      <c r="K14" s="9">
        <v>1.33</v>
      </c>
      <c r="L14" s="9" t="str">
        <v>Perpajakan</v>
      </c>
      <c r="M14" s="9" t="str">
        <v xml:space="preserve">KC Nabire                               </v>
      </c>
      <c r="N14" s="9" t="str">
        <v xml:space="preserve">KC Nabire                               </v>
      </c>
      <c r="O14" s="9" t="str">
        <v xml:space="preserve">KANWIL JAYAPURA                         </v>
      </c>
      <c r="P14" s="9" t="str">
        <v>Tidak</v>
      </c>
      <c r="Q14" s="9" t="str">
        <v>Tidak</v>
      </c>
      <c r="R14" s="9" t="str">
        <v>Done</v>
      </c>
      <c r="S14" s="9" t="str">
        <v>Pending Checker</v>
      </c>
      <c r="T14" s="9" t="str">
        <v>90185537 - Moh.Khoerul Fajar Ar</v>
      </c>
      <c r="U14" s="9" t="str">
        <v>"-"</v>
      </c>
      <c r="V14" s="12" t="s">
        <v>24</v>
      </c>
      <c r="W14" s="12" t="s">
        <v>29</v>
      </c>
      <c r="X14" s="14" t="b">
        <f>[3]STR!$X14</f>
        <v>1</v>
      </c>
    </row>
    <row r="15" spans="1:26">
      <c r="A15" s="8">
        <v>46265</v>
      </c>
      <c r="B15" s="9" t="str">
        <v xml:space="preserve">ADJIE DJAFLIN KOSSAH                    </v>
      </c>
      <c r="C15" s="9" t="str">
        <v>AMXQ209</v>
      </c>
      <c r="D15" s="9">
        <v>56101060306509</v>
      </c>
      <c r="E15" s="9" t="str">
        <v>SEDANG</v>
      </c>
      <c r="F15" s="9" t="str">
        <v>Tidak</v>
      </c>
      <c r="G15" s="9" t="str">
        <v>Tidak</v>
      </c>
      <c r="H15" s="9" t="str">
        <v>Tidak</v>
      </c>
      <c r="I15" s="9" t="str">
        <v>Narkotika - Area Lapas</v>
      </c>
      <c r="J15" s="9">
        <v>53</v>
      </c>
      <c r="K15" s="9">
        <v>48</v>
      </c>
      <c r="L15" s="9" t="str">
        <v>Narkotika</v>
      </c>
      <c r="M15" s="9" t="str">
        <v>KC Timika</v>
      </c>
      <c r="N15" s="9" t="str">
        <v>KC Timika</v>
      </c>
      <c r="O15" s="9" t="str">
        <v>KANWIL JAYAPURA</v>
      </c>
      <c r="P15" s="9" t="str">
        <v>Tidak</v>
      </c>
      <c r="Q15" s="9" t="str">
        <v>Tidak</v>
      </c>
      <c r="R15" s="9" t="str">
        <v>Done</v>
      </c>
      <c r="S15" s="9" t="str">
        <v>Approved</v>
      </c>
      <c r="T15" s="9" t="str">
        <v>90185538 - Muhammad Fahikal Auz</v>
      </c>
      <c r="U15" s="9" t="str">
        <v>"-"</v>
      </c>
      <c r="V15" s="12" t="s">
        <v>30</v>
      </c>
      <c r="W15" s="12"/>
      <c r="X15" s="14" t="b">
        <f>[3]STR!$X15</f>
        <v>1</v>
      </c>
    </row>
    <row r="16" spans="1:26">
      <c r="A16" s="8">
        <v>46265</v>
      </c>
      <c r="B16" s="9" t="str">
        <v xml:space="preserve">DELY NAINGGOLAN                         </v>
      </c>
      <c r="C16" s="9" t="str">
        <v>D448119</v>
      </c>
      <c r="D16" s="9">
        <v>0</v>
      </c>
      <c r="E16" s="9" t="str">
        <v>TINGGI</v>
      </c>
      <c r="F16" s="9" t="str">
        <v>Tidak</v>
      </c>
      <c r="G16" s="9" t="str">
        <v>Tidak</v>
      </c>
      <c r="H16" s="9" t="str">
        <v>Tidak</v>
      </c>
      <c r="I16" s="9" t="str">
        <v>Private or Priority Customer Investment</v>
      </c>
      <c r="J16" s="9">
        <v>78</v>
      </c>
      <c r="K16" s="9">
        <v>93</v>
      </c>
      <c r="L16" s="9" t="str">
        <v>Pasar Modal</v>
      </c>
      <c r="M16" s="9" t="str">
        <v xml:space="preserve">KC Jayapura                             </v>
      </c>
      <c r="N16" s="9" t="str">
        <v xml:space="preserve">KC Jayapura                             </v>
      </c>
      <c r="O16" s="9" t="str">
        <v xml:space="preserve">KANWIL JAYAPURA                         </v>
      </c>
      <c r="P16" s="9" t="str">
        <v>Tidak</v>
      </c>
      <c r="Q16" s="9" t="str">
        <v>Tidak</v>
      </c>
      <c r="R16" s="9" t="str">
        <v>Done</v>
      </c>
      <c r="S16" s="9" t="str">
        <v>Approved</v>
      </c>
      <c r="T16" s="9" t="str">
        <v>00394521 - Muhammad Hibbanduta</v>
      </c>
      <c r="U16" s="9" t="str">
        <v>"-"</v>
      </c>
      <c r="V16" s="12" t="s">
        <v>30</v>
      </c>
      <c r="W16" s="12"/>
      <c r="X16" s="14" t="b">
        <f>[3]STR!$X16</f>
        <v>1</v>
      </c>
    </row>
  </sheetData>
  <protectedRanges>
    <protectedRange sqref="V1:X16" name="Range2"/>
  </protectedRanges>
  <dataValidations count="1">
    <dataValidation allowBlank="1" showInputMessage="1" showErrorMessage="1" sqref="V2:V16" xr:uid="{BD7193DB-60F4-463D-B1F9-9B8CD7CD05D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15"/>
  <sheetViews>
    <sheetView workbookViewId="0">
      <selection activeCell="B7" sqref="B7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2.42578125" bestFit="1" customWidth="1"/>
  </cols>
  <sheetData>
    <row r="1" spans="1:5" ht="15">
      <c r="D1" s="44">
        <v>46280</v>
      </c>
      <c r="E1" s="45"/>
    </row>
    <row r="2" spans="1:5">
      <c r="A2" s="4" t="s">
        <v>31</v>
      </c>
      <c r="B2" s="4" t="s">
        <v>32</v>
      </c>
      <c r="C2" s="24" t="s">
        <v>33</v>
      </c>
      <c r="D2" s="26" t="s">
        <v>34</v>
      </c>
      <c r="E2" s="26" t="s">
        <v>35</v>
      </c>
    </row>
    <row r="3" spans="1:5">
      <c r="A3" s="3">
        <v>1</v>
      </c>
      <c r="B3" s="15" t="s">
        <v>36</v>
      </c>
      <c r="C3" s="25" t="s">
        <v>24</v>
      </c>
      <c r="D3" s="28">
        <f>_xlfn.XLOOKUP(B3, [1]PEP!$B:$B,[1]PEP!$G:$G)</f>
        <v>0.95714285714285718</v>
      </c>
      <c r="E3" s="41">
        <f>AVERAGE(D3:D15)</f>
        <v>0.97698246683574119</v>
      </c>
    </row>
    <row r="4" spans="1:5">
      <c r="A4" s="3">
        <v>2</v>
      </c>
      <c r="B4" s="16" t="s">
        <v>37</v>
      </c>
      <c r="C4" s="25" t="s">
        <v>24</v>
      </c>
      <c r="D4" s="28">
        <f>_xlfn.XLOOKUP(B4, [1]PEP!$B:$B,[1]PEP!$G:$G)</f>
        <v>1</v>
      </c>
      <c r="E4" s="42"/>
    </row>
    <row r="5" spans="1:5">
      <c r="A5" s="3">
        <v>3</v>
      </c>
      <c r="B5" s="16" t="s">
        <v>38</v>
      </c>
      <c r="C5" s="25" t="s">
        <v>24</v>
      </c>
      <c r="D5" s="28">
        <f>_xlfn.XLOOKUP(B5, [1]PEP!$B:$B,[1]PEP!$G:$G)</f>
        <v>1</v>
      </c>
      <c r="E5" s="42"/>
    </row>
    <row r="6" spans="1:5">
      <c r="A6" s="3">
        <v>4</v>
      </c>
      <c r="B6" s="16" t="s">
        <v>39</v>
      </c>
      <c r="C6" s="25" t="s">
        <v>24</v>
      </c>
      <c r="D6" s="28">
        <f>_xlfn.XLOOKUP(B6, [1]PEP!$B:$B,[1]PEP!$G:$G)</f>
        <v>1</v>
      </c>
      <c r="E6" s="42"/>
    </row>
    <row r="7" spans="1:5">
      <c r="A7" s="3">
        <v>5</v>
      </c>
      <c r="B7" s="16" t="s">
        <v>40</v>
      </c>
      <c r="C7" s="25" t="s">
        <v>24</v>
      </c>
      <c r="D7" s="28">
        <f>_xlfn.XLOOKUP(B7, [1]PEP!$B:$B,[1]PEP!$G:$G)</f>
        <v>0.94594594594594594</v>
      </c>
      <c r="E7" s="42"/>
    </row>
    <row r="8" spans="1:5">
      <c r="A8" s="3">
        <v>6</v>
      </c>
      <c r="B8" s="16" t="s">
        <v>41</v>
      </c>
      <c r="C8" s="25" t="s">
        <v>24</v>
      </c>
      <c r="D8" s="28">
        <f>_xlfn.XLOOKUP(B8, [1]PEP!$B:$B,[1]PEP!$G:$G)</f>
        <v>1</v>
      </c>
      <c r="E8" s="42"/>
    </row>
    <row r="9" spans="1:5">
      <c r="A9" s="3">
        <v>7</v>
      </c>
      <c r="B9" s="16" t="s">
        <v>42</v>
      </c>
      <c r="C9" s="25" t="s">
        <v>24</v>
      </c>
      <c r="D9" s="28">
        <f>_xlfn.XLOOKUP(B9, [1]PEP!$B:$B,[1]PEP!$G:$G)</f>
        <v>0.93548387096774188</v>
      </c>
      <c r="E9" s="42"/>
    </row>
    <row r="10" spans="1:5">
      <c r="A10" s="3">
        <v>8</v>
      </c>
      <c r="B10" s="16" t="s">
        <v>43</v>
      </c>
      <c r="C10" s="25" t="s">
        <v>24</v>
      </c>
      <c r="D10" s="28">
        <f>_xlfn.XLOOKUP(B10, [1]PEP!$B:$B,[1]PEP!$G:$G)</f>
        <v>1</v>
      </c>
      <c r="E10" s="42"/>
    </row>
    <row r="11" spans="1:5">
      <c r="A11" s="3">
        <v>9</v>
      </c>
      <c r="B11" s="16" t="s">
        <v>44</v>
      </c>
      <c r="C11" s="25" t="s">
        <v>24</v>
      </c>
      <c r="D11" s="28">
        <f>_xlfn.XLOOKUP(B11, [1]PEP!$B:$B,[1]PEP!$G:$G)</f>
        <v>1</v>
      </c>
      <c r="E11" s="42"/>
    </row>
    <row r="12" spans="1:5">
      <c r="A12" s="3">
        <v>10</v>
      </c>
      <c r="B12" s="16" t="s">
        <v>45</v>
      </c>
      <c r="C12" s="25" t="s">
        <v>24</v>
      </c>
      <c r="D12" s="28">
        <f>_xlfn.XLOOKUP(B12, [1]PEP!$B:$B,[1]PEP!$G:$G)</f>
        <v>0.91666666666666663</v>
      </c>
      <c r="E12" s="42"/>
    </row>
    <row r="13" spans="1:5">
      <c r="A13" s="3">
        <v>11</v>
      </c>
      <c r="B13" s="16" t="s">
        <v>46</v>
      </c>
      <c r="C13" s="25" t="s">
        <v>24</v>
      </c>
      <c r="D13" s="28">
        <f>_xlfn.XLOOKUP(B13, [1]PEP!$B:$B,[1]PEP!$G:$G)</f>
        <v>0.98901098901098905</v>
      </c>
      <c r="E13" s="42"/>
    </row>
    <row r="14" spans="1:5">
      <c r="A14" s="3">
        <v>12</v>
      </c>
      <c r="B14" s="16" t="s">
        <v>47</v>
      </c>
      <c r="C14" s="25" t="s">
        <v>24</v>
      </c>
      <c r="D14" s="28">
        <f>_xlfn.XLOOKUP(B14, [1]PEP!$B:$B,[1]PEP!$G:$G)</f>
        <v>0.95652173913043481</v>
      </c>
      <c r="E14" s="42"/>
    </row>
    <row r="15" spans="1:5">
      <c r="A15" s="3">
        <v>13</v>
      </c>
      <c r="B15" s="16" t="s">
        <v>48</v>
      </c>
      <c r="C15" s="25" t="s">
        <v>24</v>
      </c>
      <c r="D15" s="28">
        <f>_xlfn.XLOOKUP(B15, [1]PEP!$B:$B,[1]PEP!$G:$G)</f>
        <v>1</v>
      </c>
      <c r="E15" s="43"/>
    </row>
  </sheetData>
  <mergeCells count="2">
    <mergeCell ref="E3:E15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0645-A5D6-4EBC-A90A-2C317BCC8FA4}">
  <sheetPr>
    <tabColor theme="6" tint="-0.249977111117893"/>
  </sheetPr>
  <dimension ref="A1:E15"/>
  <sheetViews>
    <sheetView workbookViewId="0">
      <selection activeCell="B7" sqref="B7"/>
    </sheetView>
  </sheetViews>
  <sheetFormatPr defaultRowHeight="15"/>
  <cols>
    <col min="1" max="1" width="5.5703125" customWidth="1"/>
    <col min="2" max="2" width="30.85546875" customWidth="1"/>
    <col min="3" max="3" width="22.7109375" customWidth="1"/>
    <col min="4" max="4" width="16.28515625" bestFit="1" customWidth="1"/>
    <col min="5" max="5" width="10.140625" bestFit="1" customWidth="1"/>
  </cols>
  <sheetData>
    <row r="1" spans="1:5">
      <c r="D1" s="44">
        <v>46280</v>
      </c>
      <c r="E1" s="45"/>
    </row>
    <row r="2" spans="1:5" ht="14.45">
      <c r="A2" s="4" t="s">
        <v>31</v>
      </c>
      <c r="B2" s="4" t="s">
        <v>32</v>
      </c>
      <c r="C2" s="4" t="s">
        <v>33</v>
      </c>
      <c r="D2" s="22" t="s">
        <v>49</v>
      </c>
      <c r="E2" s="23" t="s">
        <v>35</v>
      </c>
    </row>
    <row r="3" spans="1:5" ht="14.45">
      <c r="A3" s="3">
        <v>1</v>
      </c>
      <c r="B3" s="15" t="s">
        <v>36</v>
      </c>
      <c r="C3" s="3" t="s">
        <v>24</v>
      </c>
      <c r="D3" s="27">
        <f>_xlfn.XLOOKUP(B3,'[1]Pengkinian Data'!$B:$B,'[1]Pengkinian Data'!$E:$E)</f>
        <v>1</v>
      </c>
      <c r="E3" s="41">
        <f>AVERAGE(D3:D15)</f>
        <v>0.99578461538461538</v>
      </c>
    </row>
    <row r="4" spans="1:5" ht="14.45">
      <c r="A4" s="3">
        <v>2</v>
      </c>
      <c r="B4" s="16" t="s">
        <v>37</v>
      </c>
      <c r="C4" s="3" t="s">
        <v>24</v>
      </c>
      <c r="D4" s="27">
        <f>_xlfn.XLOOKUP(B4,'[1]Pengkinian Data'!$B:$B,'[1]Pengkinian Data'!$E:$E)</f>
        <v>0.97399999999999998</v>
      </c>
      <c r="E4" s="42"/>
    </row>
    <row r="5" spans="1:5" ht="14.45">
      <c r="A5" s="3">
        <v>3</v>
      </c>
      <c r="B5" s="16" t="s">
        <v>38</v>
      </c>
      <c r="C5" s="3" t="s">
        <v>24</v>
      </c>
      <c r="D5" s="27">
        <f>_xlfn.XLOOKUP(B5,'[1]Pengkinian Data'!$B:$B,'[1]Pengkinian Data'!$E:$E)</f>
        <v>1</v>
      </c>
      <c r="E5" s="42"/>
    </row>
    <row r="6" spans="1:5" ht="14.45">
      <c r="A6" s="3">
        <v>4</v>
      </c>
      <c r="B6" s="16" t="s">
        <v>39</v>
      </c>
      <c r="C6" s="3" t="s">
        <v>24</v>
      </c>
      <c r="D6" s="27">
        <f>_xlfn.XLOOKUP(B6,'[1]Pengkinian Data'!$B:$B,'[1]Pengkinian Data'!$E:$E)</f>
        <v>1</v>
      </c>
      <c r="E6" s="42"/>
    </row>
    <row r="7" spans="1:5" ht="14.45">
      <c r="A7" s="3">
        <v>5</v>
      </c>
      <c r="B7" s="16" t="s">
        <v>40</v>
      </c>
      <c r="C7" s="3" t="s">
        <v>24</v>
      </c>
      <c r="D7" s="27">
        <f>_xlfn.XLOOKUP(B7,'[1]Pengkinian Data'!$B:$B,'[1]Pengkinian Data'!$E:$E)</f>
        <v>0.99960000000000004</v>
      </c>
      <c r="E7" s="42"/>
    </row>
    <row r="8" spans="1:5" ht="14.45">
      <c r="A8" s="3">
        <v>6</v>
      </c>
      <c r="B8" s="16" t="s">
        <v>41</v>
      </c>
      <c r="C8" s="3" t="s">
        <v>24</v>
      </c>
      <c r="D8" s="27">
        <f>_xlfn.XLOOKUP(B8,'[1]Pengkinian Data'!$B:$B,'[1]Pengkinian Data'!$E:$E)</f>
        <v>0.98360000000000003</v>
      </c>
      <c r="E8" s="42"/>
    </row>
    <row r="9" spans="1:5" ht="14.45">
      <c r="A9" s="3">
        <v>7</v>
      </c>
      <c r="B9" s="16" t="s">
        <v>42</v>
      </c>
      <c r="C9" s="3" t="s">
        <v>24</v>
      </c>
      <c r="D9" s="27">
        <f>_xlfn.XLOOKUP(B9,'[1]Pengkinian Data'!$B:$B,'[1]Pengkinian Data'!$E:$E)</f>
        <v>0.99719999999999998</v>
      </c>
      <c r="E9" s="42"/>
    </row>
    <row r="10" spans="1:5" ht="14.45">
      <c r="A10" s="3">
        <v>8</v>
      </c>
      <c r="B10" s="16" t="s">
        <v>43</v>
      </c>
      <c r="C10" s="3" t="s">
        <v>24</v>
      </c>
      <c r="D10" s="27">
        <f>_xlfn.XLOOKUP(B10,'[1]Pengkinian Data'!$B:$B,'[1]Pengkinian Data'!$E:$E)</f>
        <v>0.99719999999999998</v>
      </c>
      <c r="E10" s="42"/>
    </row>
    <row r="11" spans="1:5" ht="14.45">
      <c r="A11" s="3">
        <v>9</v>
      </c>
      <c r="B11" s="16" t="s">
        <v>44</v>
      </c>
      <c r="C11" s="3" t="s">
        <v>24</v>
      </c>
      <c r="D11" s="27">
        <f>_xlfn.XLOOKUP(B11,'[1]Pengkinian Data'!$B:$B,'[1]Pengkinian Data'!$E:$E)</f>
        <v>1</v>
      </c>
      <c r="E11" s="42"/>
    </row>
    <row r="12" spans="1:5" ht="14.45">
      <c r="A12" s="3">
        <v>10</v>
      </c>
      <c r="B12" s="16" t="s">
        <v>45</v>
      </c>
      <c r="C12" s="3" t="s">
        <v>24</v>
      </c>
      <c r="D12" s="27">
        <f>_xlfn.XLOOKUP(B12,'[1]Pengkinian Data'!$B:$B,'[1]Pengkinian Data'!$E:$E)</f>
        <v>1</v>
      </c>
      <c r="E12" s="42"/>
    </row>
    <row r="13" spans="1:5" ht="14.45">
      <c r="A13" s="3">
        <v>11</v>
      </c>
      <c r="B13" s="16" t="s">
        <v>46</v>
      </c>
      <c r="C13" s="3" t="s">
        <v>24</v>
      </c>
      <c r="D13" s="27">
        <f>_xlfn.XLOOKUP(B13,'[1]Pengkinian Data'!$B:$B,'[1]Pengkinian Data'!$E:$E)</f>
        <v>0.99870000000000003</v>
      </c>
      <c r="E13" s="42"/>
    </row>
    <row r="14" spans="1:5" ht="14.45">
      <c r="A14" s="3">
        <v>12</v>
      </c>
      <c r="B14" s="16" t="s">
        <v>47</v>
      </c>
      <c r="C14" s="3" t="s">
        <v>24</v>
      </c>
      <c r="D14" s="27">
        <f>_xlfn.XLOOKUP(B14,'[1]Pengkinian Data'!$B:$B,'[1]Pengkinian Data'!$E:$E)</f>
        <v>0.99490000000000001</v>
      </c>
      <c r="E14" s="42"/>
    </row>
    <row r="15" spans="1:5" ht="14.45">
      <c r="A15" s="3">
        <v>13</v>
      </c>
      <c r="B15" s="16" t="s">
        <v>48</v>
      </c>
      <c r="C15" s="3" t="s">
        <v>24</v>
      </c>
      <c r="D15" s="27">
        <f>_xlfn.XLOOKUP(B15,'[1]Pengkinian Data'!$B:$B,'[1]Pengkinian Data'!$E:$E)</f>
        <v>1</v>
      </c>
      <c r="E15" s="43"/>
    </row>
  </sheetData>
  <mergeCells count="2">
    <mergeCell ref="E3:E15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15"/>
  <sheetViews>
    <sheetView workbookViewId="0">
      <selection activeCell="K30" sqref="K30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0" bestFit="1" customWidth="1"/>
  </cols>
  <sheetData>
    <row r="1" spans="1:5" ht="15">
      <c r="D1" s="44">
        <v>46280</v>
      </c>
      <c r="E1" s="45"/>
    </row>
    <row r="2" spans="1:5">
      <c r="A2" s="4" t="s">
        <v>31</v>
      </c>
      <c r="B2" s="4" t="s">
        <v>32</v>
      </c>
      <c r="C2" s="4" t="s">
        <v>33</v>
      </c>
      <c r="D2" s="22" t="s">
        <v>50</v>
      </c>
      <c r="E2" s="23" t="s">
        <v>35</v>
      </c>
    </row>
    <row r="3" spans="1:5">
      <c r="A3" s="3">
        <v>1</v>
      </c>
      <c r="B3" s="15" t="s">
        <v>36</v>
      </c>
      <c r="C3" s="3" t="s">
        <v>24</v>
      </c>
      <c r="D3" s="27">
        <f>_xlfn.XLOOKUP(B3, '[1]Bad Data'!$B:$B, '[1]Bad Data'!$D:$D)</f>
        <v>7.3999999999999999E-4</v>
      </c>
      <c r="E3" s="41">
        <f>AVERAGE(D3:D15)</f>
        <v>2.0084615384615384E-3</v>
      </c>
    </row>
    <row r="4" spans="1:5">
      <c r="A4" s="3">
        <v>2</v>
      </c>
      <c r="B4" s="16" t="s">
        <v>37</v>
      </c>
      <c r="C4" s="3" t="s">
        <v>24</v>
      </c>
      <c r="D4" s="27">
        <f>_xlfn.XLOOKUP(B4, '[1]Bad Data'!$B:$B, '[1]Bad Data'!$D:$D)</f>
        <v>1.8600000000000001E-3</v>
      </c>
      <c r="E4" s="42"/>
    </row>
    <row r="5" spans="1:5">
      <c r="A5" s="3">
        <v>3</v>
      </c>
      <c r="B5" s="16" t="s">
        <v>38</v>
      </c>
      <c r="C5" s="3" t="s">
        <v>24</v>
      </c>
      <c r="D5" s="27">
        <f>_xlfn.XLOOKUP(B5, '[1]Bad Data'!$B:$B, '[1]Bad Data'!$D:$D)</f>
        <v>6.6E-4</v>
      </c>
      <c r="E5" s="42"/>
    </row>
    <row r="6" spans="1:5">
      <c r="A6" s="3">
        <v>4</v>
      </c>
      <c r="B6" s="16" t="s">
        <v>39</v>
      </c>
      <c r="C6" s="3" t="s">
        <v>24</v>
      </c>
      <c r="D6" s="27">
        <f>_xlfn.XLOOKUP(B6, '[1]Bad Data'!$B:$B, '[1]Bad Data'!$D:$D)</f>
        <v>1.1E-4</v>
      </c>
      <c r="E6" s="42"/>
    </row>
    <row r="7" spans="1:5">
      <c r="A7" s="3">
        <v>5</v>
      </c>
      <c r="B7" s="16" t="s">
        <v>40</v>
      </c>
      <c r="C7" s="3" t="s">
        <v>24</v>
      </c>
      <c r="D7" s="27">
        <f>_xlfn.XLOOKUP(B7, '[1]Bad Data'!$B:$B, '[1]Bad Data'!$D:$D)</f>
        <v>4.8000000000000001E-4</v>
      </c>
      <c r="E7" s="42"/>
    </row>
    <row r="8" spans="1:5">
      <c r="A8" s="3">
        <v>6</v>
      </c>
      <c r="B8" s="16" t="s">
        <v>41</v>
      </c>
      <c r="C8" s="3" t="s">
        <v>24</v>
      </c>
      <c r="D8" s="27">
        <f>_xlfn.XLOOKUP(B8, '[1]Bad Data'!$B:$B, '[1]Bad Data'!$D:$D)</f>
        <v>1.72E-3</v>
      </c>
      <c r="E8" s="42"/>
    </row>
    <row r="9" spans="1:5">
      <c r="A9" s="3">
        <v>7</v>
      </c>
      <c r="B9" s="16" t="s">
        <v>42</v>
      </c>
      <c r="C9" s="3" t="s">
        <v>24</v>
      </c>
      <c r="D9" s="27">
        <f>_xlfn.XLOOKUP(B9, '[1]Bad Data'!$B:$B, '[1]Bad Data'!$D:$D)</f>
        <v>7.0200000000000002E-3</v>
      </c>
      <c r="E9" s="42"/>
    </row>
    <row r="10" spans="1:5">
      <c r="A10" s="3">
        <v>8</v>
      </c>
      <c r="B10" s="16" t="s">
        <v>43</v>
      </c>
      <c r="C10" s="3" t="s">
        <v>24</v>
      </c>
      <c r="D10" s="27">
        <f>_xlfn.XLOOKUP(B10, '[1]Bad Data'!$B:$B, '[1]Bad Data'!$D:$D)</f>
        <v>1.42E-3</v>
      </c>
      <c r="E10" s="42"/>
    </row>
    <row r="11" spans="1:5">
      <c r="A11" s="3">
        <v>9</v>
      </c>
      <c r="B11" s="16" t="s">
        <v>44</v>
      </c>
      <c r="C11" s="3" t="s">
        <v>24</v>
      </c>
      <c r="D11" s="27">
        <f>_xlfn.XLOOKUP(B11, '[1]Bad Data'!$B:$B, '[1]Bad Data'!$D:$D)</f>
        <v>1.5900000000000001E-3</v>
      </c>
      <c r="E11" s="42"/>
    </row>
    <row r="12" spans="1:5">
      <c r="A12" s="3">
        <v>10</v>
      </c>
      <c r="B12" s="16" t="s">
        <v>45</v>
      </c>
      <c r="C12" s="3" t="s">
        <v>24</v>
      </c>
      <c r="D12" s="27">
        <f>_xlfn.XLOOKUP(B12, '[1]Bad Data'!$B:$B, '[1]Bad Data'!$D:$D)</f>
        <v>5.1999999999999995E-4</v>
      </c>
      <c r="E12" s="42"/>
    </row>
    <row r="13" spans="1:5">
      <c r="A13" s="3">
        <v>11</v>
      </c>
      <c r="B13" s="16" t="s">
        <v>46</v>
      </c>
      <c r="C13" s="3" t="s">
        <v>24</v>
      </c>
      <c r="D13" s="27">
        <f>_xlfn.XLOOKUP(B13, '[1]Bad Data'!$B:$B, '[1]Bad Data'!$D:$D)</f>
        <v>9.2000000000000003E-4</v>
      </c>
      <c r="E13" s="42"/>
    </row>
    <row r="14" spans="1:5">
      <c r="A14" s="3">
        <v>12</v>
      </c>
      <c r="B14" s="16" t="s">
        <v>47</v>
      </c>
      <c r="C14" s="3" t="s">
        <v>24</v>
      </c>
      <c r="D14" s="27">
        <f>_xlfn.XLOOKUP(B14, '[1]Bad Data'!$B:$B, '[1]Bad Data'!$D:$D)</f>
        <v>8.9800000000000001E-3</v>
      </c>
      <c r="E14" s="42"/>
    </row>
    <row r="15" spans="1:5">
      <c r="A15" s="3">
        <v>13</v>
      </c>
      <c r="B15" s="16" t="s">
        <v>48</v>
      </c>
      <c r="C15" s="3" t="s">
        <v>24</v>
      </c>
      <c r="D15" s="27">
        <f>_xlfn.XLOOKUP(B15, '[1]Bad Data'!$B:$B, '[1]Bad Data'!$D:$D)</f>
        <v>9.0000000000000006E-5</v>
      </c>
      <c r="E15" s="43"/>
    </row>
  </sheetData>
  <mergeCells count="2">
    <mergeCell ref="E3:E15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31</v>
      </c>
      <c r="B1" s="4" t="s">
        <v>32</v>
      </c>
      <c r="C1" s="4" t="s">
        <v>33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</row>
    <row r="2" spans="1:9">
      <c r="A2" s="3">
        <v>1</v>
      </c>
      <c r="B2" s="1" t="s">
        <v>57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58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59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60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61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62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63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64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65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66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67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68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69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70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71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72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73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74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75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76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77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78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79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80</v>
      </c>
      <c r="C25" s="3"/>
      <c r="D25" s="3"/>
      <c r="E25" s="3"/>
      <c r="F25" s="3"/>
      <c r="G25" s="3"/>
      <c r="H25" s="3"/>
      <c r="I25" s="3"/>
    </row>
    <row r="27" spans="1:9">
      <c r="B27" s="5" t="s">
        <v>81</v>
      </c>
    </row>
    <row r="28" spans="1:9">
      <c r="B28" s="5" t="s">
        <v>82</v>
      </c>
    </row>
    <row r="29" spans="1:9">
      <c r="B29" s="6" t="s">
        <v>83</v>
      </c>
    </row>
    <row r="31" spans="1:9">
      <c r="B31" t="s">
        <v>84</v>
      </c>
    </row>
    <row r="32" spans="1:9">
      <c r="B32" t="s">
        <v>85</v>
      </c>
    </row>
    <row r="33" spans="2:2">
      <c r="B33" t="s">
        <v>86</v>
      </c>
    </row>
    <row r="34" spans="2:2">
      <c r="B34" t="s">
        <v>87</v>
      </c>
    </row>
    <row r="35" spans="2:2">
      <c r="B35" t="s">
        <v>88</v>
      </c>
    </row>
    <row r="36" spans="2:2">
      <c r="B36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topLeftCell="A16" workbookViewId="0">
      <selection activeCell="B32" sqref="B32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46" t="s">
        <v>31</v>
      </c>
      <c r="B1" s="46" t="s">
        <v>32</v>
      </c>
      <c r="C1" s="46" t="s">
        <v>33</v>
      </c>
      <c r="D1" s="46" t="s">
        <v>90</v>
      </c>
      <c r="E1" s="46" t="s">
        <v>53</v>
      </c>
      <c r="F1" s="46" t="s">
        <v>56</v>
      </c>
    </row>
    <row r="2" spans="1:6" s="7" customFormat="1">
      <c r="A2" s="47"/>
      <c r="B2" s="47"/>
      <c r="C2" s="47"/>
      <c r="D2" s="47"/>
      <c r="E2" s="47"/>
      <c r="F2" s="47"/>
    </row>
    <row r="3" spans="1:6">
      <c r="A3" s="3"/>
      <c r="B3" s="1"/>
      <c r="C3" s="3"/>
      <c r="D3" s="3"/>
      <c r="E3" s="3"/>
      <c r="F3" s="3"/>
    </row>
    <row r="4" spans="1:6">
      <c r="A4" s="3"/>
      <c r="B4" s="1"/>
      <c r="C4" s="3"/>
      <c r="D4" s="3"/>
      <c r="E4" s="3"/>
      <c r="F4" s="3"/>
    </row>
    <row r="5" spans="1:6">
      <c r="A5" s="3"/>
      <c r="B5" s="1"/>
      <c r="C5" s="3"/>
      <c r="D5" s="3"/>
      <c r="E5" s="3"/>
      <c r="F5" s="3"/>
    </row>
    <row r="6" spans="1:6">
      <c r="A6" s="3"/>
      <c r="B6" s="1"/>
      <c r="C6" s="3"/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81</v>
      </c>
    </row>
    <row r="30" spans="1:6">
      <c r="B30" s="5" t="s">
        <v>82</v>
      </c>
    </row>
    <row r="31" spans="1:6">
      <c r="B31" s="6" t="s">
        <v>91</v>
      </c>
    </row>
    <row r="34" spans="2:2">
      <c r="B34" t="s">
        <v>84</v>
      </c>
    </row>
    <row r="35" spans="2:2">
      <c r="B35" t="s">
        <v>85</v>
      </c>
    </row>
    <row r="36" spans="2:2">
      <c r="B36" t="s">
        <v>86</v>
      </c>
    </row>
    <row r="37" spans="2:2">
      <c r="B37" t="s">
        <v>87</v>
      </c>
    </row>
    <row r="38" spans="2:2">
      <c r="B38" t="s">
        <v>92</v>
      </c>
    </row>
    <row r="39" spans="2:2">
      <c r="B39" t="s">
        <v>93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2AA8-060A-4780-BD18-0E07A056E31C}">
  <dimension ref="A1:H14"/>
  <sheetViews>
    <sheetView workbookViewId="0">
      <selection activeCell="C6" sqref="C6"/>
    </sheetView>
  </sheetViews>
  <sheetFormatPr defaultColWidth="8.85546875"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>
      <c r="A1" s="17" t="s">
        <v>31</v>
      </c>
      <c r="B1" s="17" t="s">
        <v>32</v>
      </c>
      <c r="C1" s="17" t="s">
        <v>33</v>
      </c>
      <c r="D1" s="17" t="s">
        <v>94</v>
      </c>
      <c r="E1" s="17" t="s">
        <v>94</v>
      </c>
      <c r="F1" s="17" t="s">
        <v>95</v>
      </c>
    </row>
    <row r="2" spans="1:8" ht="14.45" customHeight="1">
      <c r="A2" s="9">
        <v>1</v>
      </c>
      <c r="B2" s="18" t="s">
        <v>96</v>
      </c>
      <c r="C2" s="9" t="s">
        <v>24</v>
      </c>
      <c r="D2" s="19">
        <v>7.9455850930115632</v>
      </c>
      <c r="E2" s="48">
        <f>AVERAGE(D2:D14)</f>
        <v>8.0624775934919235</v>
      </c>
      <c r="F2" s="48" t="s">
        <v>97</v>
      </c>
      <c r="G2" s="20"/>
      <c r="H2" s="20"/>
    </row>
    <row r="3" spans="1:8" ht="14.45" customHeight="1">
      <c r="A3" s="9">
        <v>2</v>
      </c>
      <c r="B3" s="18" t="s">
        <v>98</v>
      </c>
      <c r="C3" s="9" t="s">
        <v>24</v>
      </c>
      <c r="D3" s="19">
        <v>6.9838203197945843</v>
      </c>
      <c r="E3" s="49"/>
      <c r="F3" s="49"/>
      <c r="G3" s="20"/>
      <c r="H3" s="20"/>
    </row>
    <row r="4" spans="1:8" ht="14.45" customHeight="1">
      <c r="A4" s="9">
        <v>3</v>
      </c>
      <c r="B4" s="18" t="s">
        <v>99</v>
      </c>
      <c r="C4" s="9" t="s">
        <v>24</v>
      </c>
      <c r="D4" s="19">
        <v>9.2381781045751641</v>
      </c>
      <c r="E4" s="49"/>
      <c r="F4" s="49"/>
      <c r="G4" s="20"/>
      <c r="H4" s="20"/>
    </row>
    <row r="5" spans="1:8" ht="14.45" customHeight="1">
      <c r="A5" s="9">
        <v>4</v>
      </c>
      <c r="B5" s="18" t="s">
        <v>100</v>
      </c>
      <c r="C5" s="9" t="s">
        <v>24</v>
      </c>
      <c r="D5" s="19">
        <v>8.1424090982546868</v>
      </c>
      <c r="E5" s="49"/>
      <c r="F5" s="49"/>
      <c r="G5" s="20"/>
      <c r="H5" s="20"/>
    </row>
    <row r="6" spans="1:8" ht="14.45" customHeight="1">
      <c r="A6" s="9">
        <v>5</v>
      </c>
      <c r="B6" s="18" t="s">
        <v>101</v>
      </c>
      <c r="C6" s="9" t="s">
        <v>24</v>
      </c>
      <c r="D6" s="19">
        <v>8.7393719026071963</v>
      </c>
      <c r="E6" s="49"/>
      <c r="F6" s="49"/>
      <c r="G6" s="20"/>
      <c r="H6" s="20"/>
    </row>
    <row r="7" spans="1:8" ht="14.45" customHeight="1">
      <c r="A7" s="9">
        <v>6</v>
      </c>
      <c r="B7" s="18" t="s">
        <v>102</v>
      </c>
      <c r="C7" s="9" t="s">
        <v>24</v>
      </c>
      <c r="D7" s="19">
        <v>8.1043818781073682</v>
      </c>
      <c r="E7" s="49"/>
      <c r="F7" s="49"/>
      <c r="G7" s="20"/>
      <c r="H7" s="20"/>
    </row>
    <row r="8" spans="1:8" ht="14.45" customHeight="1">
      <c r="A8" s="9">
        <v>7</v>
      </c>
      <c r="B8" s="18" t="s">
        <v>103</v>
      </c>
      <c r="C8" s="9" t="s">
        <v>24</v>
      </c>
      <c r="D8" s="19">
        <v>8.8788164368311424</v>
      </c>
      <c r="E8" s="49"/>
      <c r="F8" s="49"/>
      <c r="G8" s="20"/>
      <c r="H8" s="20"/>
    </row>
    <row r="9" spans="1:8" ht="14.45" customHeight="1">
      <c r="A9" s="9">
        <v>8</v>
      </c>
      <c r="B9" s="18" t="s">
        <v>104</v>
      </c>
      <c r="C9" s="9" t="s">
        <v>24</v>
      </c>
      <c r="D9" s="19">
        <v>8.2952004327371966</v>
      </c>
      <c r="E9" s="49"/>
      <c r="F9" s="49"/>
      <c r="G9" s="20"/>
      <c r="H9" s="20"/>
    </row>
    <row r="10" spans="1:8" ht="14.45" customHeight="1">
      <c r="A10" s="9">
        <v>9</v>
      </c>
      <c r="B10" s="18" t="s">
        <v>105</v>
      </c>
      <c r="C10" s="9" t="s">
        <v>24</v>
      </c>
      <c r="D10" s="19">
        <v>7.6711879174746818</v>
      </c>
      <c r="E10" s="49"/>
      <c r="F10" s="49"/>
      <c r="G10" s="20"/>
      <c r="H10" s="20"/>
    </row>
    <row r="11" spans="1:8" ht="14.45" customHeight="1">
      <c r="A11" s="9">
        <v>10</v>
      </c>
      <c r="B11" s="18" t="s">
        <v>106</v>
      </c>
      <c r="C11" s="9" t="s">
        <v>24</v>
      </c>
      <c r="D11" s="19">
        <v>6.4223743286488384</v>
      </c>
      <c r="E11" s="49"/>
      <c r="F11" s="49"/>
      <c r="G11" s="20"/>
      <c r="H11" s="20"/>
    </row>
    <row r="12" spans="1:8" ht="14.45" customHeight="1">
      <c r="A12" s="9">
        <v>11</v>
      </c>
      <c r="B12" s="18" t="s">
        <v>107</v>
      </c>
      <c r="C12" s="9" t="s">
        <v>24</v>
      </c>
      <c r="D12" s="19">
        <v>6.3610133636788051</v>
      </c>
      <c r="E12" s="49"/>
      <c r="F12" s="49"/>
      <c r="G12" s="20"/>
      <c r="H12" s="20"/>
    </row>
    <row r="13" spans="1:8" ht="14.45" customHeight="1">
      <c r="A13" s="9">
        <v>12</v>
      </c>
      <c r="B13" s="18" t="s">
        <v>108</v>
      </c>
      <c r="C13" s="9" t="s">
        <v>24</v>
      </c>
      <c r="D13" s="19">
        <v>9.4777113010446357</v>
      </c>
      <c r="E13" s="49"/>
      <c r="F13" s="49"/>
      <c r="G13" s="20"/>
      <c r="H13" s="20"/>
    </row>
    <row r="14" spans="1:8" ht="14.45" customHeight="1">
      <c r="A14" s="9">
        <v>13</v>
      </c>
      <c r="B14" s="18" t="s">
        <v>109</v>
      </c>
      <c r="C14" s="9" t="s">
        <v>24</v>
      </c>
      <c r="D14" s="19">
        <v>8.5521585386291257</v>
      </c>
      <c r="E14" s="50"/>
      <c r="F14" s="50"/>
      <c r="G14" s="20"/>
      <c r="H14" s="20"/>
    </row>
  </sheetData>
  <autoFilter ref="A1:D1" xr:uid="{FD9A7B95-F124-4CE6-993C-88740F8340E7}">
    <sortState xmlns:xlrd2="http://schemas.microsoft.com/office/spreadsheetml/2017/richdata2" ref="A2:D25">
      <sortCondition ref="B1"/>
    </sortState>
  </autoFilter>
  <mergeCells count="2">
    <mergeCell ref="E2:E14"/>
    <mergeCell ref="F2:F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0652-72E5-47A0-80BC-63EB3020A2F5}">
  <dimension ref="A1:H14"/>
  <sheetViews>
    <sheetView workbookViewId="0">
      <selection activeCell="D5" sqref="D5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17" t="s">
        <v>31</v>
      </c>
      <c r="B1" s="17" t="s">
        <v>32</v>
      </c>
      <c r="C1" s="17" t="s">
        <v>33</v>
      </c>
      <c r="D1" s="17" t="s">
        <v>110</v>
      </c>
      <c r="E1" s="17" t="s">
        <v>111</v>
      </c>
      <c r="F1" s="17" t="s">
        <v>112</v>
      </c>
    </row>
    <row r="2" spans="1:8" ht="14.45" customHeight="1">
      <c r="A2" s="9">
        <v>1</v>
      </c>
      <c r="B2" s="18" t="s">
        <v>96</v>
      </c>
      <c r="C2" s="9" t="s">
        <v>24</v>
      </c>
      <c r="D2" s="19">
        <v>4.5</v>
      </c>
      <c r="E2" s="48">
        <f>AVERAGE(D2:D14)</f>
        <v>4.5103973085377795</v>
      </c>
      <c r="F2" s="48" t="s">
        <v>113</v>
      </c>
      <c r="G2" s="20"/>
      <c r="H2" s="20"/>
    </row>
    <row r="3" spans="1:8" ht="14.45" customHeight="1">
      <c r="A3" s="9">
        <v>2</v>
      </c>
      <c r="B3" s="18" t="s">
        <v>98</v>
      </c>
      <c r="C3" s="9" t="s">
        <v>24</v>
      </c>
      <c r="D3" s="19">
        <v>4.6904157598234297</v>
      </c>
      <c r="E3" s="49"/>
      <c r="F3" s="49"/>
      <c r="G3" s="20"/>
      <c r="H3" s="20"/>
    </row>
    <row r="4" spans="1:8" ht="14.45" customHeight="1">
      <c r="A4" s="9">
        <v>3</v>
      </c>
      <c r="B4" s="18" t="s">
        <v>99</v>
      </c>
      <c r="C4" s="9" t="s">
        <v>24</v>
      </c>
      <c r="D4" s="19">
        <v>3.9686269665968861</v>
      </c>
      <c r="E4" s="49"/>
      <c r="F4" s="49"/>
      <c r="G4" s="20"/>
      <c r="H4" s="20"/>
    </row>
    <row r="5" spans="1:8" ht="14.45" customHeight="1">
      <c r="A5" s="9">
        <v>4</v>
      </c>
      <c r="B5" s="18" t="s">
        <v>100</v>
      </c>
      <c r="C5" s="9" t="s">
        <v>24</v>
      </c>
      <c r="D5" s="19">
        <v>4.3874821936960613</v>
      </c>
      <c r="E5" s="49"/>
      <c r="F5" s="49"/>
      <c r="G5" s="20"/>
      <c r="H5" s="20"/>
    </row>
    <row r="6" spans="1:8" ht="14.45" customHeight="1">
      <c r="A6" s="9">
        <v>5</v>
      </c>
      <c r="B6" s="18" t="s">
        <v>101</v>
      </c>
      <c r="C6" s="9" t="s">
        <v>24</v>
      </c>
      <c r="D6" s="19">
        <v>4.9749371855330997</v>
      </c>
      <c r="E6" s="49"/>
      <c r="F6" s="49"/>
      <c r="G6" s="20"/>
      <c r="H6" s="20"/>
    </row>
    <row r="7" spans="1:8" ht="14.45" customHeight="1">
      <c r="A7" s="9">
        <v>6</v>
      </c>
      <c r="B7" s="18" t="s">
        <v>102</v>
      </c>
      <c r="C7" s="9" t="s">
        <v>24</v>
      </c>
      <c r="D7" s="19">
        <v>4.5825756949558398</v>
      </c>
      <c r="E7" s="49"/>
      <c r="F7" s="49"/>
      <c r="G7" s="20"/>
      <c r="H7" s="20"/>
    </row>
    <row r="8" spans="1:8" ht="14.45" customHeight="1">
      <c r="A8" s="9">
        <v>7</v>
      </c>
      <c r="B8" s="18" t="s">
        <v>103</v>
      </c>
      <c r="C8" s="9" t="s">
        <v>24</v>
      </c>
      <c r="D8" s="19">
        <v>4.8989794855663558</v>
      </c>
      <c r="E8" s="49"/>
      <c r="F8" s="49"/>
      <c r="G8" s="20"/>
      <c r="H8" s="20"/>
    </row>
    <row r="9" spans="1:8" ht="14.45" customHeight="1">
      <c r="A9" s="9">
        <v>8</v>
      </c>
      <c r="B9" s="18" t="s">
        <v>104</v>
      </c>
      <c r="C9" s="9" t="s">
        <v>24</v>
      </c>
      <c r="D9" s="19">
        <v>4.7696960070847281</v>
      </c>
      <c r="E9" s="49"/>
      <c r="F9" s="49"/>
      <c r="G9" s="20"/>
      <c r="H9" s="20"/>
    </row>
    <row r="10" spans="1:8" ht="14.45" customHeight="1">
      <c r="A10" s="9">
        <v>9</v>
      </c>
      <c r="B10" s="18" t="s">
        <v>105</v>
      </c>
      <c r="C10" s="9" t="s">
        <v>24</v>
      </c>
      <c r="D10" s="19">
        <v>4.7434164902525691</v>
      </c>
      <c r="E10" s="49"/>
      <c r="F10" s="49"/>
      <c r="G10" s="20"/>
      <c r="H10" s="20"/>
    </row>
    <row r="11" spans="1:8" ht="14.45" customHeight="1">
      <c r="A11" s="9">
        <v>10</v>
      </c>
      <c r="B11" s="18" t="s">
        <v>106</v>
      </c>
      <c r="C11" s="9" t="s">
        <v>24</v>
      </c>
      <c r="D11" s="19">
        <v>4.1833001326703778</v>
      </c>
      <c r="E11" s="49"/>
      <c r="F11" s="49"/>
      <c r="G11" s="20"/>
      <c r="H11" s="20"/>
    </row>
    <row r="12" spans="1:8" ht="14.45" customHeight="1">
      <c r="A12" s="9">
        <v>11</v>
      </c>
      <c r="B12" s="18" t="s">
        <v>107</v>
      </c>
      <c r="C12" s="9" t="s">
        <v>24</v>
      </c>
      <c r="D12" s="19">
        <v>4.1833001326703778</v>
      </c>
      <c r="E12" s="49"/>
      <c r="F12" s="49"/>
      <c r="G12" s="20"/>
      <c r="H12" s="20"/>
    </row>
    <row r="13" spans="1:8" ht="14.45" customHeight="1">
      <c r="A13" s="9">
        <v>12</v>
      </c>
      <c r="B13" s="18" t="s">
        <v>108</v>
      </c>
      <c r="C13" s="9" t="s">
        <v>24</v>
      </c>
      <c r="D13" s="19">
        <v>4.6904157598234297</v>
      </c>
      <c r="E13" s="49"/>
      <c r="F13" s="49"/>
      <c r="G13" s="20"/>
      <c r="H13" s="20"/>
    </row>
    <row r="14" spans="1:8" ht="14.45" customHeight="1">
      <c r="A14" s="9">
        <v>13</v>
      </c>
      <c r="B14" s="18" t="s">
        <v>109</v>
      </c>
      <c r="C14" s="9" t="s">
        <v>24</v>
      </c>
      <c r="D14" s="19">
        <v>4.0620192023179804</v>
      </c>
      <c r="E14" s="50"/>
      <c r="F14" s="50"/>
      <c r="G14" s="20"/>
      <c r="H14" s="20"/>
    </row>
  </sheetData>
  <autoFilter ref="A1:D1" xr:uid="{F294EAD7-2207-4EA2-A633-F6E085B1F34F}">
    <sortState xmlns:xlrd2="http://schemas.microsoft.com/office/spreadsheetml/2017/richdata2" ref="A2:D25">
      <sortCondition ref="B1"/>
    </sortState>
  </autoFilter>
  <mergeCells count="2">
    <mergeCell ref="E2:E14"/>
    <mergeCell ref="F2:F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B329-301B-4634-8D1C-1BA9DD74A147}">
  <dimension ref="A1:H14"/>
  <sheetViews>
    <sheetView workbookViewId="0">
      <selection activeCell="D7" sqref="D7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17" t="s">
        <v>31</v>
      </c>
      <c r="B1" s="17" t="s">
        <v>32</v>
      </c>
      <c r="C1" s="17" t="s">
        <v>33</v>
      </c>
      <c r="D1" s="17" t="s">
        <v>114</v>
      </c>
      <c r="E1" s="17" t="s">
        <v>115</v>
      </c>
      <c r="F1" s="17" t="s">
        <v>116</v>
      </c>
    </row>
    <row r="2" spans="1:8" ht="14.45" customHeight="1">
      <c r="A2" s="9">
        <v>1</v>
      </c>
      <c r="B2" s="18" t="s">
        <v>96</v>
      </c>
      <c r="C2" s="9" t="s">
        <v>24</v>
      </c>
      <c r="D2" s="21">
        <v>7.625</v>
      </c>
      <c r="E2" s="48">
        <f>AVERAGE(D2:D14)</f>
        <v>7.4807692307692308</v>
      </c>
      <c r="F2" s="48" t="s">
        <v>117</v>
      </c>
      <c r="G2" s="20"/>
      <c r="H2" s="20"/>
    </row>
    <row r="3" spans="1:8" ht="14.45" customHeight="1">
      <c r="A3" s="9">
        <v>2</v>
      </c>
      <c r="B3" s="18" t="s">
        <v>98</v>
      </c>
      <c r="C3" s="9" t="s">
        <v>24</v>
      </c>
      <c r="D3" s="21">
        <v>6.625</v>
      </c>
      <c r="E3" s="49"/>
      <c r="F3" s="49"/>
      <c r="G3" s="20"/>
      <c r="H3" s="20"/>
    </row>
    <row r="4" spans="1:8" ht="14.45" customHeight="1">
      <c r="A4" s="9">
        <v>3</v>
      </c>
      <c r="B4" s="18" t="s">
        <v>99</v>
      </c>
      <c r="C4" s="9" t="s">
        <v>24</v>
      </c>
      <c r="D4" s="21">
        <v>8.125</v>
      </c>
      <c r="E4" s="49"/>
      <c r="F4" s="49"/>
      <c r="G4" s="20"/>
      <c r="H4" s="20"/>
    </row>
    <row r="5" spans="1:8" ht="14.45" customHeight="1">
      <c r="A5" s="9">
        <v>4</v>
      </c>
      <c r="B5" s="18" t="s">
        <v>100</v>
      </c>
      <c r="C5" s="9" t="s">
        <v>24</v>
      </c>
      <c r="D5" s="21">
        <v>8.125</v>
      </c>
      <c r="E5" s="49"/>
      <c r="F5" s="49"/>
      <c r="G5" s="20"/>
      <c r="H5" s="20"/>
    </row>
    <row r="6" spans="1:8" ht="14.45" customHeight="1">
      <c r="A6" s="9">
        <v>5</v>
      </c>
      <c r="B6" s="18" t="s">
        <v>101</v>
      </c>
      <c r="C6" s="9" t="s">
        <v>24</v>
      </c>
      <c r="D6" s="21">
        <v>6.625</v>
      </c>
      <c r="E6" s="49"/>
      <c r="F6" s="49"/>
      <c r="G6" s="20"/>
      <c r="H6" s="20"/>
    </row>
    <row r="7" spans="1:8" ht="14.45" customHeight="1">
      <c r="A7" s="9">
        <v>6</v>
      </c>
      <c r="B7" s="18" t="s">
        <v>102</v>
      </c>
      <c r="C7" s="9" t="s">
        <v>24</v>
      </c>
      <c r="D7" s="21">
        <v>8.125</v>
      </c>
      <c r="E7" s="49"/>
      <c r="F7" s="49"/>
      <c r="G7" s="20"/>
      <c r="H7" s="20"/>
    </row>
    <row r="8" spans="1:8" ht="14.45" customHeight="1">
      <c r="A8" s="9">
        <v>7</v>
      </c>
      <c r="B8" s="18" t="s">
        <v>103</v>
      </c>
      <c r="C8" s="9" t="s">
        <v>24</v>
      </c>
      <c r="D8" s="21">
        <v>7.125</v>
      </c>
      <c r="E8" s="49"/>
      <c r="F8" s="49"/>
      <c r="G8" s="20"/>
      <c r="H8" s="20"/>
    </row>
    <row r="9" spans="1:8" ht="14.45" customHeight="1">
      <c r="A9" s="9">
        <v>8</v>
      </c>
      <c r="B9" s="18" t="s">
        <v>104</v>
      </c>
      <c r="C9" s="9" t="s">
        <v>24</v>
      </c>
      <c r="D9" s="21">
        <v>7.125</v>
      </c>
      <c r="E9" s="49"/>
      <c r="F9" s="49"/>
      <c r="G9" s="20"/>
      <c r="H9" s="20"/>
    </row>
    <row r="10" spans="1:8" ht="14.45" customHeight="1">
      <c r="A10" s="9">
        <v>9</v>
      </c>
      <c r="B10" s="18" t="s">
        <v>105</v>
      </c>
      <c r="C10" s="9" t="s">
        <v>24</v>
      </c>
      <c r="D10" s="21">
        <v>8.125</v>
      </c>
      <c r="E10" s="49"/>
      <c r="F10" s="49"/>
      <c r="G10" s="20"/>
      <c r="H10" s="20"/>
    </row>
    <row r="11" spans="1:8" ht="14.45" customHeight="1">
      <c r="A11" s="9">
        <v>10</v>
      </c>
      <c r="B11" s="18" t="s">
        <v>106</v>
      </c>
      <c r="C11" s="9" t="s">
        <v>24</v>
      </c>
      <c r="D11" s="21">
        <v>7.625</v>
      </c>
      <c r="E11" s="49"/>
      <c r="F11" s="49"/>
      <c r="G11" s="20"/>
      <c r="H11" s="20"/>
    </row>
    <row r="12" spans="1:8" ht="14.45" customHeight="1">
      <c r="A12" s="9">
        <v>11</v>
      </c>
      <c r="B12" s="18" t="s">
        <v>107</v>
      </c>
      <c r="C12" s="9" t="s">
        <v>24</v>
      </c>
      <c r="D12" s="21">
        <v>8.125</v>
      </c>
      <c r="E12" s="49"/>
      <c r="F12" s="49"/>
      <c r="G12" s="20"/>
      <c r="H12" s="20"/>
    </row>
    <row r="13" spans="1:8" ht="14.45" customHeight="1">
      <c r="A13" s="9">
        <v>12</v>
      </c>
      <c r="B13" s="18" t="s">
        <v>108</v>
      </c>
      <c r="C13" s="9" t="s">
        <v>24</v>
      </c>
      <c r="D13" s="21">
        <v>6.75</v>
      </c>
      <c r="E13" s="49"/>
      <c r="F13" s="49"/>
      <c r="G13" s="20"/>
      <c r="H13" s="20"/>
    </row>
    <row r="14" spans="1:8" ht="14.45" customHeight="1">
      <c r="A14" s="9">
        <v>13</v>
      </c>
      <c r="B14" s="18" t="s">
        <v>109</v>
      </c>
      <c r="C14" s="9" t="s">
        <v>24</v>
      </c>
      <c r="D14" s="21">
        <v>7.125</v>
      </c>
      <c r="E14" s="50"/>
      <c r="F14" s="50"/>
      <c r="G14" s="20"/>
      <c r="H14" s="20"/>
    </row>
  </sheetData>
  <autoFilter ref="A1:D1" xr:uid="{6981F627-9C8A-440F-9117-C65AEBF04DD7}">
    <sortState xmlns:xlrd2="http://schemas.microsoft.com/office/spreadsheetml/2017/richdata2" ref="A2:D25">
      <sortCondition ref="B1"/>
    </sortState>
  </autoFilter>
  <mergeCells count="2">
    <mergeCell ref="E2:E14"/>
    <mergeCell ref="F2:F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DDED-9868-4B6E-A499-740D15E634EE}">
  <dimension ref="A2:L15"/>
  <sheetViews>
    <sheetView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53" t="s">
        <v>118</v>
      </c>
      <c r="B2" s="53" t="s">
        <v>119</v>
      </c>
      <c r="C2" s="54" t="s">
        <v>24</v>
      </c>
      <c r="D2" s="54"/>
      <c r="E2" s="54"/>
    </row>
    <row r="3" spans="1:12">
      <c r="A3" s="53"/>
      <c r="B3" s="53"/>
      <c r="C3" s="29" t="s">
        <v>120</v>
      </c>
      <c r="D3" s="29" t="s">
        <v>121</v>
      </c>
      <c r="E3" s="29" t="s">
        <v>122</v>
      </c>
    </row>
    <row r="4" spans="1:12">
      <c r="A4" s="30">
        <v>1</v>
      </c>
      <c r="B4" s="31" t="s">
        <v>123</v>
      </c>
      <c r="C4" s="32">
        <f>IFERROR(COUNTIFS(STR!$V:$V, Overview!C$2, STR!$X:$X, "TRUE")/COUNTIFS(STR!$V:$V, Overview!C2), 0)</f>
        <v>0.38461538461538464</v>
      </c>
      <c r="D4" s="33">
        <v>0.15</v>
      </c>
      <c r="E4" s="32">
        <f>D4*C4</f>
        <v>5.7692307692307696E-2</v>
      </c>
    </row>
    <row r="5" spans="1:12">
      <c r="A5" s="30">
        <v>2</v>
      </c>
      <c r="B5" s="31" t="s">
        <v>124</v>
      </c>
      <c r="C5" s="32">
        <f>1-AVERAGEIF('Bad Data'!$C:$C, Overview!C$2, 'Bad Data'!$D:$D)</f>
        <v>0.99799153846153843</v>
      </c>
      <c r="D5" s="33">
        <v>0.1</v>
      </c>
      <c r="E5" s="32">
        <f t="shared" ref="E5:E14" si="0">D5*C5</f>
        <v>9.9799153846153843E-2</v>
      </c>
    </row>
    <row r="6" spans="1:12">
      <c r="A6" s="30">
        <v>3</v>
      </c>
      <c r="B6" s="31" t="s">
        <v>125</v>
      </c>
      <c r="C6" s="32">
        <f>AVERAGEIF('Pengkinian Data'!$C:$C, Overview!C$2, 'Pengkinian Data'!$D:$D)</f>
        <v>0.99578461538461538</v>
      </c>
      <c r="D6" s="33">
        <v>0.1</v>
      </c>
      <c r="E6" s="32">
        <f t="shared" si="0"/>
        <v>9.9578461538461546E-2</v>
      </c>
      <c r="L6" t="s">
        <v>25</v>
      </c>
    </row>
    <row r="7" spans="1:12">
      <c r="A7" s="30">
        <v>4</v>
      </c>
      <c r="B7" s="31" t="s">
        <v>126</v>
      </c>
      <c r="C7" s="32" cm="1">
        <f t="array" ref="C7">IFERROR(SUMPRODUCT(--('[3]Uji Petik'!$E$3:$E$73&lt;&gt;""), --('[3]Uji Petik'!$C$3:$C$73=C2)) / SUMPRODUCT(--('[3]Uji Petik'!$C$3:$C$73=C2)), 0)</f>
        <v>0</v>
      </c>
      <c r="D7" s="33">
        <v>0</v>
      </c>
      <c r="E7" s="32">
        <f t="shared" si="0"/>
        <v>0</v>
      </c>
    </row>
    <row r="8" spans="1:12">
      <c r="A8" s="30">
        <v>5</v>
      </c>
      <c r="B8" s="31" t="s">
        <v>127</v>
      </c>
      <c r="C8" s="34" cm="1">
        <f t="array" ref="C8">IFERROR(AVERAGE(IF([1]Sosialisasi!$C$1:$C$10000=C2, [1]Sosialisasi!$D$1:$D$10000)), 0)</f>
        <v>0.15384615384615385</v>
      </c>
      <c r="D8" s="33">
        <v>0.15</v>
      </c>
      <c r="E8" s="32">
        <f t="shared" si="0"/>
        <v>2.3076923076923078E-2</v>
      </c>
    </row>
    <row r="9" spans="1:12">
      <c r="A9" s="30">
        <v>6</v>
      </c>
      <c r="B9" s="31" t="s">
        <v>128</v>
      </c>
      <c r="C9" s="32">
        <f>AVERAGEIF('EDD PEP PPATK'!$C:$C, Overview!C$2, 'EDD PEP PPATK'!$D:$D)</f>
        <v>0.97698246683574119</v>
      </c>
      <c r="D9" s="33">
        <v>0.1</v>
      </c>
      <c r="E9" s="32">
        <f t="shared" si="0"/>
        <v>9.769824668357413E-2</v>
      </c>
    </row>
    <row r="10" spans="1:12">
      <c r="A10" s="30">
        <v>7</v>
      </c>
      <c r="B10" s="31" t="s">
        <v>129</v>
      </c>
      <c r="C10" s="32" cm="1">
        <f t="array" ref="C10">IF(IFERROR(AVERAGE(IF('[1]Sheet2 (2)'!$C$1:$C$10000=C$2, '[1]Sheet2 (2)'!$D$1:$D$10000)), 0)&gt;0.9, 1, IFERROR(AVERAGE(IF('[1]Sheet2 (2)'!$C$1:$C$10000=C$2, '[1]Sheet2 (2)'!$D$1:$D$10000)), 0))</f>
        <v>0.87977143533121072</v>
      </c>
      <c r="D10" s="33">
        <v>0.05</v>
      </c>
      <c r="E10" s="32">
        <f t="shared" si="0"/>
        <v>4.3988571766560541E-2</v>
      </c>
    </row>
    <row r="11" spans="1:12">
      <c r="A11" s="30">
        <v>8</v>
      </c>
      <c r="B11" s="31" t="s">
        <v>130</v>
      </c>
      <c r="C11" s="32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33">
        <v>0.05</v>
      </c>
      <c r="E11" s="32">
        <f t="shared" si="0"/>
        <v>0.05</v>
      </c>
    </row>
    <row r="12" spans="1:12">
      <c r="A12" s="30">
        <v>9</v>
      </c>
      <c r="B12" s="31" t="s">
        <v>131</v>
      </c>
      <c r="C12" s="32">
        <f>IF(AVERAGEIF('Nilai Maturitas'!$C:$C, Overview!C2, 'Nilai Maturitas'!$D:$D) &gt; 8, 110%, AVERAGEIF('Nilai Maturitas'!$C:$C, Overview!C2, 'Nilai Maturitas'!$D:$D)/8*100%)</f>
        <v>1.1000000000000001</v>
      </c>
      <c r="D12" s="33">
        <v>0.1</v>
      </c>
      <c r="E12" s="32">
        <f t="shared" si="0"/>
        <v>0.11000000000000001</v>
      </c>
    </row>
    <row r="13" spans="1:12">
      <c r="A13" s="30">
        <v>10</v>
      </c>
      <c r="B13" s="31" t="s">
        <v>132</v>
      </c>
      <c r="C13" s="32">
        <f>IF(AVERAGEIF('Maturitas Dashboard'!$C:$C, Overview!C$2, 'Maturitas Dashboard'!$D:$D) &gt; 8, 110%, AVERAGEIF('Maturitas Dashboard'!$C:$C, Overview!C$2, 'Maturitas Dashboard'!$D:$D)/8*100%)</f>
        <v>0.93509615384615385</v>
      </c>
      <c r="D13" s="33">
        <v>0.1</v>
      </c>
      <c r="E13" s="32">
        <f t="shared" si="0"/>
        <v>9.3509615384615385E-2</v>
      </c>
    </row>
    <row r="14" spans="1:12">
      <c r="A14" s="35">
        <v>11</v>
      </c>
      <c r="B14" s="36" t="s">
        <v>133</v>
      </c>
      <c r="C14" s="37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38">
        <v>0.1</v>
      </c>
      <c r="E14" s="37">
        <f t="shared" si="0"/>
        <v>0.11000000000000001</v>
      </c>
    </row>
    <row r="15" spans="1:12">
      <c r="A15" s="39"/>
      <c r="B15" s="39"/>
      <c r="C15" s="51" t="s">
        <v>134</v>
      </c>
      <c r="D15" s="52"/>
      <c r="E15" s="40">
        <f>SUM(E4:E14)</f>
        <v>0.78534327998859632</v>
      </c>
    </row>
  </sheetData>
  <mergeCells count="4">
    <mergeCell ref="C15:D15"/>
    <mergeCell ref="A2:A3"/>
    <mergeCell ref="B2:B3"/>
    <mergeCell ref="C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35DA-A7EB-4784-AFA7-3E9169695B7F}">
  <dimension ref="A2:L15"/>
  <sheetViews>
    <sheetView tabSelected="1"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53" t="s">
        <v>118</v>
      </c>
      <c r="B2" s="53" t="s">
        <v>119</v>
      </c>
      <c r="C2" s="54" t="s">
        <v>24</v>
      </c>
      <c r="D2" s="54"/>
      <c r="E2" s="54"/>
    </row>
    <row r="3" spans="1:12">
      <c r="A3" s="53"/>
      <c r="B3" s="53"/>
      <c r="C3" s="29" t="s">
        <v>120</v>
      </c>
      <c r="D3" s="29" t="s">
        <v>121</v>
      </c>
      <c r="E3" s="29" t="s">
        <v>122</v>
      </c>
    </row>
    <row r="4" spans="1:12">
      <c r="A4" s="30">
        <v>1</v>
      </c>
      <c r="B4" s="31" t="s">
        <v>123</v>
      </c>
      <c r="C4" s="32">
        <f>IFERROR(COUNTIFS(STR!$V:$V, 'Overview tanpa KPI'!C$2, STR!$X:$X, "TRUE")/COUNTIFS(STR!$V:$V, 'Overview tanpa KPI'!C2), 0)</f>
        <v>0.38461538461538464</v>
      </c>
      <c r="D4" s="33">
        <v>0.15</v>
      </c>
      <c r="E4" s="32">
        <f>D4*C4</f>
        <v>5.7692307692307696E-2</v>
      </c>
    </row>
    <row r="5" spans="1:12">
      <c r="A5" s="30">
        <v>2</v>
      </c>
      <c r="B5" s="31" t="s">
        <v>124</v>
      </c>
      <c r="C5" s="32">
        <f>1-AVERAGEIF('Bad Data'!$C:$C, 'Overview tanpa KPI'!C$2, 'Bad Data'!$D:$D)</f>
        <v>0.99799153846153843</v>
      </c>
      <c r="D5" s="33">
        <v>0.1</v>
      </c>
      <c r="E5" s="32">
        <f t="shared" ref="E5:E14" si="0">D5*C5</f>
        <v>9.9799153846153843E-2</v>
      </c>
    </row>
    <row r="6" spans="1:12">
      <c r="A6" s="30">
        <v>3</v>
      </c>
      <c r="B6" s="31" t="s">
        <v>125</v>
      </c>
      <c r="C6" s="32">
        <f>AVERAGEIF('Pengkinian Data'!$C:$C, 'Overview tanpa KPI'!C$2, 'Pengkinian Data'!$D:$D)</f>
        <v>0.99578461538461538</v>
      </c>
      <c r="D6" s="33">
        <v>0.1</v>
      </c>
      <c r="E6" s="32">
        <f t="shared" si="0"/>
        <v>9.9578461538461546E-2</v>
      </c>
      <c r="L6" t="s">
        <v>25</v>
      </c>
    </row>
    <row r="7" spans="1:12">
      <c r="A7" s="30">
        <v>4</v>
      </c>
      <c r="B7" s="31" t="s">
        <v>126</v>
      </c>
      <c r="C7" s="32" cm="1">
        <f t="array" ref="C7">IFERROR(SUMPRODUCT(--('[3]Uji Petik'!$E$3:$E$73&lt;&gt;""), --('[3]Uji Petik'!$C$3:$C$73=C2)) / SUMPRODUCT(--('[3]Uji Petik'!$C$3:$C$73=C2)), 0)</f>
        <v>0</v>
      </c>
      <c r="D7" s="33">
        <v>0</v>
      </c>
      <c r="E7" s="32">
        <f t="shared" si="0"/>
        <v>0</v>
      </c>
    </row>
    <row r="8" spans="1:12">
      <c r="A8" s="30">
        <v>5</v>
      </c>
      <c r="B8" s="31" t="s">
        <v>127</v>
      </c>
      <c r="C8" s="34" cm="1">
        <f t="array" ref="C8">IFERROR(AVERAGE(IF([1]Sosialisasi!$C$1:$C$10000=C2, [1]Sosialisasi!$D$1:$D$10000)), 0)</f>
        <v>0.15384615384615385</v>
      </c>
      <c r="D8" s="33">
        <v>0.15</v>
      </c>
      <c r="E8" s="32">
        <f t="shared" si="0"/>
        <v>2.3076923076923078E-2</v>
      </c>
    </row>
    <row r="9" spans="1:12">
      <c r="A9" s="30">
        <v>6</v>
      </c>
      <c r="B9" s="31" t="s">
        <v>128</v>
      </c>
      <c r="C9" s="32">
        <f>AVERAGEIF('EDD PEP PPATK'!$C:$C, 'Overview tanpa KPI'!C$2, 'EDD PEP PPATK'!$D:$D)</f>
        <v>0.97698246683574119</v>
      </c>
      <c r="D9" s="33">
        <v>0.1</v>
      </c>
      <c r="E9" s="32">
        <f t="shared" si="0"/>
        <v>9.769824668357413E-2</v>
      </c>
    </row>
    <row r="10" spans="1:12">
      <c r="A10" s="30">
        <v>7</v>
      </c>
      <c r="B10" s="31" t="s">
        <v>129</v>
      </c>
      <c r="C10" s="32" cm="1">
        <f t="array" ref="C10">IFERROR(AVERAGE(IF('[1]Sheet2 (2)'!$C$1:$C$10000=C$2, '[1]Sheet2 (2)'!$D$1:$D$10000)), 0)</f>
        <v>0.87977143533121072</v>
      </c>
      <c r="D10" s="33">
        <v>0.05</v>
      </c>
      <c r="E10" s="32">
        <f t="shared" si="0"/>
        <v>4.3988571766560541E-2</v>
      </c>
    </row>
    <row r="11" spans="1:12">
      <c r="A11" s="30">
        <v>8</v>
      </c>
      <c r="B11" s="31" t="s">
        <v>130</v>
      </c>
      <c r="C11" s="32" cm="1">
        <f t="array" ref="C11">IFERROR(AVERAGE(IF('[1]Sheet2 (3)'!$C$1:$C$10000=C2, '[1]Sheet2 (3)'!$D$1:$D$10000)), 0)</f>
        <v>97.624050183846151</v>
      </c>
      <c r="D11" s="33">
        <v>0.05</v>
      </c>
      <c r="E11" s="32">
        <f t="shared" si="0"/>
        <v>4.8812025091923079</v>
      </c>
    </row>
    <row r="12" spans="1:12">
      <c r="A12" s="30">
        <v>9</v>
      </c>
      <c r="B12" s="31" t="s">
        <v>131</v>
      </c>
      <c r="C12" s="32">
        <f>AVERAGEIF('Nilai Maturitas'!$C:$C, 'Overview tanpa KPI'!C2, 'Nilai Maturitas'!$D:$D)</f>
        <v>8.0624775934919235</v>
      </c>
      <c r="D12" s="33">
        <v>0.1</v>
      </c>
      <c r="E12" s="32">
        <f t="shared" si="0"/>
        <v>0.80624775934919235</v>
      </c>
    </row>
    <row r="13" spans="1:12">
      <c r="A13" s="30">
        <v>10</v>
      </c>
      <c r="B13" s="31" t="s">
        <v>132</v>
      </c>
      <c r="C13" s="32">
        <f>AVERAGEIF('Maturitas Dashboard'!$C:$C, 'Overview tanpa KPI'!C$2, 'Maturitas Dashboard'!$D:$D)</f>
        <v>7.4807692307692308</v>
      </c>
      <c r="D13" s="33">
        <v>0.1</v>
      </c>
      <c r="E13" s="32">
        <f t="shared" si="0"/>
        <v>0.74807692307692308</v>
      </c>
    </row>
    <row r="14" spans="1:12">
      <c r="A14" s="35">
        <v>11</v>
      </c>
      <c r="B14" s="36" t="s">
        <v>133</v>
      </c>
      <c r="C14" s="37">
        <f>AVERAGEIF('Penilaian Resiko'!$C:$C, 'Overview tanpa KPI'!C$2, 'Penilaian Resiko'!$D:$D)</f>
        <v>4.5103973085377795</v>
      </c>
      <c r="D14" s="38">
        <v>0.1</v>
      </c>
      <c r="E14" s="37">
        <f t="shared" si="0"/>
        <v>0.45103973085377796</v>
      </c>
    </row>
    <row r="15" spans="1:12">
      <c r="A15" s="39"/>
      <c r="B15" s="39"/>
      <c r="C15" s="51" t="s">
        <v>134</v>
      </c>
      <c r="D15" s="52"/>
      <c r="E15" s="40">
        <f>SUM(E4:E14)</f>
        <v>7.308400587076183</v>
      </c>
    </row>
  </sheetData>
  <mergeCells count="4">
    <mergeCell ref="A2:A3"/>
    <mergeCell ref="B2:B3"/>
    <mergeCell ref="C2:E2"/>
    <mergeCell ref="C15:D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2026-09-29T03:12:38Z</dcterms:modified>
  <cp:category/>
  <cp:contentStatus/>
</cp:coreProperties>
</file>