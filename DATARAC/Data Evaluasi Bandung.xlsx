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471" documentId="8_{CBB978E0-DA6C-437E-96CC-89A4C9D131CC}" xr6:coauthVersionLast="47" xr6:coauthVersionMax="47" xr10:uidLastSave="{24808AD0-C64B-4DA6-80A2-E83E33DC8C6C}"/>
  <bookViews>
    <workbookView xWindow="-108" yWindow="-108" windowWidth="23256" windowHeight="12456" firstSheet="10" activeTab="10" xr2:uid="{28B6D053-1D7F-4EEF-8978-633F77751EF4}"/>
  </bookViews>
  <sheets>
    <sheet name="STR" sheetId="5" r:id="rId1"/>
    <sheet name="EDD PEP PPATK" sheetId="1" r:id="rId2"/>
    <sheet name="Sosialisasi" sheetId="3" state="hidden" r:id="rId3"/>
    <sheet name="Bad Data" sheetId="10" r:id="rId4"/>
    <sheet name="Pengkinian Data" sheetId="9" r:id="rId5"/>
    <sheet name="Uji Petik" sheetId="4" r:id="rId6"/>
    <sheet name="Maturitas Dashboard" sheetId="8" r:id="rId7"/>
    <sheet name="Penilaian Resiko" sheetId="7" r:id="rId8"/>
    <sheet name="Nilai Maturitas" sheetId="6" r:id="rId9"/>
    <sheet name="Overview" sheetId="11" r:id="rId10"/>
    <sheet name="Overview tanpa KPI" sheetId="12" r:id="rId11"/>
  </sheets>
  <externalReferences>
    <externalReference r:id="rId12"/>
    <externalReference r:id="rId13"/>
    <externalReference r:id="rId14"/>
  </externalReferences>
  <definedNames>
    <definedName name="_xlnm._FilterDatabase" localSheetId="3" hidden="1">'Bad Data'!$A$2:$D$2</definedName>
    <definedName name="_xlnm._FilterDatabase" localSheetId="4" hidden="1">'Pengkinian Data'!$A$2:$D$2</definedName>
    <definedName name="_xlnm._FilterDatabase" localSheetId="1" hidden="1">'EDD PEP PPATK'!$B$2:$D$2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7" i="12" l="1" a="1"/>
  <c r="F7" i="12" s="1"/>
  <c r="C7" i="12" a="1"/>
  <c r="C7" i="12" s="1"/>
  <c r="F7" i="11" a="1"/>
  <c r="F7" i="11" s="1"/>
  <c r="C7" i="11" a="1"/>
  <c r="C7" i="1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C9" i="11"/>
  <c r="E9" i="11" s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" i="10"/>
  <c r="D3" i="9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2" i="5"/>
  <c r="D9" i="9"/>
  <c r="D4" i="9"/>
  <c r="D5" i="9"/>
  <c r="D6" i="9"/>
  <c r="D7" i="9"/>
  <c r="D8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2" i="5"/>
  <c r="F11" i="11" a="1"/>
  <c r="F11" i="11" s="1"/>
  <c r="H11" i="11" s="1"/>
  <c r="C12" i="12"/>
  <c r="F12" i="12"/>
  <c r="C13" i="12"/>
  <c r="F13" i="12"/>
  <c r="C14" i="12"/>
  <c r="F14" i="12"/>
  <c r="C4" i="12"/>
  <c r="F4" i="12"/>
  <c r="C5" i="12"/>
  <c r="F5" i="12"/>
  <c r="C9" i="12"/>
  <c r="F9" i="12"/>
  <c r="H9" i="12" s="1"/>
  <c r="H14" i="12"/>
  <c r="E14" i="12"/>
  <c r="H13" i="12"/>
  <c r="E13" i="12"/>
  <c r="H12" i="12"/>
  <c r="E12" i="12"/>
  <c r="F11" i="12" a="1"/>
  <c r="F11" i="12" s="1"/>
  <c r="H11" i="12" s="1"/>
  <c r="C11" i="12" a="1"/>
  <c r="C11" i="12" s="1"/>
  <c r="E11" i="12" s="1"/>
  <c r="F10" i="12" a="1"/>
  <c r="F10" i="12" s="1"/>
  <c r="H10" i="12" s="1"/>
  <c r="C10" i="12" a="1"/>
  <c r="C10" i="12" s="1"/>
  <c r="E10" i="12" s="1"/>
  <c r="E9" i="12"/>
  <c r="F8" i="12" a="1"/>
  <c r="F8" i="12" s="1"/>
  <c r="H8" i="12" s="1"/>
  <c r="C8" i="12" a="1"/>
  <c r="C8" i="12" s="1"/>
  <c r="E8" i="12" s="1"/>
  <c r="E7" i="12"/>
  <c r="H5" i="12"/>
  <c r="E5" i="12"/>
  <c r="H7" i="12" s="1"/>
  <c r="H4" i="12"/>
  <c r="E4" i="12"/>
  <c r="E18" i="1"/>
  <c r="E3" i="1"/>
  <c r="C4" i="11"/>
  <c r="F4" i="11"/>
  <c r="C5" i="11"/>
  <c r="F5" i="11"/>
  <c r="F6" i="11"/>
  <c r="H6" i="11" s="1"/>
  <c r="F9" i="11"/>
  <c r="H9" i="11" s="1"/>
  <c r="C12" i="11"/>
  <c r="F12" i="11"/>
  <c r="C13" i="11"/>
  <c r="F13" i="11"/>
  <c r="C14" i="11"/>
  <c r="F14" i="11"/>
  <c r="H14" i="11"/>
  <c r="E14" i="11"/>
  <c r="H13" i="11"/>
  <c r="E13" i="11"/>
  <c r="H12" i="11"/>
  <c r="E12" i="11"/>
  <c r="C11" i="11" a="1"/>
  <c r="C11" i="11" s="1"/>
  <c r="E11" i="11" s="1"/>
  <c r="F10" i="11" a="1"/>
  <c r="F10" i="11" s="1"/>
  <c r="H10" i="11" s="1"/>
  <c r="C10" i="11" a="1"/>
  <c r="C10" i="11" s="1"/>
  <c r="E10" i="11" s="1"/>
  <c r="F8" i="11" a="1"/>
  <c r="F8" i="11" s="1"/>
  <c r="H8" i="11" s="1"/>
  <c r="C8" i="11" a="1"/>
  <c r="C8" i="11" s="1"/>
  <c r="E8" i="11" s="1"/>
  <c r="E7" i="11"/>
  <c r="H5" i="11"/>
  <c r="E5" i="11"/>
  <c r="H7" i="11" s="1"/>
  <c r="H4" i="11"/>
  <c r="E4" i="11"/>
  <c r="E17" i="7"/>
  <c r="E2" i="7"/>
  <c r="E17" i="6"/>
  <c r="E2" i="6"/>
  <c r="E17" i="8"/>
  <c r="E2" i="8"/>
  <c r="E18" i="9"/>
  <c r="E18" i="10"/>
  <c r="E3" i="10"/>
  <c r="A2" i="5" a="1"/>
  <c r="A2" i="5"/>
  <c r="C6" i="11" l="1"/>
  <c r="E6" i="11" s="1"/>
  <c r="F6" i="12"/>
  <c r="H6" i="12" s="1"/>
  <c r="H15" i="12" s="1"/>
  <c r="C6" i="12"/>
  <c r="E6" i="12" s="1"/>
  <c r="E15" i="12" s="1"/>
  <c r="E3" i="9"/>
  <c r="H15" i="11"/>
  <c r="E15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<sst xmlns="http://schemas.openxmlformats.org/spreadsheetml/2006/main" count="530" uniqueCount="164">
  <si>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</si>
  <si>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</si>
  <si>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</si>
  <si>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</si>
  <si>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</si>
  <si>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</si>
  <si>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</si>
  <si>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</si>
  <si>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</si>
  <si>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</si>
  <si>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</si>
  <si>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</si>
  <si>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</si>
  <si>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</si>
  <si>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</si>
  <si>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</si>
  <si>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</si>
  <si>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</si>
  <si>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</si>
  <si>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</si>
  <si>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</si>
  <si>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</si>
  <si>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</si>
  <si>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</si>
  <si>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.</t>
  </si>
  <si>
    <t>14/09/2026</t>
  </si>
  <si>
    <t>No.</t>
  </si>
  <si>
    <t>Unit Kerja</t>
  </si>
  <si>
    <t>PIC RAC</t>
  </si>
  <si>
    <t>%Pengkinian Data</t>
  </si>
  <si>
    <t>Average RAC RAC</t>
  </si>
  <si>
    <t>KC Bandung AA</t>
  </si>
  <si>
    <t>Gesang Jumadi</t>
  </si>
  <si>
    <t>KC Bandung Dago</t>
  </si>
  <si>
    <t>KC Bandung Kopo</t>
  </si>
  <si>
    <t>KC Bandung Sukarno Hatta</t>
  </si>
  <si>
    <t>KC Banjar</t>
  </si>
  <si>
    <t>KC Ciamis</t>
  </si>
  <si>
    <t>KC Cianjur</t>
  </si>
  <si>
    <t>KC Cirebon Gunung Jati</t>
  </si>
  <si>
    <t>KC Cirebon Kartini</t>
  </si>
  <si>
    <t>KC Indramayu</t>
  </si>
  <si>
    <t>KC Jatibarang</t>
  </si>
  <si>
    <t>KC Kuningan</t>
  </si>
  <si>
    <t>KC Majalengka</t>
  </si>
  <si>
    <t>KC Pamanukan</t>
  </si>
  <si>
    <t>KC Sukabumi</t>
  </si>
  <si>
    <t>KC Bandung A.H. Nasution</t>
  </si>
  <si>
    <t>Gumilar Rudimaya</t>
  </si>
  <si>
    <t>KC Bandung Dewi Sartika</t>
  </si>
  <si>
    <t>KC Bandung Martadinata</t>
  </si>
  <si>
    <t>KC Bandung Naripan</t>
  </si>
  <si>
    <t>KC Bandung Setiabudi</t>
  </si>
  <si>
    <t>KC Cibadak</t>
  </si>
  <si>
    <t>KC Cimahi</t>
  </si>
  <si>
    <t>KC Garut</t>
  </si>
  <si>
    <t>KC Majalaya</t>
  </si>
  <si>
    <t>KC Purwakarta</t>
  </si>
  <si>
    <t>KC Singaparna</t>
  </si>
  <si>
    <t>KC Soreang</t>
  </si>
  <si>
    <t>KC Subang</t>
  </si>
  <si>
    <t>KC Sumedang</t>
  </si>
  <si>
    <t>KC Tasikmalaya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</si>
  <si>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</si>
  <si>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</si>
  <si>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</si>
  <si>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</si>
  <si>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</si>
  <si>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</si>
  <si>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</si>
  <si>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</si>
  <si>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</si>
  <si>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</si>
  <si>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</si>
  <si>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</si>
  <si>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</si>
  <si>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</si>
  <si>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</si>
  <si>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</si>
  <si>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</si>
  <si>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</si>
  <si>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</si>
  <si>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</si>
  <si>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</si>
  <si>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</si>
  <si>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</si>
  <si>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</si>
  <si>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</si>
  <si>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</si>
  <si>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</si>
  <si>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</si>
  <si>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</si>
  <si>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</si>
  <si>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</si>
  <si>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</si>
  <si>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</si>
  <si>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</si>
  <si>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</si>
  <si>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</si>
  <si>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</si>
  <si>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</si>
  <si>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</si>
  <si>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</si>
  <si>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**https://bri2-my.sharepoint.com/:f:/g/personal/00136153_hq_bri_co_id/IgDMlTrUq5noRLL6pF5n7XWFAXQb1qYaRfjoiHenMl06kX8?e=9PfaLg</t>
  </si>
  <si>
    <t>4.Kertas Kerja</t>
  </si>
  <si>
    <t>5. Laporan Uji Petik</t>
  </si>
  <si>
    <t>Nilai Maturitas</t>
  </si>
  <si>
    <t>Nilai Maturitas PIC</t>
  </si>
  <si>
    <t>Rating Maturitas PIC</t>
  </si>
  <si>
    <t>BO Bandung Asia Afrika</t>
  </si>
  <si>
    <t>Cukup Baik</t>
  </si>
  <si>
    <t>BO Bandung Dago</t>
  </si>
  <si>
    <t>BO Bandung Kopo</t>
  </si>
  <si>
    <t>BO Bandung Soekarno Hatta</t>
  </si>
  <si>
    <t>BO Banjar</t>
  </si>
  <si>
    <t>BO Ciamis</t>
  </si>
  <si>
    <t>BO Cianjur</t>
  </si>
  <si>
    <t>BO Cirebon Gunung Jati</t>
  </si>
  <si>
    <t>BO Cirebon Kartini</t>
  </si>
  <si>
    <t>BO Indramayu</t>
  </si>
  <si>
    <t>BO Jatibarang</t>
  </si>
  <si>
    <t>BO Kuningan</t>
  </si>
  <si>
    <t>BO Majalengka</t>
  </si>
  <si>
    <t>BO Pamanukan</t>
  </si>
  <si>
    <t>BO Sukabumi</t>
  </si>
  <si>
    <t>BO Bandung AH Nasution</t>
  </si>
  <si>
    <t>BO Bandung Dewi Sartika</t>
  </si>
  <si>
    <t>BO Bandung Martadinata</t>
  </si>
  <si>
    <t>BO Bandung Naripan</t>
  </si>
  <si>
    <t>BO Bandung Setiabudi</t>
  </si>
  <si>
    <t>BO Cibadak</t>
  </si>
  <si>
    <t>BO Cimahi</t>
  </si>
  <si>
    <t>BO Garut</t>
  </si>
  <si>
    <t>BO Majalaya</t>
  </si>
  <si>
    <t>BO Purwakarta</t>
  </si>
  <si>
    <t>BO Singaparna</t>
  </si>
  <si>
    <t>BO Soreang</t>
  </si>
  <si>
    <t>BO Subang</t>
  </si>
  <si>
    <t>BO Sumedang</t>
  </si>
  <si>
    <t>BO Tasikmalaya</t>
  </si>
  <si>
    <t>Nilai Risiko</t>
  </si>
  <si>
    <t>Nilai Risiko PIC</t>
  </si>
  <si>
    <t>Rating Risiko PIC</t>
  </si>
  <si>
    <t>Medium</t>
  </si>
  <si>
    <t>Nilai maturitas</t>
  </si>
  <si>
    <t>Rating maturitas</t>
  </si>
  <si>
    <t>AB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</si>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</sst>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9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3" fillId="0" borderId="3" xfId="0" applyNumberFormat="1" applyFont="1" applyBorder="1" applyAlignment="1">
      <alignment horizontal="left" vertical="center"/>
    </xf>
    <xf numFmtId="0" fontId="0" fillId="0" borderId="4" xfId="0" applyBorder="1"/>
    <xf numFmtId="0" fontId="1" fillId="2" borderId="5" xfId="0" applyFont="1" applyFill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164" fontId="7" fillId="0" borderId="3" xfId="0" applyNumberFormat="1" applyFont="1" applyBorder="1"/>
    <xf numFmtId="0" fontId="0" fillId="5" borderId="3" xfId="0" applyFill="1" applyBorder="1"/>
    <xf numFmtId="0" fontId="1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/>
    <xf numFmtId="164" fontId="7" fillId="0" borderId="8" xfId="0" applyNumberFormat="1" applyFont="1" applyBorder="1"/>
    <xf numFmtId="0" fontId="0" fillId="0" borderId="8" xfId="0" applyBorder="1"/>
    <xf numFmtId="0" fontId="1" fillId="2" borderId="6" xfId="0" applyFont="1" applyFill="1" applyBorder="1" applyAlignment="1">
      <alignment horizontal="center"/>
    </xf>
    <xf numFmtId="0" fontId="6" fillId="0" borderId="8" xfId="0" applyFont="1" applyBorder="1"/>
    <xf numFmtId="10" fontId="0" fillId="0" borderId="4" xfId="1" applyNumberFormat="1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left" vertical="center"/>
    </xf>
    <xf numFmtId="164" fontId="9" fillId="0" borderId="3" xfId="0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left" vertical="center"/>
    </xf>
    <xf numFmtId="164" fontId="9" fillId="0" borderId="6" xfId="0" applyNumberFormat="1" applyFont="1" applyBorder="1" applyAlignment="1">
      <alignment horizontal="center"/>
    </xf>
    <xf numFmtId="9" fontId="9" fillId="0" borderId="6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0" fontId="10" fillId="7" borderId="3" xfId="0" applyNumberFormat="1" applyFont="1" applyFill="1" applyBorder="1" applyAlignment="1">
      <alignment horizontal="center"/>
    </xf>
    <xf numFmtId="165" fontId="0" fillId="0" borderId="1" xfId="0" applyNumberFormat="1" applyBorder="1"/>
    <xf numFmtId="0" fontId="9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5" fillId="2" borderId="0" xfId="0" applyNumberFormat="1" applyFont="1" applyFill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9%20-%20Bandung/Data%20Evaluasi%20Bandung.xlsx" TargetMode="External"/><Relationship Id="rId2" Type="http://schemas.openxmlformats.org/officeDocument/2006/relationships/externalLinkPath" Target="https://bri2-my.sharepoint.com/personal/00136153_hq_bri_co_id/Documents/Assurance%20Team/RAC%20Team/Moneva/Region%209%20-%20Bandung/Data%20Evaluasi%20Bandung.xlsx" TargetMode="External"/><Relationship Id="rId1" Type="http://schemas.openxmlformats.org/officeDocument/2006/relationships/externalLinkPath" Target="/personal/00136153_hq_bri_co_id/Documents/Assurance%20Team/RAC%20Team/Moneva/Region%209%20-%20Bandung/Data%20Evaluasi%20Band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VHLFZJ6KBV6VB22ML2HP6GMCCU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V2" t="str">
            <v>Gesang Jumadi</v>
          </cell>
          <cell r="X2" t="b">
            <v>0</v>
          </cell>
        </row>
        <row r="3">
          <cell r="V3" t="str">
            <v>Gumilar Rudimaya</v>
          </cell>
          <cell r="X3" t="b">
            <v>0</v>
          </cell>
        </row>
        <row r="4">
          <cell r="V4" t="str">
            <v>Gesang Jumadi</v>
          </cell>
          <cell r="X4" t="b">
            <v>1</v>
          </cell>
        </row>
        <row r="5">
          <cell r="V5" t="str">
            <v>Gesang Jumadi</v>
          </cell>
          <cell r="X5" t="b">
            <v>0</v>
          </cell>
        </row>
        <row r="6">
          <cell r="V6" t="str">
            <v>Gumilar Rudimaya</v>
          </cell>
          <cell r="X6" t="b">
            <v>1</v>
          </cell>
        </row>
        <row r="7">
          <cell r="V7" t="str">
            <v>Gumilar Rudimaya</v>
          </cell>
          <cell r="X7" t="b">
            <v>0</v>
          </cell>
        </row>
        <row r="8">
          <cell r="V8" t="str">
            <v>Gesang Jumadi</v>
          </cell>
          <cell r="X8" t="b">
            <v>1</v>
          </cell>
        </row>
        <row r="9">
          <cell r="V9" t="str">
            <v>Gesang Jumadi</v>
          </cell>
          <cell r="X9" t="b">
            <v>0</v>
          </cell>
        </row>
        <row r="10">
          <cell r="V10" t="str">
            <v>Kartiwan Ferry</v>
          </cell>
          <cell r="X10" t="b">
            <v>0</v>
          </cell>
        </row>
        <row r="11">
          <cell r="V11" t="str">
            <v>Kartiwan Ferry</v>
          </cell>
          <cell r="X11" t="b">
            <v>0</v>
          </cell>
        </row>
        <row r="12">
          <cell r="V12" t="str">
            <v>Gumilar Rudimaya</v>
          </cell>
          <cell r="X12" t="b">
            <v>0</v>
          </cell>
        </row>
        <row r="13">
          <cell r="V13" t="str">
            <v>Gumilar Rudimaya</v>
          </cell>
          <cell r="X13" t="b">
            <v>0</v>
          </cell>
        </row>
        <row r="14">
          <cell r="V14" t="str">
            <v>Kartiwan Ferry</v>
          </cell>
          <cell r="X14" t="b">
            <v>0</v>
          </cell>
        </row>
        <row r="15">
          <cell r="V15" t="str">
            <v>Kartiwan Ferry</v>
          </cell>
          <cell r="X15" t="b">
            <v>0</v>
          </cell>
        </row>
        <row r="16">
          <cell r="V16" t="str">
            <v>Gesang Jumadi</v>
          </cell>
          <cell r="X16" t="b">
            <v>0</v>
          </cell>
        </row>
        <row r="17">
          <cell r="V17" t="str">
            <v>Gumilar Rudimaya</v>
          </cell>
          <cell r="X17" t="b">
            <v>0</v>
          </cell>
        </row>
        <row r="18">
          <cell r="V18" t="str">
            <v>Gumilar Rudimaya</v>
          </cell>
          <cell r="X18" t="b">
            <v>0</v>
          </cell>
        </row>
        <row r="19">
          <cell r="V19" t="str">
            <v>Gumilar Rudimaya</v>
          </cell>
          <cell r="X19" t="b">
            <v>0</v>
          </cell>
        </row>
        <row r="20">
          <cell r="V20" t="str">
            <v>Gumilar Rudimaya</v>
          </cell>
          <cell r="X20" t="b">
            <v>0</v>
          </cell>
        </row>
        <row r="21">
          <cell r="V21" t="str">
            <v>Kartiwan Ferry</v>
          </cell>
          <cell r="X21" t="b">
            <v>0</v>
          </cell>
        </row>
        <row r="22">
          <cell r="V22" t="str">
            <v>Gesang Jumadi</v>
          </cell>
          <cell r="X22" t="b">
            <v>0</v>
          </cell>
        </row>
        <row r="23">
          <cell r="V23" t="str">
            <v>Kartiwan Ferry</v>
          </cell>
          <cell r="X23" t="b">
            <v>0</v>
          </cell>
        </row>
        <row r="24">
          <cell r="V24" t="str">
            <v>Gesang Jumadi</v>
          </cell>
          <cell r="X24" t="b">
            <v>0</v>
          </cell>
        </row>
        <row r="25">
          <cell r="V25" t="str">
            <v>Gesang Jumadi</v>
          </cell>
          <cell r="X25" t="b">
            <v>1</v>
          </cell>
        </row>
        <row r="26">
          <cell r="V26" t="str">
            <v>Gesang Jumadi</v>
          </cell>
          <cell r="X26" t="b">
            <v>1</v>
          </cell>
        </row>
        <row r="27">
          <cell r="V27" t="str">
            <v>Gesang Jumadi</v>
          </cell>
          <cell r="X27" t="b">
            <v>1</v>
          </cell>
        </row>
        <row r="28">
          <cell r="V28" t="str">
            <v>Kartiwan Ferry</v>
          </cell>
          <cell r="X28" t="b">
            <v>0</v>
          </cell>
        </row>
        <row r="29">
          <cell r="V29" t="str">
            <v>Gesang Jumadi</v>
          </cell>
          <cell r="X29" t="b">
            <v>1</v>
          </cell>
        </row>
        <row r="30">
          <cell r="V30" t="str">
            <v>Gesang Jumadi</v>
          </cell>
          <cell r="X30" t="b">
            <v>1</v>
          </cell>
        </row>
        <row r="31">
          <cell r="V31" t="str">
            <v>Gesang Jumadi</v>
          </cell>
          <cell r="X31" t="b">
            <v>1</v>
          </cell>
        </row>
        <row r="32">
          <cell r="V32" t="str">
            <v>Gesang Jumadi</v>
          </cell>
          <cell r="X32" t="b">
            <v>1</v>
          </cell>
        </row>
        <row r="33">
          <cell r="V33" t="str">
            <v>Gumilar Rudimaya</v>
          </cell>
          <cell r="X33" t="b">
            <v>1</v>
          </cell>
        </row>
        <row r="34">
          <cell r="V34" t="str">
            <v>Gesang Jumadi</v>
          </cell>
          <cell r="X34" t="b">
            <v>1</v>
          </cell>
        </row>
        <row r="35">
          <cell r="V35" t="str">
            <v>Gesang Jumadi</v>
          </cell>
          <cell r="X35" t="b">
            <v>1</v>
          </cell>
        </row>
        <row r="36">
          <cell r="V36" t="str">
            <v>Gesang Jumadi</v>
          </cell>
          <cell r="X36" t="b">
            <v>1</v>
          </cell>
        </row>
        <row r="37">
          <cell r="V37" t="str">
            <v>Gesang Jumadi</v>
          </cell>
          <cell r="X37" t="b">
            <v>1</v>
          </cell>
        </row>
        <row r="38">
          <cell r="V38" t="str">
            <v>Gesang Jumadi</v>
          </cell>
          <cell r="X38" t="b">
            <v>1</v>
          </cell>
        </row>
        <row r="39">
          <cell r="V39" t="str">
            <v>Gesang Jumadi</v>
          </cell>
          <cell r="X39" t="b">
            <v>1</v>
          </cell>
        </row>
        <row r="40">
          <cell r="V40" t="str">
            <v>Gumilar Rudimaya</v>
          </cell>
          <cell r="X40" t="b">
            <v>1</v>
          </cell>
        </row>
        <row r="41">
          <cell r="V41" t="str">
            <v>Gesang Jumadi</v>
          </cell>
          <cell r="X41" t="b">
            <v>1</v>
          </cell>
        </row>
        <row r="42">
          <cell r="V42" t="str">
            <v>Gumilar Rudimaya</v>
          </cell>
          <cell r="X42" t="b">
            <v>1</v>
          </cell>
        </row>
        <row r="43">
          <cell r="V43" t="str">
            <v>Gesang Jumadi</v>
          </cell>
          <cell r="X43" t="b">
            <v>1</v>
          </cell>
        </row>
        <row r="44">
          <cell r="V44" t="str">
            <v>Gumilar Rudimaya</v>
          </cell>
          <cell r="X44" t="b">
            <v>1</v>
          </cell>
        </row>
        <row r="45">
          <cell r="V45" t="str">
            <v>Gumilar Rudimaya</v>
          </cell>
          <cell r="X45" t="b">
            <v>1</v>
          </cell>
        </row>
        <row r="46">
          <cell r="V46" t="str">
            <v>Gesang Jumadi</v>
          </cell>
          <cell r="X46" t="b">
            <v>1</v>
          </cell>
        </row>
        <row r="47">
          <cell r="V47" t="str">
            <v>Gumilar Rudimaya</v>
          </cell>
          <cell r="X47" t="b">
            <v>1</v>
          </cell>
        </row>
        <row r="48">
          <cell r="V48" t="str">
            <v>Gumilar Rudimaya</v>
          </cell>
          <cell r="X48" t="b">
            <v>1</v>
          </cell>
        </row>
        <row r="49">
          <cell r="V49" t="str">
            <v>Gumilar Rudimaya</v>
          </cell>
          <cell r="X49" t="b">
            <v>1</v>
          </cell>
        </row>
      </sheetData>
      <sheetData sheetId="1"/>
      <sheetData sheetId="2"/>
      <sheetData sheetId="3"/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 codeName="Sheet1">
    <tabColor theme="5"/>
  </sheetPr>
  <dimension ref="A1:Z49"/>
  <sheetViews>
    <sheetView topLeftCell="I1" workbookViewId="0">
      <selection activeCell="Y2" sqref="Y2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7.140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49">_xlfn._xlws.FILTER('[2]STR-2026-8-2026-8'!$A:$U, ISNUMBER(SEARCH("Bandung", '[2]STR-2026-8-2026-8'!$O:$O)), "")</f>
        <v>46265</v>
      </c>
      <c r="B2" s="9" t="str">
        <v xml:space="preserve">ANAK BINJAI GROUP                       </v>
      </c>
      <c r="C2" s="9" t="str">
        <v>ACFRL16</v>
      </c>
      <c r="D2" s="9">
        <v>210401000765565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49</v>
      </c>
      <c r="K2" s="9">
        <v>41</v>
      </c>
      <c r="L2" s="9" t="str">
        <v>Perpajakan</v>
      </c>
      <c r="M2" s="9" t="str">
        <v xml:space="preserve">KCP RIAU                                </v>
      </c>
      <c r="N2" s="9" t="str">
        <v xml:space="preserve">KC Bandung Martadinata                  </v>
      </c>
      <c r="O2" s="9" t="str">
        <v xml:space="preserve">Bandung  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90185537 - Moh.Khoerul Fajar Ar</v>
      </c>
      <c r="U2" s="9" t="str">
        <v>"-"</v>
      </c>
      <c r="V2" s="12" t="str">
        <f>[3]STR!$V2</f>
        <v>Gesang Jumadi</v>
      </c>
      <c r="W2" s="13"/>
      <c r="X2" s="14" t="b">
        <f>[3]STR!$X2</f>
        <v>0</v>
      </c>
    </row>
    <row r="3" spans="1:26">
      <c r="A3" s="8">
        <v>46265</v>
      </c>
      <c r="B3" s="9" t="str">
        <v xml:space="preserve">ALIFAH ADAWIYAH                         </v>
      </c>
      <c r="C3" s="9" t="str">
        <v>AZWV496</v>
      </c>
      <c r="D3" s="9">
        <v>377301060720531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Narkotika - Area Lapas</v>
      </c>
      <c r="J3" s="9">
        <v>50</v>
      </c>
      <c r="K3" s="9">
        <v>46</v>
      </c>
      <c r="L3" s="9" t="str">
        <v>Narkotika</v>
      </c>
      <c r="M3" s="9" t="str">
        <v>UNIT CICALENGKA MAJALAYA</v>
      </c>
      <c r="N3" s="9" t="str">
        <v>KC Majalaya</v>
      </c>
      <c r="O3" s="9" t="str">
        <v>Bandung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00336949 - Mochammad Al Farabi</v>
      </c>
      <c r="U3" s="9" t="str">
        <v>"-"</v>
      </c>
      <c r="V3" s="12" t="str">
        <f>[3]STR!$V3</f>
        <v>Gumilar Rudimaya</v>
      </c>
      <c r="W3" s="12"/>
      <c r="X3" s="14" t="b">
        <f>[3]STR!$X3</f>
        <v>0</v>
      </c>
    </row>
    <row r="4" spans="1:26">
      <c r="A4" s="8">
        <v>46265</v>
      </c>
      <c r="B4" s="9" t="str">
        <v xml:space="preserve">BIMA SAKTI BERSAUDARA                   </v>
      </c>
      <c r="C4" s="9" t="str">
        <v>BFR9769</v>
      </c>
      <c r="D4" s="9">
        <v>16501002893304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Perpajakan</v>
      </c>
      <c r="J4" s="9">
        <v>50</v>
      </c>
      <c r="K4" s="9">
        <v>1.33</v>
      </c>
      <c r="L4" s="9" t="str">
        <v>Perpajakan</v>
      </c>
      <c r="M4" s="9" t="str">
        <v xml:space="preserve">KC Jatibarang                           </v>
      </c>
      <c r="N4" s="9" t="str">
        <v xml:space="preserve">KC Jatibarang                           </v>
      </c>
      <c r="O4" s="9" t="str">
        <v xml:space="preserve">Bandung 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90150130 - Intan Aida Pratiwi</v>
      </c>
      <c r="U4" s="9" t="str">
        <v>"-"</v>
      </c>
      <c r="V4" s="12" t="str">
        <f>[3]STR!$V4</f>
        <v>Gesang Jumadi</v>
      </c>
      <c r="W4" s="12"/>
      <c r="X4" s="14" t="b">
        <f>[3]STR!$X4</f>
        <v>1</v>
      </c>
    </row>
    <row r="5" spans="1:26">
      <c r="A5" s="8">
        <v>46265</v>
      </c>
      <c r="B5" s="9" t="str">
        <v xml:space="preserve">BERLIAN PANGAN INDONESIA                </v>
      </c>
      <c r="C5" s="9" t="str">
        <v>BJT2785</v>
      </c>
      <c r="D5" s="9">
        <v>38901002567561</v>
      </c>
      <c r="E5" s="9">
        <v>0</v>
      </c>
      <c r="F5" s="9" t="str">
        <v>Tidak</v>
      </c>
      <c r="G5" s="9" t="str">
        <v>Tidak</v>
      </c>
      <c r="H5" s="9" t="str">
        <v>Tidak</v>
      </c>
      <c r="I5" s="9" t="str">
        <v>Perpajakan</v>
      </c>
      <c r="J5" s="9">
        <v>33</v>
      </c>
      <c r="K5" s="9">
        <v>41</v>
      </c>
      <c r="L5" s="9" t="str">
        <v>Perpajakan</v>
      </c>
      <c r="M5" s="9" t="str">
        <v xml:space="preserve">KC Bandung Martadinata                  </v>
      </c>
      <c r="N5" s="9" t="str">
        <v xml:space="preserve">KC Bandung Martadinata                  </v>
      </c>
      <c r="O5" s="9" t="str">
        <v xml:space="preserve">Bandung 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90185538 - Muhammad Fahikal Auz</v>
      </c>
      <c r="U5" s="9" t="str">
        <v>"-"</v>
      </c>
      <c r="V5" s="12" t="str">
        <f>[3]STR!$V5</f>
        <v>Gesang Jumadi</v>
      </c>
      <c r="W5" s="12"/>
      <c r="X5" s="14" t="b">
        <f>[3]STR!$X5</f>
        <v>0</v>
      </c>
      <c r="Z5" t="s">
        <v>24</v>
      </c>
    </row>
    <row r="6" spans="1:26">
      <c r="A6" s="8">
        <v>46265</v>
      </c>
      <c r="B6" s="9" t="str">
        <v xml:space="preserve">CV BERKAH TEXTILE ABADI                 </v>
      </c>
      <c r="C6" s="9" t="str">
        <v>CX68960</v>
      </c>
      <c r="D6" s="9">
        <v>33701888168566</v>
      </c>
      <c r="E6" s="9">
        <v>0</v>
      </c>
      <c r="F6" s="9" t="str">
        <v>Tidak</v>
      </c>
      <c r="G6" s="9" t="str">
        <v>Tidak</v>
      </c>
      <c r="H6" s="9" t="str">
        <v>Tidak</v>
      </c>
      <c r="I6" s="9" t="str">
        <v>Perpajakan</v>
      </c>
      <c r="J6" s="9">
        <v>33</v>
      </c>
      <c r="K6" s="9">
        <v>41</v>
      </c>
      <c r="L6" s="9" t="str">
        <v>Perpajakan</v>
      </c>
      <c r="M6" s="9" t="str">
        <v xml:space="preserve">KC Bandung Naripan                      </v>
      </c>
      <c r="N6" s="9" t="str">
        <v xml:space="preserve">KC Bandung Naripan                      </v>
      </c>
      <c r="O6" s="9" t="str">
        <v xml:space="preserve">Bandung 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00394521 - Muhammad Hibbanduta</v>
      </c>
      <c r="U6" s="9" t="str">
        <v>"-"</v>
      </c>
      <c r="V6" s="12" t="str">
        <f>[3]STR!$V6</f>
        <v>Gumilar Rudimaya</v>
      </c>
      <c r="W6" s="12" t="s">
        <v>25</v>
      </c>
      <c r="X6" s="14" t="b">
        <f>[3]STR!$X6</f>
        <v>1</v>
      </c>
    </row>
    <row r="7" spans="1:26">
      <c r="A7" s="8">
        <v>46265</v>
      </c>
      <c r="B7" s="9" t="str">
        <v xml:space="preserve">HERI YANA                               </v>
      </c>
      <c r="C7" s="9" t="str">
        <v>HCA0261</v>
      </c>
      <c r="D7" s="9">
        <v>40701056456506</v>
      </c>
      <c r="E7" s="9">
        <v>0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33</v>
      </c>
      <c r="K7" s="9">
        <v>113</v>
      </c>
      <c r="L7" s="9" t="str">
        <v>Narkotika/Judi Online/Penipuan</v>
      </c>
      <c r="M7" s="9" t="str">
        <v xml:space="preserve">KC Bandung Sukarno Hatta                </v>
      </c>
      <c r="N7" s="9" t="str">
        <v xml:space="preserve">KC Bandung Sukarno Hatta                </v>
      </c>
      <c r="O7" s="9" t="str">
        <v xml:space="preserve">Bandung  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2" t="str">
        <f>[3]STR!$V7</f>
        <v>Gumilar Rudimaya</v>
      </c>
      <c r="W7" s="12"/>
      <c r="X7" s="14" t="b">
        <f>[3]STR!$X7</f>
        <v>0</v>
      </c>
    </row>
    <row r="8" spans="1:26">
      <c r="A8" s="8">
        <v>46265</v>
      </c>
      <c r="B8" s="9" t="str">
        <v xml:space="preserve">IIM IMROAH                              </v>
      </c>
      <c r="C8" s="9" t="str">
        <v>IQ80358</v>
      </c>
      <c r="D8" s="9">
        <v>412301042068535</v>
      </c>
      <c r="E8" s="9" t="str">
        <v>SEDANG</v>
      </c>
      <c r="F8" s="9" t="str">
        <v>Ya</v>
      </c>
      <c r="G8" s="9" t="str">
        <v>Tidak</v>
      </c>
      <c r="H8" s="9" t="str">
        <v>Ya</v>
      </c>
      <c r="I8" s="9" t="str">
        <v>Narkotika - Area Lapas</v>
      </c>
      <c r="J8" s="9">
        <v>50</v>
      </c>
      <c r="K8" s="9">
        <v>46</v>
      </c>
      <c r="L8" s="9" t="str">
        <v>Narkotika</v>
      </c>
      <c r="M8" s="9" t="str">
        <v>UNIT ASTANAJAPURA CIREBON GUNU</v>
      </c>
      <c r="N8" s="9" t="str">
        <v>KC Cirebon Gunung Jati</v>
      </c>
      <c r="O8" s="9" t="str">
        <v>Bandung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00394520 - Frida Akbar Rani</v>
      </c>
      <c r="U8" s="9" t="str">
        <v>"-"</v>
      </c>
      <c r="V8" s="12" t="str">
        <f>[3]STR!$V8</f>
        <v>Gesang Jumadi</v>
      </c>
      <c r="W8" s="12"/>
      <c r="X8" s="14" t="b">
        <f>[3]STR!$X8</f>
        <v>1</v>
      </c>
    </row>
    <row r="9" spans="1:26">
      <c r="A9" s="8">
        <v>46265</v>
      </c>
      <c r="B9" s="9" t="str">
        <v xml:space="preserve">JARNI PRANATA PAKPAHAN                  </v>
      </c>
      <c r="C9" s="9" t="str">
        <v>JOX9513</v>
      </c>
      <c r="D9" s="9">
        <v>40701011707536</v>
      </c>
      <c r="E9" s="9">
        <v>0</v>
      </c>
      <c r="F9" s="9" t="str">
        <v>Tidak</v>
      </c>
      <c r="G9" s="9" t="str">
        <v>Tidak</v>
      </c>
      <c r="H9" s="9">
        <v>0</v>
      </c>
      <c r="I9" s="9" t="str">
        <v>Jual Beli Rekening - E channel Trx</v>
      </c>
      <c r="J9" s="9">
        <v>33</v>
      </c>
      <c r="K9" s="9">
        <v>113</v>
      </c>
      <c r="L9" s="9" t="str">
        <v>Narkotika/Judi Online/Penipuan</v>
      </c>
      <c r="M9" s="9" t="str">
        <v xml:space="preserve">KC Bandung Sukarno Hatta                </v>
      </c>
      <c r="N9" s="9" t="str">
        <v xml:space="preserve">KC Bandung Sukarno Hatta                </v>
      </c>
      <c r="O9" s="9" t="str">
        <v xml:space="preserve">Bandung   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>
        <v>0</v>
      </c>
      <c r="U9" s="9" t="str">
        <v>"-"</v>
      </c>
      <c r="V9" s="12" t="str">
        <f>[3]STR!$V9</f>
        <v>Gesang Jumadi</v>
      </c>
      <c r="W9" s="12"/>
      <c r="X9" s="14" t="b">
        <f>[3]STR!$X9</f>
        <v>0</v>
      </c>
    </row>
    <row r="10" spans="1:26">
      <c r="A10" s="8">
        <v>46265</v>
      </c>
      <c r="B10" s="9" t="str">
        <v xml:space="preserve">JUNITA DEVIANA                          </v>
      </c>
      <c r="C10" s="9" t="str">
        <v>JV63755</v>
      </c>
      <c r="D10" s="9">
        <v>377601018279536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Prostitusi</v>
      </c>
      <c r="J10" s="9">
        <v>47</v>
      </c>
      <c r="K10" s="9">
        <v>104</v>
      </c>
      <c r="L10" s="9" t="str">
        <v>Prostitusi</v>
      </c>
      <c r="M10" s="9" t="str">
        <v xml:space="preserve">UNIT BUNIHAYU SUBANG                    </v>
      </c>
      <c r="N10" s="9" t="str">
        <v xml:space="preserve">KC Subang                               </v>
      </c>
      <c r="O10" s="9" t="str">
        <v xml:space="preserve">Bandung  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90185538 - Muhammad Fahikal Auz</v>
      </c>
      <c r="U10" s="9" t="str">
        <v>"-"</v>
      </c>
      <c r="V10" s="12" t="str">
        <f>[3]STR!$V10</f>
        <v>Kartiwan Ferry</v>
      </c>
      <c r="W10" s="12"/>
      <c r="X10" s="14" t="b">
        <f>[3]STR!$X10</f>
        <v>0</v>
      </c>
    </row>
    <row r="11" spans="1:26">
      <c r="A11" s="8">
        <v>46265</v>
      </c>
      <c r="B11" s="9" t="str">
        <v xml:space="preserve">KOPERASI YUFA JAYA ABADI                </v>
      </c>
      <c r="C11" s="9" t="str">
        <v>KBFC696</v>
      </c>
      <c r="D11" s="9">
        <v>406301051047538</v>
      </c>
      <c r="E11" s="9">
        <v>0</v>
      </c>
      <c r="F11" s="9" t="str">
        <v>Tidak</v>
      </c>
      <c r="G11" s="9" t="str">
        <v>Tidak</v>
      </c>
      <c r="H11" s="9">
        <v>0</v>
      </c>
      <c r="I11" s="9" t="str">
        <v>Jual Beli Rekening - E channel Trx</v>
      </c>
      <c r="J11" s="9">
        <v>33</v>
      </c>
      <c r="K11" s="9">
        <v>113</v>
      </c>
      <c r="L11" s="9" t="str">
        <v>Narkotika/Judi Online/Penipuan</v>
      </c>
      <c r="M11" s="9" t="str">
        <v xml:space="preserve">UNIT BOJONGPICUNG CIANJUR               </v>
      </c>
      <c r="N11" s="9" t="str">
        <v xml:space="preserve">KC Cianjur                              </v>
      </c>
      <c r="O11" s="9" t="str">
        <v xml:space="preserve">Bandung    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>
        <v>0</v>
      </c>
      <c r="U11" s="9" t="str">
        <v>"-"</v>
      </c>
      <c r="V11" s="12" t="str">
        <f>[3]STR!$V11</f>
        <v>Kartiwan Ferry</v>
      </c>
      <c r="W11" s="12"/>
      <c r="X11" s="14" t="b">
        <f>[3]STR!$X11</f>
        <v>0</v>
      </c>
    </row>
    <row r="12" spans="1:26">
      <c r="A12" s="8">
        <v>46265</v>
      </c>
      <c r="B12" s="9" t="str">
        <v xml:space="preserve">MADHAR MADHAVA MANGGALA                 </v>
      </c>
      <c r="C12" s="9" t="str">
        <v>MZXA187</v>
      </c>
      <c r="D12" s="9">
        <v>501199999308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Perpajakan</v>
      </c>
      <c r="J12" s="9">
        <v>48</v>
      </c>
      <c r="K12" s="9">
        <v>41</v>
      </c>
      <c r="L12" s="9" t="str">
        <v>Perpajakan</v>
      </c>
      <c r="M12" s="9" t="str">
        <v xml:space="preserve">KC Bandung AA                           </v>
      </c>
      <c r="N12" s="9" t="str">
        <v xml:space="preserve">KC Bandung AA                           </v>
      </c>
      <c r="O12" s="9" t="str">
        <v xml:space="preserve">Bandung    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90150130 - Intan Aida Pratiwi</v>
      </c>
      <c r="U12" s="9" t="str">
        <v>"-"</v>
      </c>
      <c r="V12" s="12" t="str">
        <f>[3]STR!$V12</f>
        <v>Gumilar Rudimaya</v>
      </c>
      <c r="W12" s="12"/>
      <c r="X12" s="14" t="b">
        <f>[3]STR!$X12</f>
        <v>0</v>
      </c>
    </row>
    <row r="13" spans="1:26">
      <c r="A13" s="8">
        <v>46265</v>
      </c>
      <c r="B13" s="9" t="str">
        <v xml:space="preserve">PUTRI SOVIA GANIA                       </v>
      </c>
      <c r="C13" s="9" t="str">
        <v>PHF2053</v>
      </c>
      <c r="D13" s="9">
        <v>402001000012560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33</v>
      </c>
      <c r="K13" s="9">
        <v>113</v>
      </c>
      <c r="L13" s="9" t="str">
        <v>Narkotika/Judi Online/Penipuan</v>
      </c>
      <c r="M13" s="9" t="str">
        <v xml:space="preserve">UNIT CISAGA BANJAR                      </v>
      </c>
      <c r="N13" s="9" t="str">
        <v xml:space="preserve">KC Banjar                               </v>
      </c>
      <c r="O13" s="9" t="str">
        <v xml:space="preserve">Bandung   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2" t="str">
        <f>[3]STR!$V13</f>
        <v>Gumilar Rudimaya</v>
      </c>
      <c r="W13" s="12"/>
      <c r="X13" s="14" t="b">
        <f>[3]STR!$X13</f>
        <v>0</v>
      </c>
    </row>
    <row r="14" spans="1:26">
      <c r="A14" s="8">
        <v>46265</v>
      </c>
      <c r="B14" s="9" t="str">
        <v xml:space="preserve">PT ROYAL INTI NUSA                      </v>
      </c>
      <c r="C14" s="9" t="str">
        <v>PLY8254</v>
      </c>
      <c r="D14" s="9">
        <v>501111111300</v>
      </c>
      <c r="E14" s="9" t="str">
        <v>SEDANG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53</v>
      </c>
      <c r="K14" s="9">
        <v>41</v>
      </c>
      <c r="L14" s="9" t="str">
        <v>Perpajakan</v>
      </c>
      <c r="M14" s="9" t="str">
        <v xml:space="preserve">KC Bandung AA                           </v>
      </c>
      <c r="N14" s="9" t="str">
        <v xml:space="preserve">KC Bandung AA                           </v>
      </c>
      <c r="O14" s="9" t="str">
        <v xml:space="preserve">Bandung   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90186796 - Devito Arya Wiradila</v>
      </c>
      <c r="U14" s="9" t="str">
        <v>"-"</v>
      </c>
      <c r="V14" s="12" t="str">
        <f>[3]STR!$V14</f>
        <v>Kartiwan Ferry</v>
      </c>
      <c r="W14" s="12"/>
      <c r="X14" s="14" t="b">
        <f>[3]STR!$X14</f>
        <v>0</v>
      </c>
    </row>
    <row r="15" spans="1:26">
      <c r="A15" s="8">
        <v>46265</v>
      </c>
      <c r="B15" s="9" t="str">
        <v xml:space="preserve">PANJI SETYO W                           </v>
      </c>
      <c r="C15" s="9" t="str">
        <v>POM5252</v>
      </c>
      <c r="D15" s="9">
        <v>65601039692500</v>
      </c>
      <c r="E15" s="9">
        <v>0</v>
      </c>
      <c r="F15" s="9" t="str">
        <v>Tidak</v>
      </c>
      <c r="G15" s="9" t="str">
        <v>Tidak</v>
      </c>
      <c r="H15" s="9">
        <v>0</v>
      </c>
      <c r="I15" s="9" t="str">
        <v>Jual Beli Rekening - E channel Trx</v>
      </c>
      <c r="J15" s="9">
        <v>33</v>
      </c>
      <c r="K15" s="9">
        <v>113</v>
      </c>
      <c r="L15" s="9" t="str">
        <v>Narkotika/Judi Online/Penipuan</v>
      </c>
      <c r="M15" s="9" t="str">
        <v xml:space="preserve">KCP PADALARANG                          </v>
      </c>
      <c r="N15" s="9" t="str">
        <v xml:space="preserve">KC Cimahi                               </v>
      </c>
      <c r="O15" s="9" t="str">
        <v xml:space="preserve">Bandung      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>
        <v>0</v>
      </c>
      <c r="U15" s="9" t="str">
        <v>"-"</v>
      </c>
      <c r="V15" s="12" t="str">
        <f>[3]STR!$V15</f>
        <v>Kartiwan Ferry</v>
      </c>
      <c r="W15" s="12"/>
      <c r="X15" s="14" t="b">
        <f>[3]STR!$X15</f>
        <v>0</v>
      </c>
    </row>
    <row r="16" spans="1:26">
      <c r="A16" s="8">
        <v>46265</v>
      </c>
      <c r="B16" s="9" t="str">
        <v xml:space="preserve">RUKENAH                                 </v>
      </c>
      <c r="C16" s="9" t="str">
        <v>RERG795</v>
      </c>
      <c r="D16" s="9">
        <v>373201017322532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Narkotika - Area Lapas</v>
      </c>
      <c r="J16" s="9">
        <v>50</v>
      </c>
      <c r="K16" s="9">
        <v>46</v>
      </c>
      <c r="L16" s="9" t="str">
        <v>Narkotika</v>
      </c>
      <c r="M16" s="9" t="str">
        <v>UNIT PAMANUKAN KOTA</v>
      </c>
      <c r="N16" s="9" t="str">
        <v>KC Pamanukan</v>
      </c>
      <c r="O16" s="9" t="str">
        <v>Bandung</v>
      </c>
      <c r="P16" s="9">
        <v>0</v>
      </c>
      <c r="Q16" s="9">
        <v>0</v>
      </c>
      <c r="R16" s="9" t="str">
        <v>Belum TL</v>
      </c>
      <c r="S16" s="9" t="str">
        <v>Belum TL</v>
      </c>
      <c r="T16" s="9" t="str">
        <v>90186796 - Devito Arya Wiradila</v>
      </c>
      <c r="U16" s="9" t="str">
        <v>"-"</v>
      </c>
      <c r="V16" s="12" t="str">
        <f>[3]STR!$V16</f>
        <v>Gesang Jumadi</v>
      </c>
      <c r="W16" s="12"/>
      <c r="X16" s="14" t="b">
        <f>[3]STR!$X16</f>
        <v>0</v>
      </c>
    </row>
    <row r="17" spans="1:24">
      <c r="A17" s="8">
        <v>46265</v>
      </c>
      <c r="B17" s="9" t="str">
        <v xml:space="preserve">REKA BENTUK RUMAH                       </v>
      </c>
      <c r="C17" s="9" t="str">
        <v>RMEH688</v>
      </c>
      <c r="D17" s="9">
        <v>2501005263304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Perpajakan</v>
      </c>
      <c r="J17" s="9">
        <v>50</v>
      </c>
      <c r="K17" s="9">
        <v>41</v>
      </c>
      <c r="L17" s="9" t="str">
        <v>Perpajakan</v>
      </c>
      <c r="M17" s="9" t="str">
        <v xml:space="preserve">KC Garut                                </v>
      </c>
      <c r="N17" s="9" t="str">
        <v xml:space="preserve">KC Garut                                </v>
      </c>
      <c r="O17" s="9" t="str">
        <v xml:space="preserve">Bandung                                 </v>
      </c>
      <c r="P17" s="9">
        <v>0</v>
      </c>
      <c r="Q17" s="9">
        <v>0</v>
      </c>
      <c r="R17" s="9" t="str">
        <v>Belum TL</v>
      </c>
      <c r="S17" s="9" t="str">
        <v>Belum TL</v>
      </c>
      <c r="T17" s="9" t="str">
        <v>00394520 - Frida Akbar Rani</v>
      </c>
      <c r="U17" s="9" t="str">
        <v>"-"</v>
      </c>
      <c r="V17" s="12" t="str">
        <f>[3]STR!$V17</f>
        <v>Gumilar Rudimaya</v>
      </c>
      <c r="W17" s="12"/>
      <c r="X17" s="14" t="b">
        <f>[3]STR!$X17</f>
        <v>0</v>
      </c>
    </row>
    <row r="18" spans="1:24">
      <c r="A18" s="8">
        <v>46265</v>
      </c>
      <c r="B18" s="9" t="str">
        <v xml:space="preserve">ROYAL MITRA SEHAT                       </v>
      </c>
      <c r="C18" s="9" t="str">
        <v>ROTM194</v>
      </c>
      <c r="D18" s="9">
        <v>38901001585304</v>
      </c>
      <c r="E18" s="9">
        <v>0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33</v>
      </c>
      <c r="K18" s="9">
        <v>41</v>
      </c>
      <c r="L18" s="9" t="str">
        <v>Perpajakan</v>
      </c>
      <c r="M18" s="9" t="str">
        <v xml:space="preserve">KC Bandung Martadinata                  </v>
      </c>
      <c r="N18" s="9" t="str">
        <v xml:space="preserve">KC Bandung Martadinata                  </v>
      </c>
      <c r="O18" s="9" t="str">
        <v xml:space="preserve">Bandung                                 </v>
      </c>
      <c r="P18" s="9">
        <v>0</v>
      </c>
      <c r="Q18" s="9">
        <v>0</v>
      </c>
      <c r="R18" s="9" t="str">
        <v>Belum TL</v>
      </c>
      <c r="S18" s="9" t="str">
        <v>Belum TL</v>
      </c>
      <c r="T18" s="9" t="str">
        <v>00336949 - Mochammad Al Farabi</v>
      </c>
      <c r="U18" s="9" t="str">
        <v>"-"</v>
      </c>
      <c r="V18" s="12" t="str">
        <f>[3]STR!$V18</f>
        <v>Gumilar Rudimaya</v>
      </c>
      <c r="W18" s="12"/>
      <c r="X18" s="14" t="b">
        <f>[3]STR!$X18</f>
        <v>0</v>
      </c>
    </row>
    <row r="19" spans="1:24">
      <c r="A19" s="8">
        <v>46265</v>
      </c>
      <c r="B19" s="9" t="str">
        <v xml:space="preserve">RULIE YANDI ADIETYA                     </v>
      </c>
      <c r="C19" s="9" t="str">
        <v>RROF839</v>
      </c>
      <c r="D19" s="9">
        <v>76201015872505</v>
      </c>
      <c r="E19" s="9">
        <v>0</v>
      </c>
      <c r="F19" s="9" t="str">
        <v>Tidak</v>
      </c>
      <c r="G19" s="9" t="str">
        <v>Tidak</v>
      </c>
      <c r="H19" s="9">
        <v>0</v>
      </c>
      <c r="I19" s="9" t="str">
        <v>Jual Beli Rekening - E channel Trx</v>
      </c>
      <c r="J19" s="9">
        <v>33</v>
      </c>
      <c r="K19" s="9">
        <v>113</v>
      </c>
      <c r="L19" s="9" t="str">
        <v>Narkotika/Judi Online/Penipuan</v>
      </c>
      <c r="M19" s="9" t="str">
        <v xml:space="preserve">UNIT BUAH BATU                          </v>
      </c>
      <c r="N19" s="9" t="str">
        <v xml:space="preserve">KC Bandung Naripan                      </v>
      </c>
      <c r="O19" s="9" t="str">
        <v xml:space="preserve">Bandung                                 </v>
      </c>
      <c r="P19" s="9">
        <v>0</v>
      </c>
      <c r="Q19" s="9">
        <v>0</v>
      </c>
      <c r="R19" s="9" t="str">
        <v>Belum TL</v>
      </c>
      <c r="S19" s="9" t="str">
        <v>Belum TL</v>
      </c>
      <c r="T19" s="9">
        <v>0</v>
      </c>
      <c r="U19" s="9" t="str">
        <v>"-"</v>
      </c>
      <c r="V19" s="12" t="str">
        <f>[3]STR!$V19</f>
        <v>Gumilar Rudimaya</v>
      </c>
      <c r="W19" s="12"/>
      <c r="X19" s="14" t="b">
        <f>[3]STR!$X19</f>
        <v>0</v>
      </c>
    </row>
    <row r="20" spans="1:24">
      <c r="A20" s="8">
        <v>46265</v>
      </c>
      <c r="B20" s="9" t="str">
        <v xml:space="preserve">PT TRI SAKTI PURWOSARI MAKMUR           </v>
      </c>
      <c r="C20" s="9" t="str">
        <v>TGR7069</v>
      </c>
      <c r="D20" s="9">
        <v>13201001552302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Perpajakan</v>
      </c>
      <c r="J20" s="9">
        <v>50</v>
      </c>
      <c r="K20" s="9">
        <v>1.33</v>
      </c>
      <c r="L20" s="9" t="str">
        <v>Perpajakan</v>
      </c>
      <c r="M20" s="9" t="str">
        <v xml:space="preserve">KC Majalaya                             </v>
      </c>
      <c r="N20" s="9" t="str">
        <v xml:space="preserve">KC Majalaya                             </v>
      </c>
      <c r="O20" s="9" t="str">
        <v xml:space="preserve">Bandung                                 </v>
      </c>
      <c r="P20" s="9">
        <v>0</v>
      </c>
      <c r="Q20" s="9">
        <v>0</v>
      </c>
      <c r="R20" s="9" t="str">
        <v>Belum TL</v>
      </c>
      <c r="S20" s="9" t="str">
        <v>Belum TL</v>
      </c>
      <c r="T20" s="9" t="str">
        <v>90185538 - Muhammad Fahikal Auz</v>
      </c>
      <c r="U20" s="9" t="str">
        <v>"-"</v>
      </c>
      <c r="V20" s="12" t="str">
        <f>[3]STR!$V20</f>
        <v>Gumilar Rudimaya</v>
      </c>
      <c r="W20" s="12"/>
      <c r="X20" s="14" t="b">
        <f>[3]STR!$X20</f>
        <v>0</v>
      </c>
    </row>
    <row r="21" spans="1:24">
      <c r="A21" s="8">
        <v>46265</v>
      </c>
      <c r="B21" s="9" t="str">
        <v xml:space="preserve">TAMIN                                   </v>
      </c>
      <c r="C21" s="9" t="str">
        <v>TOE0068</v>
      </c>
      <c r="D21" s="9">
        <v>434501017282538</v>
      </c>
      <c r="E21" s="9" t="str">
        <v>SEDANG</v>
      </c>
      <c r="F21" s="9" t="str">
        <v>Ya</v>
      </c>
      <c r="G21" s="9" t="str">
        <v>Tidak</v>
      </c>
      <c r="H21" s="9" t="str">
        <v>Tidak</v>
      </c>
      <c r="I21" s="9" t="str">
        <v>Narkotika - Area Lapas</v>
      </c>
      <c r="J21" s="9">
        <v>50</v>
      </c>
      <c r="K21" s="9">
        <v>46</v>
      </c>
      <c r="L21" s="9" t="str">
        <v>Narkotika</v>
      </c>
      <c r="M21" s="9" t="str">
        <v>UNIT SUKASARI PAMANUKAN</v>
      </c>
      <c r="N21" s="9" t="str">
        <v>KC Pamanukan</v>
      </c>
      <c r="O21" s="9" t="str">
        <v>Bandung</v>
      </c>
      <c r="P21" s="9">
        <v>0</v>
      </c>
      <c r="Q21" s="9">
        <v>0</v>
      </c>
      <c r="R21" s="9" t="str">
        <v>Belum TL</v>
      </c>
      <c r="S21" s="9" t="str">
        <v>Belum TL</v>
      </c>
      <c r="T21" s="9" t="str">
        <v>00394520 - Frida Akbar Rani</v>
      </c>
      <c r="U21" s="9" t="str">
        <v>"-"</v>
      </c>
      <c r="V21" s="12" t="str">
        <f>[3]STR!$V21</f>
        <v>Kartiwan Ferry</v>
      </c>
      <c r="W21" s="12"/>
      <c r="X21" s="14" t="b">
        <f>[3]STR!$X21</f>
        <v>0</v>
      </c>
    </row>
    <row r="22" spans="1:24">
      <c r="A22" s="8">
        <v>46265</v>
      </c>
      <c r="B22" s="9" t="str">
        <v xml:space="preserve">YUNI MULYANINGSIH                       </v>
      </c>
      <c r="C22" s="9" t="str">
        <v>YBV9448</v>
      </c>
      <c r="D22" s="9">
        <v>54201028018504</v>
      </c>
      <c r="E22" s="9">
        <v>0</v>
      </c>
      <c r="F22" s="9" t="str">
        <v>Tidak</v>
      </c>
      <c r="G22" s="9" t="str">
        <v>Tidak</v>
      </c>
      <c r="H22" s="9">
        <v>0</v>
      </c>
      <c r="I22" s="9" t="str">
        <v>Jual Beli Rekening - E channel Trx</v>
      </c>
      <c r="J22" s="9">
        <v>33</v>
      </c>
      <c r="K22" s="9">
        <v>113</v>
      </c>
      <c r="L22" s="9" t="str">
        <v>Narkotika/Judi Online/Penipuan</v>
      </c>
      <c r="M22" s="9" t="str">
        <v xml:space="preserve">KCP Pangandaran                         </v>
      </c>
      <c r="N22" s="9" t="str">
        <v xml:space="preserve">KC Banjar                               </v>
      </c>
      <c r="O22" s="9" t="str">
        <v xml:space="preserve">Bandung                                 </v>
      </c>
      <c r="P22" s="9">
        <v>0</v>
      </c>
      <c r="Q22" s="9">
        <v>0</v>
      </c>
      <c r="R22" s="9" t="str">
        <v>Belum TL</v>
      </c>
      <c r="S22" s="9" t="str">
        <v>Belum TL</v>
      </c>
      <c r="T22" s="9">
        <v>0</v>
      </c>
      <c r="U22" s="9" t="str">
        <v>"-"</v>
      </c>
      <c r="V22" s="12" t="str">
        <f>[3]STR!$V22</f>
        <v>Gesang Jumadi</v>
      </c>
      <c r="W22" s="12"/>
      <c r="X22" s="14" t="b">
        <f>[3]STR!$X22</f>
        <v>0</v>
      </c>
    </row>
    <row r="23" spans="1:24">
      <c r="A23" s="8">
        <v>46265</v>
      </c>
      <c r="B23" s="9" t="str">
        <v xml:space="preserve">YOSHY YOLANDARI                         </v>
      </c>
      <c r="C23" s="9" t="str">
        <v>YRM3561</v>
      </c>
      <c r="D23" s="9">
        <v>326501007174500</v>
      </c>
      <c r="E23" s="9">
        <v>0</v>
      </c>
      <c r="F23" s="9" t="str">
        <v>Tidak</v>
      </c>
      <c r="G23" s="9" t="str">
        <v>Tidak</v>
      </c>
      <c r="H23" s="9">
        <v>0</v>
      </c>
      <c r="I23" s="9" t="str">
        <v>Jual Beli Rekening - E channel Trx</v>
      </c>
      <c r="J23" s="9">
        <v>33</v>
      </c>
      <c r="K23" s="9">
        <v>113</v>
      </c>
      <c r="L23" s="9" t="str">
        <v>Narkotika/Judi Online/Penipuan</v>
      </c>
      <c r="M23" s="9" t="str">
        <v xml:space="preserve">UNIT SUKABUMI SELATAN                   </v>
      </c>
      <c r="N23" s="9" t="str">
        <v xml:space="preserve">KC Sukabumi                             </v>
      </c>
      <c r="O23" s="9" t="str">
        <v xml:space="preserve">Bandung                                 </v>
      </c>
      <c r="P23" s="9">
        <v>0</v>
      </c>
      <c r="Q23" s="9">
        <v>0</v>
      </c>
      <c r="R23" s="9" t="str">
        <v>Belum TL</v>
      </c>
      <c r="S23" s="9" t="str">
        <v>Belum TL</v>
      </c>
      <c r="T23" s="9">
        <v>0</v>
      </c>
      <c r="U23" s="9" t="str">
        <v>"-"</v>
      </c>
      <c r="V23" s="12" t="str">
        <f>[3]STR!$V23</f>
        <v>Kartiwan Ferry</v>
      </c>
      <c r="W23" s="12"/>
      <c r="X23" s="14" t="b">
        <f>[3]STR!$X23</f>
        <v>0</v>
      </c>
    </row>
    <row r="24" spans="1:24">
      <c r="A24" s="8">
        <v>46265</v>
      </c>
      <c r="B24" s="9" t="str">
        <v xml:space="preserve">ZULHAM FADILAH                          </v>
      </c>
      <c r="C24" s="9" t="str">
        <v>ZR88602</v>
      </c>
      <c r="D24" s="9">
        <v>10501174459509</v>
      </c>
      <c r="E24" s="9">
        <v>0</v>
      </c>
      <c r="F24" s="9" t="str">
        <v>Tidak</v>
      </c>
      <c r="G24" s="9" t="str">
        <v>Tidak</v>
      </c>
      <c r="H24" s="9">
        <v>0</v>
      </c>
      <c r="I24" s="9" t="str">
        <v>Jual Beli Rekening - E channel Trx</v>
      </c>
      <c r="J24" s="9">
        <v>33</v>
      </c>
      <c r="K24" s="9">
        <v>113</v>
      </c>
      <c r="L24" s="9" t="str">
        <v>Narkotika/Judi Online/Penipuan</v>
      </c>
      <c r="M24" s="9" t="str">
        <v xml:space="preserve">KC Cianjur                              </v>
      </c>
      <c r="N24" s="9" t="str">
        <v xml:space="preserve">KC Cianjur                              </v>
      </c>
      <c r="O24" s="9" t="str">
        <v xml:space="preserve">Bandung                                 </v>
      </c>
      <c r="P24" s="9">
        <v>0</v>
      </c>
      <c r="Q24" s="9">
        <v>0</v>
      </c>
      <c r="R24" s="9" t="str">
        <v>Belum TL</v>
      </c>
      <c r="S24" s="9" t="str">
        <v>Belum TL</v>
      </c>
      <c r="T24" s="9">
        <v>0</v>
      </c>
      <c r="U24" s="9" t="str">
        <v>"-"</v>
      </c>
      <c r="V24" s="12" t="str">
        <f>[3]STR!$V24</f>
        <v>Gesang Jumadi</v>
      </c>
      <c r="W24" s="12"/>
      <c r="X24" s="14" t="b">
        <f>[3]STR!$X24</f>
        <v>0</v>
      </c>
    </row>
    <row r="25" spans="1:24">
      <c r="A25" s="8">
        <v>46265</v>
      </c>
      <c r="B25" s="9" t="str">
        <v xml:space="preserve">RISMA DARA FEBRIYANTI                   </v>
      </c>
      <c r="C25" s="9" t="str">
        <v>RJCM413</v>
      </c>
      <c r="D25" s="9">
        <v>9201001475568</v>
      </c>
      <c r="E25" s="9" t="str">
        <v>SEDANG</v>
      </c>
      <c r="F25" s="9" t="str">
        <v>Tidak</v>
      </c>
      <c r="G25" s="9" t="str">
        <v>Tidak</v>
      </c>
      <c r="H25" s="9" t="str">
        <v>Tidak</v>
      </c>
      <c r="I25" s="9" t="str">
        <v>Narkotika - Area Lapas</v>
      </c>
      <c r="J25" s="9">
        <v>50</v>
      </c>
      <c r="K25" s="9">
        <v>46</v>
      </c>
      <c r="L25" s="9" t="str">
        <v>Narkotika</v>
      </c>
      <c r="M25" s="9" t="str">
        <v>KC Sukabumi</v>
      </c>
      <c r="N25" s="9" t="str">
        <v>KC Sukabumi</v>
      </c>
      <c r="O25" s="9" t="str">
        <v>Bandung</v>
      </c>
      <c r="P25" s="9" t="str">
        <v>Ya</v>
      </c>
      <c r="Q25" s="9" t="str">
        <v>Tidak</v>
      </c>
      <c r="R25" s="9" t="str">
        <v>Pending Approver</v>
      </c>
      <c r="S25" s="9" t="str">
        <v>Approved</v>
      </c>
      <c r="T25" s="9" t="str">
        <v>00394521 - Muhammad Hibbanduta</v>
      </c>
      <c r="U25" s="9" t="str">
        <v>"-"</v>
      </c>
      <c r="V25" s="12" t="str">
        <f>[3]STR!$V25</f>
        <v>Gesang Jumadi</v>
      </c>
      <c r="W25" s="12"/>
      <c r="X25" s="14" t="b">
        <f>[3]STR!$X25</f>
        <v>1</v>
      </c>
    </row>
    <row r="26" spans="1:24">
      <c r="A26" s="8">
        <v>46265</v>
      </c>
      <c r="B26" s="9" t="str">
        <v xml:space="preserve">ELSA ELSANI RACHMADANI S                </v>
      </c>
      <c r="C26" s="9" t="str">
        <v>ECP2218</v>
      </c>
      <c r="D26" s="9">
        <v>9201002315567</v>
      </c>
      <c r="E26" s="9" t="str">
        <v>SEDANG</v>
      </c>
      <c r="F26" s="9" t="str">
        <v>Tidak</v>
      </c>
      <c r="G26" s="9" t="str">
        <v>Tidak</v>
      </c>
      <c r="H26" s="9" t="str">
        <v>Tidak</v>
      </c>
      <c r="I26" s="9" t="str">
        <v>Narkotika - Area Lapas</v>
      </c>
      <c r="J26" s="9">
        <v>50</v>
      </c>
      <c r="K26" s="9">
        <v>46</v>
      </c>
      <c r="L26" s="9" t="str">
        <v>Narkotika</v>
      </c>
      <c r="M26" s="9" t="str">
        <v>KC Sukabumi</v>
      </c>
      <c r="N26" s="9" t="str">
        <v>KC Sukabumi</v>
      </c>
      <c r="O26" s="9" t="str">
        <v>Bandung</v>
      </c>
      <c r="P26" s="9" t="str">
        <v>Tidak</v>
      </c>
      <c r="Q26" s="9" t="str">
        <v>Tidak</v>
      </c>
      <c r="R26" s="9" t="str">
        <v>Pending Approver</v>
      </c>
      <c r="S26" s="9" t="str">
        <v>Approved</v>
      </c>
      <c r="T26" s="9" t="str">
        <v>90170665 - Mutiara Ayuningtyas</v>
      </c>
      <c r="U26" s="9" t="str">
        <v>"-"</v>
      </c>
      <c r="V26" s="12" t="str">
        <f>[3]STR!$V26</f>
        <v>Gesang Jumadi</v>
      </c>
      <c r="W26" s="12"/>
      <c r="X26" s="14" t="b">
        <f>[3]STR!$X26</f>
        <v>1</v>
      </c>
    </row>
    <row r="27" spans="1:24">
      <c r="A27" s="8">
        <v>46265</v>
      </c>
      <c r="B27" s="9" t="str">
        <v xml:space="preserve">DENA MEILANDIRA                         </v>
      </c>
      <c r="C27" s="9" t="str">
        <v>DCES557</v>
      </c>
      <c r="D27" s="9">
        <v>440101034748531</v>
      </c>
      <c r="E27" s="9" t="str">
        <v>SEDANG</v>
      </c>
      <c r="F27" s="9" t="str">
        <v>Ya</v>
      </c>
      <c r="G27" s="9" t="str">
        <v>Tidak</v>
      </c>
      <c r="H27" s="9" t="str">
        <v>Tidak</v>
      </c>
      <c r="I27" s="9" t="str">
        <v>Pencurian Rekening</v>
      </c>
      <c r="J27" s="9">
        <v>49</v>
      </c>
      <c r="K27" s="9">
        <v>59</v>
      </c>
      <c r="L27" s="9" t="str">
        <v>Perbankan</v>
      </c>
      <c r="M27" s="9" t="str">
        <v xml:space="preserve">UNIT CIRACAP SUKABUMI                   </v>
      </c>
      <c r="N27" s="9" t="str">
        <v xml:space="preserve">KC Sukabumi                             </v>
      </c>
      <c r="O27" s="9" t="str">
        <v xml:space="preserve">Bandung                                 </v>
      </c>
      <c r="P27" s="9" t="str">
        <v>Tidak</v>
      </c>
      <c r="Q27" s="9" t="str">
        <v>Tidak</v>
      </c>
      <c r="R27" s="9" t="str">
        <v>Pending Approver</v>
      </c>
      <c r="S27" s="9" t="str">
        <v>Approved</v>
      </c>
      <c r="T27" s="9" t="str">
        <v>00394520 - Frida Akbar Rani</v>
      </c>
      <c r="U27" s="9" t="str">
        <v>"-"</v>
      </c>
      <c r="V27" s="12" t="str">
        <f>[3]STR!$V27</f>
        <v>Gesang Jumadi</v>
      </c>
      <c r="W27" s="12"/>
      <c r="X27" s="14" t="b">
        <f>[3]STR!$X27</f>
        <v>1</v>
      </c>
    </row>
    <row r="28" spans="1:24">
      <c r="A28" s="8">
        <v>46265</v>
      </c>
      <c r="B28" s="9" t="str">
        <v xml:space="preserve">MARIA MARTOGI SITUMORANG                </v>
      </c>
      <c r="C28" s="9" t="str">
        <v>MJUP858</v>
      </c>
      <c r="D28" s="9">
        <v>501120307508</v>
      </c>
      <c r="E28" s="9" t="str">
        <v>SEDANG</v>
      </c>
      <c r="F28" s="9" t="str">
        <v>Tidak</v>
      </c>
      <c r="G28" s="9" t="str">
        <v>Tidak</v>
      </c>
      <c r="H28" s="9" t="str">
        <v>Tidak</v>
      </c>
      <c r="I28" s="9" t="str">
        <v>Narkotika - Area Lapas</v>
      </c>
      <c r="J28" s="9">
        <v>50</v>
      </c>
      <c r="K28" s="9">
        <v>48</v>
      </c>
      <c r="L28" s="9" t="str">
        <v>Narkotika</v>
      </c>
      <c r="M28" s="9" t="str">
        <v>KC Bandung AA</v>
      </c>
      <c r="N28" s="9" t="str">
        <v>KC Bandung AA</v>
      </c>
      <c r="O28" s="9" t="str">
        <v>Bandung</v>
      </c>
      <c r="P28" s="9" t="str">
        <v>Ya</v>
      </c>
      <c r="Q28" s="9">
        <v>0</v>
      </c>
      <c r="R28" s="9" t="str">
        <v>Done</v>
      </c>
      <c r="S28" s="9" t="str">
        <v>Belum TL</v>
      </c>
      <c r="T28" s="9" t="str">
        <v>00336949 - Mochammad Al Farabi</v>
      </c>
      <c r="U28" s="9" t="str">
        <v>"-"</v>
      </c>
      <c r="V28" s="12" t="str">
        <f>[3]STR!$V28</f>
        <v>Kartiwan Ferry</v>
      </c>
      <c r="W28" s="12"/>
      <c r="X28" s="14" t="b">
        <f>[3]STR!$X28</f>
        <v>0</v>
      </c>
    </row>
    <row r="29" spans="1:24">
      <c r="A29" s="8">
        <v>46265</v>
      </c>
      <c r="B29" s="9" t="str">
        <v xml:space="preserve">PT TAKABEA RESHI CONSULINDO             </v>
      </c>
      <c r="C29" s="9" t="str">
        <v>PNT0204</v>
      </c>
      <c r="D29" s="9">
        <v>501005617565</v>
      </c>
      <c r="E29" s="9">
        <v>0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33</v>
      </c>
      <c r="K29" s="9">
        <v>41</v>
      </c>
      <c r="L29" s="9" t="str">
        <v>Perpajakan</v>
      </c>
      <c r="M29" s="9" t="str">
        <v xml:space="preserve">KC Bandung AA                           </v>
      </c>
      <c r="N29" s="9" t="str">
        <v xml:space="preserve">KC Bandung AA                           </v>
      </c>
      <c r="O29" s="9" t="str">
        <v xml:space="preserve">Bandung                                 </v>
      </c>
      <c r="P29" s="9" t="str">
        <v>Tidak</v>
      </c>
      <c r="Q29" s="9" t="str">
        <v>Tidak</v>
      </c>
      <c r="R29" s="9" t="str">
        <v>Done</v>
      </c>
      <c r="S29" s="9" t="str">
        <v>Pending Checker</v>
      </c>
      <c r="T29" s="9" t="str">
        <v>00394521 - Muhammad Hibbanduta</v>
      </c>
      <c r="U29" s="9" t="str">
        <v>"-"</v>
      </c>
      <c r="V29" s="12" t="str">
        <f>[3]STR!$V29</f>
        <v>Gesang Jumadi</v>
      </c>
      <c r="W29" s="12"/>
      <c r="X29" s="14" t="b">
        <f>[3]STR!$X29</f>
        <v>1</v>
      </c>
    </row>
    <row r="30" spans="1:24">
      <c r="A30" s="8">
        <v>46265</v>
      </c>
      <c r="B30" s="9" t="str">
        <v xml:space="preserve">PT SETIAP HARI BERUNTUNG                </v>
      </c>
      <c r="C30" s="9" t="str">
        <v>PNH3807</v>
      </c>
      <c r="D30" s="9">
        <v>501575757560</v>
      </c>
      <c r="E30" s="9">
        <v>0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33</v>
      </c>
      <c r="K30" s="9">
        <v>41</v>
      </c>
      <c r="L30" s="9" t="str">
        <v>Perpajakan</v>
      </c>
      <c r="M30" s="9" t="str">
        <v xml:space="preserve">KC Bandung AA                           </v>
      </c>
      <c r="N30" s="9" t="str">
        <v xml:space="preserve">KC Bandung AA                           </v>
      </c>
      <c r="O30" s="9" t="str">
        <v xml:space="preserve">Bandung                                 </v>
      </c>
      <c r="P30" s="9" t="str">
        <v>Tidak</v>
      </c>
      <c r="Q30" s="9" t="str">
        <v>Tidak</v>
      </c>
      <c r="R30" s="9" t="str">
        <v>Done</v>
      </c>
      <c r="S30" s="9" t="str">
        <v>Pending Checker</v>
      </c>
      <c r="T30" s="9" t="str">
        <v>90186790 - Muhammad Alfin Farha</v>
      </c>
      <c r="U30" s="9" t="str">
        <v>"-"</v>
      </c>
      <c r="V30" s="12" t="str">
        <f>[3]STR!$V30</f>
        <v>Gesang Jumadi</v>
      </c>
      <c r="W30" s="12"/>
      <c r="X30" s="14" t="b">
        <f>[3]STR!$X30</f>
        <v>1</v>
      </c>
    </row>
    <row r="31" spans="1:24">
      <c r="A31" s="8">
        <v>46265</v>
      </c>
      <c r="B31" s="9" t="str">
        <v xml:space="preserve">RUANG ANTAR BINTANG                     </v>
      </c>
      <c r="C31" s="9" t="str">
        <v>RKQO123</v>
      </c>
      <c r="D31" s="9">
        <v>40501001560302</v>
      </c>
      <c r="E31" s="9" t="str">
        <v>SEDANG</v>
      </c>
      <c r="F31" s="9" t="str">
        <v>Tidak</v>
      </c>
      <c r="G31" s="9" t="str">
        <v>Tidak</v>
      </c>
      <c r="H31" s="9" t="str">
        <v>Tidak</v>
      </c>
      <c r="I31" s="9" t="str">
        <v>Perpajakan</v>
      </c>
      <c r="J31" s="9">
        <v>48</v>
      </c>
      <c r="K31" s="9">
        <v>41</v>
      </c>
      <c r="L31" s="9" t="str">
        <v>Perpajakan</v>
      </c>
      <c r="M31" s="9" t="str">
        <v xml:space="preserve">KC Bandung Dago                         </v>
      </c>
      <c r="N31" s="9" t="str">
        <v xml:space="preserve">KC Bandung Dago                         </v>
      </c>
      <c r="O31" s="9" t="str">
        <v xml:space="preserve">Bandung                                 </v>
      </c>
      <c r="P31" s="9" t="str">
        <v>Tidak</v>
      </c>
      <c r="Q31" s="9" t="str">
        <v>Tidak</v>
      </c>
      <c r="R31" s="9" t="str">
        <v>Done</v>
      </c>
      <c r="S31" s="9" t="str">
        <v>Pending Checker</v>
      </c>
      <c r="T31" s="9" t="str">
        <v>00394520 - Frida Akbar Rani</v>
      </c>
      <c r="U31" s="9" t="str">
        <v>"-"</v>
      </c>
      <c r="V31" s="12" t="str">
        <f>[3]STR!$V31</f>
        <v>Gesang Jumadi</v>
      </c>
      <c r="W31" s="12"/>
      <c r="X31" s="14" t="b">
        <f>[3]STR!$X31</f>
        <v>1</v>
      </c>
    </row>
    <row r="32" spans="1:24">
      <c r="A32" s="8">
        <v>46265</v>
      </c>
      <c r="B32" s="9" t="str">
        <v xml:space="preserve">POS INDONESIA                           </v>
      </c>
      <c r="C32" s="9" t="str">
        <v>P020200</v>
      </c>
      <c r="D32" s="9">
        <v>501003551307</v>
      </c>
      <c r="E32" s="9" t="str">
        <v>SEDANG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49</v>
      </c>
      <c r="K32" s="9">
        <v>1.33</v>
      </c>
      <c r="L32" s="9" t="str">
        <v>Perpajakan</v>
      </c>
      <c r="M32" s="9" t="str">
        <v xml:space="preserve">KC Bandung AA                           </v>
      </c>
      <c r="N32" s="9" t="str">
        <v xml:space="preserve">KC Bandung AA                           </v>
      </c>
      <c r="O32" s="9" t="str">
        <v xml:space="preserve">Bandung                                 </v>
      </c>
      <c r="P32" s="9" t="str">
        <v>Tidak</v>
      </c>
      <c r="Q32" s="9" t="str">
        <v>Tidak</v>
      </c>
      <c r="R32" s="9" t="str">
        <v>Done</v>
      </c>
      <c r="S32" s="9" t="str">
        <v>Pending Checker</v>
      </c>
      <c r="T32" s="9" t="str">
        <v>90186790 - Muhammad Alfin Farha</v>
      </c>
      <c r="U32" s="9" t="str">
        <v>"-"</v>
      </c>
      <c r="V32" s="12" t="str">
        <f>[3]STR!$V32</f>
        <v>Gesang Jumadi</v>
      </c>
      <c r="W32" s="12"/>
      <c r="X32" s="14" t="b">
        <f>[3]STR!$X32</f>
        <v>1</v>
      </c>
    </row>
    <row r="33" spans="1:24">
      <c r="A33" s="8">
        <v>46265</v>
      </c>
      <c r="B33" s="9" t="str">
        <v xml:space="preserve">P3SRSS                                  </v>
      </c>
      <c r="C33" s="9" t="str">
        <v>PKC2131</v>
      </c>
      <c r="D33" s="9">
        <v>28601002831300</v>
      </c>
      <c r="E33" s="9" t="str">
        <v>SEDANG</v>
      </c>
      <c r="F33" s="9" t="str">
        <v>Tidak</v>
      </c>
      <c r="G33" s="9" t="str">
        <v>Tidak</v>
      </c>
      <c r="H33" s="9" t="str">
        <v>Tidak</v>
      </c>
      <c r="I33" s="9" t="str">
        <v>Perpajakan</v>
      </c>
      <c r="J33" s="9">
        <v>48</v>
      </c>
      <c r="K33" s="9">
        <v>41</v>
      </c>
      <c r="L33" s="9" t="str">
        <v>Perpajakan</v>
      </c>
      <c r="M33" s="9" t="str">
        <v xml:space="preserve">KC Bandung Dewi Sartika                 </v>
      </c>
      <c r="N33" s="9" t="str">
        <v xml:space="preserve">KC Bandung Dewi Sartika                 </v>
      </c>
      <c r="O33" s="9" t="str">
        <v xml:space="preserve">Bandung                                 </v>
      </c>
      <c r="P33" s="9" t="str">
        <v>Tidak</v>
      </c>
      <c r="Q33" s="9" t="str">
        <v>Tidak</v>
      </c>
      <c r="R33" s="9" t="str">
        <v>Done</v>
      </c>
      <c r="S33" s="9" t="str">
        <v>Pending Checker</v>
      </c>
      <c r="T33" s="9" t="str">
        <v>90170665 - Mutiara Ayuningtyas</v>
      </c>
      <c r="U33" s="9" t="str">
        <v>"-"</v>
      </c>
      <c r="V33" s="12" t="str">
        <f>[3]STR!$V33</f>
        <v>Gumilar Rudimaya</v>
      </c>
      <c r="W33" s="12"/>
      <c r="X33" s="14" t="b">
        <f>[3]STR!$X33</f>
        <v>1</v>
      </c>
    </row>
    <row r="34" spans="1:24">
      <c r="A34" s="8">
        <v>46265</v>
      </c>
      <c r="B34" s="9" t="str">
        <v xml:space="preserve">SOLUSI INTEGRASI LAYANAN KONEKTIVITAS   </v>
      </c>
      <c r="C34" s="9" t="str">
        <v>SKEFN78</v>
      </c>
      <c r="D34" s="9">
        <v>40501001865304</v>
      </c>
      <c r="E34" s="9">
        <v>0</v>
      </c>
      <c r="F34" s="9" t="str">
        <v>Tidak</v>
      </c>
      <c r="G34" s="9" t="str">
        <v>Tidak</v>
      </c>
      <c r="H34" s="9" t="str">
        <v>Tidak</v>
      </c>
      <c r="I34" s="9" t="str">
        <v>Perpajakan</v>
      </c>
      <c r="J34" s="9">
        <v>33</v>
      </c>
      <c r="K34" s="9">
        <v>41</v>
      </c>
      <c r="L34" s="9" t="str">
        <v>Perpajakan</v>
      </c>
      <c r="M34" s="9" t="str">
        <v xml:space="preserve">KC Bandung Dago                         </v>
      </c>
      <c r="N34" s="9" t="str">
        <v xml:space="preserve">KC Bandung Dago                         </v>
      </c>
      <c r="O34" s="9" t="str">
        <v xml:space="preserve">Bandung                                 </v>
      </c>
      <c r="P34" s="9" t="str">
        <v>Tidak</v>
      </c>
      <c r="Q34" s="9" t="str">
        <v>Tidak</v>
      </c>
      <c r="R34" s="9" t="str">
        <v>Done</v>
      </c>
      <c r="S34" s="9" t="str">
        <v>Pending Checker</v>
      </c>
      <c r="T34" s="9" t="str">
        <v>90171841 - Rifqi Aziz</v>
      </c>
      <c r="U34" s="9" t="str">
        <v>"-"</v>
      </c>
      <c r="V34" s="12" t="str">
        <f>[3]STR!$V34</f>
        <v>Gesang Jumadi</v>
      </c>
      <c r="W34" s="12"/>
      <c r="X34" s="14" t="b">
        <f>[3]STR!$X34</f>
        <v>1</v>
      </c>
    </row>
    <row r="35" spans="1:24">
      <c r="A35" s="8">
        <v>46265</v>
      </c>
      <c r="B35" s="9" t="str">
        <v xml:space="preserve">VIA MARGARETTA                          </v>
      </c>
      <c r="C35" s="9" t="str">
        <v>V615279</v>
      </c>
      <c r="D35" s="9">
        <v>40101000926567</v>
      </c>
      <c r="E35" s="9" t="str">
        <v>TINGGI</v>
      </c>
      <c r="F35" s="9" t="str">
        <v>Ya</v>
      </c>
      <c r="G35" s="9" t="str">
        <v>Tidak</v>
      </c>
      <c r="H35" s="9" t="str">
        <v>Tidak</v>
      </c>
      <c r="I35" s="9" t="str">
        <v>Perpajakan</v>
      </c>
      <c r="J35" s="9">
        <v>75</v>
      </c>
      <c r="K35" s="9">
        <v>1.33</v>
      </c>
      <c r="L35" s="9" t="str">
        <v>Perpajakan</v>
      </c>
      <c r="M35" s="9" t="str">
        <v xml:space="preserve">KC Bandung Kopo                         </v>
      </c>
      <c r="N35" s="9" t="str">
        <v xml:space="preserve">KC Bandung Kopo                         </v>
      </c>
      <c r="O35" s="9" t="str">
        <v xml:space="preserve">Bandung                                 </v>
      </c>
      <c r="P35" s="9" t="str">
        <v>Tidak</v>
      </c>
      <c r="Q35" s="9" t="str">
        <v>Tidak</v>
      </c>
      <c r="R35" s="9" t="str">
        <v>Done</v>
      </c>
      <c r="S35" s="9" t="str">
        <v>Pending Checker</v>
      </c>
      <c r="T35" s="9" t="str">
        <v>90186790 - Muhammad Alfin Farha</v>
      </c>
      <c r="U35" s="9" t="str">
        <v>"-"</v>
      </c>
      <c r="V35" s="12" t="str">
        <f>[3]STR!$V35</f>
        <v>Gesang Jumadi</v>
      </c>
      <c r="W35" s="12"/>
      <c r="X35" s="14" t="b">
        <f>[3]STR!$X35</f>
        <v>1</v>
      </c>
    </row>
    <row r="36" spans="1:24">
      <c r="A36" s="8">
        <v>46265</v>
      </c>
      <c r="B36" s="9" t="str">
        <v xml:space="preserve">GOLDEN MOTOR BERSINAR                   </v>
      </c>
      <c r="C36" s="9" t="str">
        <v>GV86074</v>
      </c>
      <c r="D36" s="9">
        <v>40501999990564</v>
      </c>
      <c r="E36" s="9">
        <v>0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33</v>
      </c>
      <c r="K36" s="9">
        <v>41</v>
      </c>
      <c r="L36" s="9" t="str">
        <v>Perpajakan</v>
      </c>
      <c r="M36" s="9" t="str">
        <v xml:space="preserve">KC Bandung Dago                         </v>
      </c>
      <c r="N36" s="9" t="str">
        <v xml:space="preserve">KC Bandung Dago                         </v>
      </c>
      <c r="O36" s="9" t="str">
        <v xml:space="preserve">Bandung                                 </v>
      </c>
      <c r="P36" s="9" t="str">
        <v>Tidak</v>
      </c>
      <c r="Q36" s="9" t="str">
        <v>Tidak</v>
      </c>
      <c r="R36" s="9" t="str">
        <v>Done</v>
      </c>
      <c r="S36" s="9" t="str">
        <v>Pending Checker</v>
      </c>
      <c r="T36" s="9" t="str">
        <v>00394520 - Frida Akbar Rani</v>
      </c>
      <c r="U36" s="9" t="str">
        <v>"-"</v>
      </c>
      <c r="V36" s="12" t="str">
        <f>[3]STR!$V36</f>
        <v>Gesang Jumadi</v>
      </c>
      <c r="W36" s="12"/>
      <c r="X36" s="14" t="b">
        <f>[3]STR!$X36</f>
        <v>1</v>
      </c>
    </row>
    <row r="37" spans="1:24">
      <c r="A37" s="8">
        <v>46265</v>
      </c>
      <c r="B37" s="9" t="str">
        <v xml:space="preserve">HALLAA KREASI NUSANTARA                 </v>
      </c>
      <c r="C37" s="9" t="str">
        <v>HAFL387</v>
      </c>
      <c r="D37" s="9">
        <v>40501001777307</v>
      </c>
      <c r="E37" s="9" t="str">
        <v>SEDANG</v>
      </c>
      <c r="F37" s="9" t="str">
        <v>Tidak</v>
      </c>
      <c r="G37" s="9" t="str">
        <v>Tidak</v>
      </c>
      <c r="H37" s="9" t="str">
        <v>Tidak</v>
      </c>
      <c r="I37" s="9" t="str">
        <v>Perpajakan</v>
      </c>
      <c r="J37" s="9">
        <v>50</v>
      </c>
      <c r="K37" s="9">
        <v>41</v>
      </c>
      <c r="L37" s="9" t="str">
        <v>Perpajakan</v>
      </c>
      <c r="M37" s="9" t="str">
        <v xml:space="preserve">KC Bandung Dago                         </v>
      </c>
      <c r="N37" s="9" t="str">
        <v xml:space="preserve">KC Bandung Dago                         </v>
      </c>
      <c r="O37" s="9" t="str">
        <v xml:space="preserve">Bandung                                 </v>
      </c>
      <c r="P37" s="9" t="str">
        <v>Tidak</v>
      </c>
      <c r="Q37" s="9" t="str">
        <v>Tidak</v>
      </c>
      <c r="R37" s="9" t="str">
        <v>Done</v>
      </c>
      <c r="S37" s="9" t="str">
        <v>Pending Checker</v>
      </c>
      <c r="T37" s="9" t="str">
        <v>90186796 - Devito Arya Wiradila</v>
      </c>
      <c r="U37" s="9" t="str">
        <v>"-"</v>
      </c>
      <c r="V37" s="12" t="str">
        <f>[3]STR!$V37</f>
        <v>Gesang Jumadi</v>
      </c>
      <c r="W37" s="12"/>
      <c r="X37" s="14" t="b">
        <f>[3]STR!$X37</f>
        <v>1</v>
      </c>
    </row>
    <row r="38" spans="1:24">
      <c r="A38" s="8">
        <v>46265</v>
      </c>
      <c r="B38" s="9" t="str">
        <v xml:space="preserve">HEDI HERMAWAN                           </v>
      </c>
      <c r="C38" s="9" t="str">
        <v>HEA4717</v>
      </c>
      <c r="D38" s="9">
        <v>40101000525565</v>
      </c>
      <c r="E38" s="9" t="str">
        <v>SEDANG</v>
      </c>
      <c r="F38" s="9" t="str">
        <v>Tidak</v>
      </c>
      <c r="G38" s="9" t="str">
        <v>Tidak</v>
      </c>
      <c r="H38" s="9" t="str">
        <v>Tidak</v>
      </c>
      <c r="I38" s="9" t="str">
        <v>Perpajakan</v>
      </c>
      <c r="J38" s="9">
        <v>60</v>
      </c>
      <c r="K38" s="9">
        <v>1.33</v>
      </c>
      <c r="L38" s="9" t="str">
        <v>Perpajakan</v>
      </c>
      <c r="M38" s="9" t="str">
        <v xml:space="preserve">KC Bandung Kopo                         </v>
      </c>
      <c r="N38" s="9" t="str">
        <v xml:space="preserve">KC Bandung Kopo                         </v>
      </c>
      <c r="O38" s="9" t="str">
        <v xml:space="preserve">Bandung                                 </v>
      </c>
      <c r="P38" s="9" t="str">
        <v>Tidak</v>
      </c>
      <c r="Q38" s="9" t="str">
        <v>Tidak</v>
      </c>
      <c r="R38" s="9" t="str">
        <v>Done</v>
      </c>
      <c r="S38" s="9" t="str">
        <v>Pending Checker</v>
      </c>
      <c r="T38" s="9" t="str">
        <v>00336949 - Mochammad Al Farabi</v>
      </c>
      <c r="U38" s="9" t="str">
        <v>"-"</v>
      </c>
      <c r="V38" s="12" t="str">
        <f>[3]STR!$V38</f>
        <v>Gesang Jumadi</v>
      </c>
      <c r="W38" s="12"/>
      <c r="X38" s="14" t="b">
        <f>[3]STR!$X38</f>
        <v>1</v>
      </c>
    </row>
    <row r="39" spans="1:24">
      <c r="A39" s="8">
        <v>46265</v>
      </c>
      <c r="B39" s="9" t="str">
        <v xml:space="preserve">MITRA DISTRIBUSI SEMBAKO                </v>
      </c>
      <c r="C39" s="9" t="str">
        <v>MACOR46</v>
      </c>
      <c r="D39" s="9">
        <v>501999999566</v>
      </c>
      <c r="E39" s="9" t="str">
        <v>SEDANG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50</v>
      </c>
      <c r="K39" s="9">
        <v>41</v>
      </c>
      <c r="L39" s="9" t="str">
        <v>Perpajakan</v>
      </c>
      <c r="M39" s="9" t="str">
        <v xml:space="preserve">KC Bandung AA                           </v>
      </c>
      <c r="N39" s="9" t="str">
        <v xml:space="preserve">KC Bandung AA                           </v>
      </c>
      <c r="O39" s="9" t="str">
        <v xml:space="preserve">Bandung                                 </v>
      </c>
      <c r="P39" s="9" t="str">
        <v>Tidak</v>
      </c>
      <c r="Q39" s="9" t="str">
        <v>Tidak</v>
      </c>
      <c r="R39" s="9" t="str">
        <v>Done</v>
      </c>
      <c r="S39" s="9" t="str">
        <v>Pending Checker</v>
      </c>
      <c r="T39" s="9" t="str">
        <v>00394520 - Frida Akbar Rani</v>
      </c>
      <c r="U39" s="9" t="str">
        <v>"-"</v>
      </c>
      <c r="V39" s="12" t="str">
        <f>[3]STR!$V39</f>
        <v>Gesang Jumadi</v>
      </c>
      <c r="W39" s="12"/>
      <c r="X39" s="14" t="b">
        <f>[3]STR!$X39</f>
        <v>1</v>
      </c>
    </row>
    <row r="40" spans="1:24">
      <c r="A40" s="8">
        <v>46265</v>
      </c>
      <c r="B40" s="9" t="str">
        <v xml:space="preserve">MEGA ABADI SENTOSA                      </v>
      </c>
      <c r="C40" s="9" t="str">
        <v>MAFDF97</v>
      </c>
      <c r="D40" s="9">
        <v>28601003171305</v>
      </c>
      <c r="E40" s="9" t="str">
        <v>SEDANG</v>
      </c>
      <c r="F40" s="9" t="str">
        <v>Tidak</v>
      </c>
      <c r="G40" s="9" t="str">
        <v>Tidak</v>
      </c>
      <c r="H40" s="9" t="str">
        <v>Tidak</v>
      </c>
      <c r="I40" s="9" t="str">
        <v>Perpajakan</v>
      </c>
      <c r="J40" s="9">
        <v>48</v>
      </c>
      <c r="K40" s="9">
        <v>41</v>
      </c>
      <c r="L40" s="9" t="str">
        <v>Perpajakan</v>
      </c>
      <c r="M40" s="9" t="str">
        <v xml:space="preserve">KC Bandung Dewi Sartika                 </v>
      </c>
      <c r="N40" s="9" t="str">
        <v xml:space="preserve">KC Bandung Dewi Sartika                 </v>
      </c>
      <c r="O40" s="9" t="str">
        <v xml:space="preserve">Bandung                                 </v>
      </c>
      <c r="P40" s="9" t="str">
        <v>Tidak</v>
      </c>
      <c r="Q40" s="9" t="str">
        <v>Tidak</v>
      </c>
      <c r="R40" s="9" t="str">
        <v>Done</v>
      </c>
      <c r="S40" s="9" t="str">
        <v>Pending Checker</v>
      </c>
      <c r="T40" s="9" t="str">
        <v>90150130 - Intan Aida Pratiwi</v>
      </c>
      <c r="U40" s="9" t="str">
        <v>"-"</v>
      </c>
      <c r="V40" s="12" t="str">
        <f>[3]STR!$V40</f>
        <v>Gumilar Rudimaya</v>
      </c>
      <c r="W40" s="12"/>
      <c r="X40" s="14" t="b">
        <f>[3]STR!$X40</f>
        <v>1</v>
      </c>
    </row>
    <row r="41" spans="1:24">
      <c r="A41" s="8">
        <v>46265</v>
      </c>
      <c r="B41" s="9" t="str">
        <v xml:space="preserve">KOMA TANPA TITIK                        </v>
      </c>
      <c r="C41" s="9" t="str">
        <v>KAIX564</v>
      </c>
      <c r="D41" s="9">
        <v>40501001826300</v>
      </c>
      <c r="E41" s="9">
        <v>0</v>
      </c>
      <c r="F41" s="9" t="str">
        <v>Tidak</v>
      </c>
      <c r="G41" s="9" t="str">
        <v>Tidak</v>
      </c>
      <c r="H41" s="9" t="str">
        <v>Tidak</v>
      </c>
      <c r="I41" s="9" t="str">
        <v>Perpajakan</v>
      </c>
      <c r="J41" s="9">
        <v>35</v>
      </c>
      <c r="K41" s="9">
        <v>41</v>
      </c>
      <c r="L41" s="9" t="str">
        <v>Perpajakan</v>
      </c>
      <c r="M41" s="9" t="str">
        <v xml:space="preserve">KC Bandung Dago                         </v>
      </c>
      <c r="N41" s="9" t="str">
        <v xml:space="preserve">KC Bandung Dago                         </v>
      </c>
      <c r="O41" s="9" t="str">
        <v xml:space="preserve">Bandung                                 </v>
      </c>
      <c r="P41" s="9" t="str">
        <v>Tidak</v>
      </c>
      <c r="Q41" s="9" t="str">
        <v>Tidak</v>
      </c>
      <c r="R41" s="9" t="str">
        <v>Done</v>
      </c>
      <c r="S41" s="9" t="str">
        <v>Pending Checker</v>
      </c>
      <c r="T41" s="9" t="str">
        <v>90171841 - Rifqi Aziz</v>
      </c>
      <c r="U41" s="9" t="str">
        <v>"-"</v>
      </c>
      <c r="V41" s="12" t="str">
        <f>[3]STR!$V41</f>
        <v>Gesang Jumadi</v>
      </c>
      <c r="W41" s="12"/>
      <c r="X41" s="14" t="b">
        <f>[3]STR!$X41</f>
        <v>1</v>
      </c>
    </row>
    <row r="42" spans="1:24">
      <c r="A42" s="8">
        <v>46265</v>
      </c>
      <c r="B42" s="9" t="str">
        <v xml:space="preserve">AZALEA GWEN MODE                        </v>
      </c>
      <c r="C42" s="9" t="str">
        <v>ACLUT14</v>
      </c>
      <c r="D42" s="9">
        <v>28601003368562</v>
      </c>
      <c r="E42" s="9" t="str">
        <v>SEDANG</v>
      </c>
      <c r="F42" s="9" t="str">
        <v>Tidak</v>
      </c>
      <c r="G42" s="9" t="str">
        <v>Tidak</v>
      </c>
      <c r="H42" s="9" t="str">
        <v>Tidak</v>
      </c>
      <c r="I42" s="9" t="str">
        <v>Perpajakan</v>
      </c>
      <c r="J42" s="9">
        <v>50</v>
      </c>
      <c r="K42" s="9">
        <v>41</v>
      </c>
      <c r="L42" s="9" t="str">
        <v>Perpajakan</v>
      </c>
      <c r="M42" s="9" t="str">
        <v xml:space="preserve">KC Bandung Dewi Sartika                 </v>
      </c>
      <c r="N42" s="9" t="str">
        <v xml:space="preserve">KC Bandung Dewi Sartika                 </v>
      </c>
      <c r="O42" s="9" t="str">
        <v xml:space="preserve">Bandung                                 </v>
      </c>
      <c r="P42" s="9" t="str">
        <v>Tidak</v>
      </c>
      <c r="Q42" s="9" t="str">
        <v>Tidak</v>
      </c>
      <c r="R42" s="9" t="str">
        <v>Done</v>
      </c>
      <c r="S42" s="9" t="str">
        <v>Pending Checker</v>
      </c>
      <c r="T42" s="9" t="str">
        <v>00336949 - Mochammad Al Farabi</v>
      </c>
      <c r="U42" s="9" t="str">
        <v>"-"</v>
      </c>
      <c r="V42" s="12" t="str">
        <f>[3]STR!$V42</f>
        <v>Gumilar Rudimaya</v>
      </c>
      <c r="W42" s="12"/>
      <c r="X42" s="14" t="b">
        <f>[3]STR!$X42</f>
        <v>1</v>
      </c>
    </row>
    <row r="43" spans="1:24">
      <c r="A43" s="8">
        <v>46265</v>
      </c>
      <c r="B43" s="9" t="str">
        <v xml:space="preserve">HERIYANTO                               </v>
      </c>
      <c r="C43" s="9" t="str">
        <v>HSD4340</v>
      </c>
      <c r="D43" s="9">
        <v>35501003114560</v>
      </c>
      <c r="E43" s="9" t="str">
        <v>SEDANG</v>
      </c>
      <c r="F43" s="9" t="str">
        <v>Tidak</v>
      </c>
      <c r="G43" s="9" t="str">
        <v>Tidak</v>
      </c>
      <c r="H43" s="9" t="str">
        <v>Tidak</v>
      </c>
      <c r="I43" s="9" t="str">
        <v>Pencurian Rekening</v>
      </c>
      <c r="J43" s="9">
        <v>49</v>
      </c>
      <c r="K43" s="9">
        <v>59</v>
      </c>
      <c r="L43" s="9" t="str">
        <v>Perbankan</v>
      </c>
      <c r="M43" s="9" t="str">
        <v xml:space="preserve">KC Pamanukan                            </v>
      </c>
      <c r="N43" s="9" t="str">
        <v xml:space="preserve">KC Pamanukan                            </v>
      </c>
      <c r="O43" s="9" t="str">
        <v xml:space="preserve">Bandung                                 </v>
      </c>
      <c r="P43" s="9" t="str">
        <v>Tidak</v>
      </c>
      <c r="Q43" s="9" t="str">
        <v>Tidak</v>
      </c>
      <c r="R43" s="9" t="str">
        <v>Done</v>
      </c>
      <c r="S43" s="9" t="str">
        <v>Approved</v>
      </c>
      <c r="T43" s="9" t="str">
        <v>00336949 - Mochammad Al Farabi</v>
      </c>
      <c r="U43" s="9" t="str">
        <v>"-"</v>
      </c>
      <c r="V43" s="12" t="str">
        <f>[3]STR!$V43</f>
        <v>Gesang Jumadi</v>
      </c>
      <c r="W43" s="12"/>
      <c r="X43" s="14" t="b">
        <f>[3]STR!$X43</f>
        <v>1</v>
      </c>
    </row>
    <row r="44" spans="1:24">
      <c r="A44" s="8">
        <v>46265</v>
      </c>
      <c r="B44" s="9" t="str">
        <v xml:space="preserve">GUMILAR BUDI RAHAYU AMD IP SH MM        </v>
      </c>
      <c r="C44" s="9" t="str">
        <v>G477451</v>
      </c>
      <c r="D44" s="9">
        <v>13201001838562</v>
      </c>
      <c r="E44" s="9" t="str">
        <v>SEDANG</v>
      </c>
      <c r="F44" s="9" t="str">
        <v>Tidak</v>
      </c>
      <c r="G44" s="9" t="str">
        <v>Tidak</v>
      </c>
      <c r="H44" s="9" t="str">
        <v>Tidak</v>
      </c>
      <c r="I44" s="9" t="str">
        <v>Narkotika - Area Lapas</v>
      </c>
      <c r="J44" s="9">
        <v>53</v>
      </c>
      <c r="K44" s="9">
        <v>48</v>
      </c>
      <c r="L44" s="9" t="str">
        <v>Narkotika</v>
      </c>
      <c r="M44" s="9" t="str">
        <v>KC Majalaya</v>
      </c>
      <c r="N44" s="9" t="str">
        <v>KC Majalaya</v>
      </c>
      <c r="O44" s="9" t="str">
        <v>Bandung</v>
      </c>
      <c r="P44" s="9" t="str">
        <v>Tidak</v>
      </c>
      <c r="Q44" s="9" t="str">
        <v>Tidak</v>
      </c>
      <c r="R44" s="9" t="str">
        <v>Done</v>
      </c>
      <c r="S44" s="9" t="str">
        <v>Approved</v>
      </c>
      <c r="T44" s="9" t="str">
        <v>90171841 - Rifqi Aziz</v>
      </c>
      <c r="U44" s="9" t="str">
        <v>"-"</v>
      </c>
      <c r="V44" s="12" t="str">
        <f>[3]STR!$V44</f>
        <v>Gumilar Rudimaya</v>
      </c>
      <c r="W44" s="12"/>
      <c r="X44" s="14" t="b">
        <f>[3]STR!$X44</f>
        <v>1</v>
      </c>
    </row>
    <row r="45" spans="1:24">
      <c r="A45" s="8">
        <v>46265</v>
      </c>
      <c r="B45" s="9" t="str">
        <v xml:space="preserve">YAYASAN TENDA VISI INDONESIA            </v>
      </c>
      <c r="C45" s="9" t="str">
        <v>YEA5006</v>
      </c>
      <c r="D45" s="9">
        <v>40101000882307</v>
      </c>
      <c r="E45" s="9" t="str">
        <v>SEDANG</v>
      </c>
      <c r="F45" s="9" t="str">
        <v>Tidak</v>
      </c>
      <c r="G45" s="9" t="str">
        <v>Tidak</v>
      </c>
      <c r="H45" s="9" t="str">
        <v>Tidak</v>
      </c>
      <c r="I45" s="9" t="str">
        <v>Perikanan dan Kelautan</v>
      </c>
      <c r="J45" s="9">
        <v>53</v>
      </c>
      <c r="K45" s="9">
        <v>100</v>
      </c>
      <c r="L45" s="9" t="str">
        <v>Perikanan dan Kelautan</v>
      </c>
      <c r="M45" s="9" t="str">
        <v xml:space="preserve">KC Soreang                              </v>
      </c>
      <c r="N45" s="9" t="str">
        <v xml:space="preserve">KC Soreang                              </v>
      </c>
      <c r="O45" s="9" t="str">
        <v xml:space="preserve">Bandung                                 </v>
      </c>
      <c r="P45" s="9" t="str">
        <v>Tidak</v>
      </c>
      <c r="Q45" s="9" t="str">
        <v>Tidak</v>
      </c>
      <c r="R45" s="9" t="str">
        <v>Done</v>
      </c>
      <c r="S45" s="9" t="str">
        <v>Approved</v>
      </c>
      <c r="T45" s="9" t="str">
        <v>90170665 - Mutiara Ayuningtyas</v>
      </c>
      <c r="U45" s="9" t="str">
        <v>"-"</v>
      </c>
      <c r="V45" s="12" t="str">
        <f>[3]STR!$V45</f>
        <v>Gumilar Rudimaya</v>
      </c>
      <c r="W45" s="12"/>
      <c r="X45" s="14" t="b">
        <f>[3]STR!$X45</f>
        <v>1</v>
      </c>
    </row>
    <row r="46" spans="1:24">
      <c r="A46" s="8">
        <v>46265</v>
      </c>
      <c r="B46" s="9" t="str">
        <v xml:space="preserve">POS INDONESIA                           </v>
      </c>
      <c r="C46" s="9" t="str">
        <v>P020200</v>
      </c>
      <c r="D46" s="9">
        <v>501004063307</v>
      </c>
      <c r="E46" s="9" t="str">
        <v>SEDANG</v>
      </c>
      <c r="F46" s="9" t="str">
        <v>Tidak</v>
      </c>
      <c r="G46" s="9" t="str">
        <v>Tidak</v>
      </c>
      <c r="H46" s="9" t="str">
        <v>Tidak</v>
      </c>
      <c r="I46" s="9" t="str">
        <v>Narkotika - Area Lapas</v>
      </c>
      <c r="J46" s="9">
        <v>50</v>
      </c>
      <c r="K46" s="9">
        <v>46</v>
      </c>
      <c r="L46" s="9" t="str">
        <v>Narkotika</v>
      </c>
      <c r="M46" s="9" t="str">
        <v>KC Bandung AA</v>
      </c>
      <c r="N46" s="9" t="str">
        <v>KC Bandung AA</v>
      </c>
      <c r="O46" s="9" t="str">
        <v>Bandung</v>
      </c>
      <c r="P46" s="9" t="str">
        <v>Tidak</v>
      </c>
      <c r="Q46" s="9" t="str">
        <v>Tidak</v>
      </c>
      <c r="R46" s="9" t="str">
        <v>Done</v>
      </c>
      <c r="S46" s="9" t="str">
        <v>Approved</v>
      </c>
      <c r="T46" s="9" t="str">
        <v>00394521 - Muhammad Hibbanduta</v>
      </c>
      <c r="U46" s="9" t="str">
        <v>"-"</v>
      </c>
      <c r="V46" s="12" t="str">
        <f>[3]STR!$V46</f>
        <v>Gesang Jumadi</v>
      </c>
      <c r="W46" s="12"/>
      <c r="X46" s="14" t="b">
        <f>[3]STR!$X46</f>
        <v>1</v>
      </c>
    </row>
    <row r="47" spans="1:24">
      <c r="A47" s="8">
        <v>46265</v>
      </c>
      <c r="B47" s="9" t="str">
        <v xml:space="preserve">PT BANTU TEMAN CORP                     </v>
      </c>
      <c r="C47" s="9" t="str">
        <v>POM2008</v>
      </c>
      <c r="D47" s="9">
        <v>13701003145567</v>
      </c>
      <c r="E47" s="9">
        <v>0</v>
      </c>
      <c r="F47" s="9" t="str">
        <v>Tidak</v>
      </c>
      <c r="G47" s="9" t="str">
        <v>Tidak</v>
      </c>
      <c r="H47" s="9" t="str">
        <v>Tidak</v>
      </c>
      <c r="I47" s="9" t="str">
        <v>Business Email Compromise (BEC)</v>
      </c>
      <c r="J47" s="9">
        <v>30</v>
      </c>
      <c r="K47" s="9">
        <v>13</v>
      </c>
      <c r="L47" s="9" t="str">
        <v>Penipuan</v>
      </c>
      <c r="M47" s="9" t="str">
        <v xml:space="preserve">KC Cimahi                               </v>
      </c>
      <c r="N47" s="9" t="str">
        <v xml:space="preserve">KC Cimahi                               </v>
      </c>
      <c r="O47" s="9" t="str">
        <v xml:space="preserve">Bandung                                 </v>
      </c>
      <c r="P47" s="9" t="str">
        <v>Tidak</v>
      </c>
      <c r="Q47" s="9" t="str">
        <v>Tidak</v>
      </c>
      <c r="R47" s="9" t="str">
        <v>Done</v>
      </c>
      <c r="S47" s="9" t="str">
        <v>Approved</v>
      </c>
      <c r="T47" s="9" t="str">
        <v>00394521 - Muhammad Hibbanduta</v>
      </c>
      <c r="U47" s="9" t="str">
        <v>"-"</v>
      </c>
      <c r="V47" s="12" t="str">
        <f>[3]STR!$V47</f>
        <v>Gumilar Rudimaya</v>
      </c>
      <c r="W47" s="12"/>
      <c r="X47" s="14" t="b">
        <f>[3]STR!$X47</f>
        <v>1</v>
      </c>
    </row>
    <row r="48" spans="1:24">
      <c r="A48" s="8">
        <v>46265</v>
      </c>
      <c r="B48" s="9" t="str">
        <v xml:space="preserve">PT CELEBES GLOBAL CORP                  </v>
      </c>
      <c r="C48" s="9" t="str">
        <v>POK4806</v>
      </c>
      <c r="D48" s="9">
        <v>33701002518569</v>
      </c>
      <c r="E48" s="9">
        <v>0</v>
      </c>
      <c r="F48" s="9" t="str">
        <v>Tidak</v>
      </c>
      <c r="G48" s="9" t="str">
        <v>Tidak</v>
      </c>
      <c r="H48" s="9" t="str">
        <v>Tidak</v>
      </c>
      <c r="I48" s="9" t="str">
        <v>Business Email Compromise (BEC)</v>
      </c>
      <c r="J48" s="9">
        <v>30</v>
      </c>
      <c r="K48" s="9">
        <v>13</v>
      </c>
      <c r="L48" s="9" t="str">
        <v>Penipuan</v>
      </c>
      <c r="M48" s="9" t="str">
        <v xml:space="preserve">KC Bandung Naripan                      </v>
      </c>
      <c r="N48" s="9" t="str">
        <v xml:space="preserve">KC Bandung Naripan                      </v>
      </c>
      <c r="O48" s="9" t="str">
        <v xml:space="preserve">Bandung                                 </v>
      </c>
      <c r="P48" s="9" t="str">
        <v>Tidak</v>
      </c>
      <c r="Q48" s="9" t="str">
        <v>Tidak</v>
      </c>
      <c r="R48" s="9" t="str">
        <v>Done</v>
      </c>
      <c r="S48" s="9" t="str">
        <v>Approved</v>
      </c>
      <c r="T48" s="9" t="str">
        <v>90171841 - Rifqi Aziz</v>
      </c>
      <c r="U48" s="9" t="str">
        <v>"-"</v>
      </c>
      <c r="V48" s="12" t="str">
        <f>[3]STR!$V48</f>
        <v>Gumilar Rudimaya</v>
      </c>
      <c r="W48" s="12"/>
      <c r="X48" s="14" t="b">
        <f>[3]STR!$X48</f>
        <v>1</v>
      </c>
    </row>
    <row r="49" spans="1:24">
      <c r="A49" s="8">
        <v>46265</v>
      </c>
      <c r="B49" s="9" t="str">
        <v xml:space="preserve">RULLY SAEPUL                            </v>
      </c>
      <c r="C49" s="9" t="str">
        <v>R159748</v>
      </c>
      <c r="D49" s="9">
        <v>442801015443506</v>
      </c>
      <c r="E49" s="9" t="str">
        <v>SEDANG</v>
      </c>
      <c r="F49" s="9" t="str">
        <v>Tidak</v>
      </c>
      <c r="G49" s="9" t="str">
        <v>Tidak</v>
      </c>
      <c r="H49" s="9" t="str">
        <v>Tidak</v>
      </c>
      <c r="I49" s="9" t="str">
        <v>Perikanan dan Kelautan</v>
      </c>
      <c r="J49" s="9">
        <v>58</v>
      </c>
      <c r="K49" s="9">
        <v>99</v>
      </c>
      <c r="L49" s="9" t="str">
        <v>Perikanan dan Kelautan</v>
      </c>
      <c r="M49" s="9" t="str">
        <v xml:space="preserve">KC Sumedang                             </v>
      </c>
      <c r="N49" s="9" t="str">
        <v xml:space="preserve">KC Sumedang                             </v>
      </c>
      <c r="O49" s="9" t="str">
        <v xml:space="preserve">Bandung                                 </v>
      </c>
      <c r="P49" s="9" t="str">
        <v>Tidak</v>
      </c>
      <c r="Q49" s="9" t="str">
        <v>Tidak</v>
      </c>
      <c r="R49" s="9" t="str">
        <v>Done</v>
      </c>
      <c r="S49" s="9" t="str">
        <v>Approved</v>
      </c>
      <c r="T49" s="9" t="str">
        <v>90185537 - Moh.Khoerul Fajar Ar</v>
      </c>
      <c r="U49" s="9" t="str">
        <v>"-"</v>
      </c>
      <c r="V49" s="12" t="str">
        <f>[3]STR!$V49</f>
        <v>Gumilar Rudimaya</v>
      </c>
      <c r="W49" s="12"/>
      <c r="X49" s="14" t="b">
        <f>[3]STR!$X49</f>
        <v>1</v>
      </c>
    </row>
  </sheetData>
  <protectedRanges>
    <protectedRange sqref="V1:X49" name="Range2"/>
  </protectedRanges>
  <dataValidations count="1">
    <dataValidation allowBlank="1" showInputMessage="1" showErrorMessage="1" sqref="V2:V49" xr:uid="{E620E730-4D32-4055-BFD2-6953B073EEBB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 codeName="Sheet2">
    <tabColor theme="3" tint="0.499984740745262"/>
  </sheetPr>
  <dimension ref="A1:E32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7.42578125" bestFit="1" customWidth="1"/>
    <col min="5" max="5" width="16.7109375" bestFit="1" customWidth="1"/>
  </cols>
  <sheetData>
    <row r="1" spans="1:5" ht="15">
      <c r="A1" s="3"/>
      <c r="B1" s="3"/>
      <c r="C1" s="3"/>
      <c r="D1" s="52">
        <v>46280</v>
      </c>
      <c r="E1" s="52"/>
    </row>
    <row r="2" spans="1:5" ht="15">
      <c r="A2" s="4" t="s">
        <v>26</v>
      </c>
      <c r="B2" s="4" t="s">
        <v>27</v>
      </c>
      <c r="C2" s="4" t="s">
        <v>28</v>
      </c>
      <c r="D2" s="24" t="s">
        <v>29</v>
      </c>
      <c r="E2" s="4" t="s">
        <v>30</v>
      </c>
    </row>
    <row r="3" spans="1:5" ht="15">
      <c r="A3" s="3">
        <v>1</v>
      </c>
      <c r="B3" s="1" t="s">
        <v>31</v>
      </c>
      <c r="C3" s="12" t="s">
        <v>32</v>
      </c>
      <c r="D3" s="46">
        <f>_xlfn.XLOOKUP(B3, [1]PEP!$B:$B,[1]PEP!$G:$G)</f>
        <v>1</v>
      </c>
      <c r="E3" s="51">
        <f>AVERAGE(D3:D17)</f>
        <v>0.96660419072215287</v>
      </c>
    </row>
    <row r="4" spans="1:5" ht="15">
      <c r="A4" s="3">
        <v>2</v>
      </c>
      <c r="B4" s="1" t="s">
        <v>33</v>
      </c>
      <c r="C4" s="12" t="s">
        <v>32</v>
      </c>
      <c r="D4" s="46">
        <f>_xlfn.XLOOKUP(B4, [1]PEP!$B:$B,[1]PEP!$G:$G)</f>
        <v>1</v>
      </c>
      <c r="E4" s="51"/>
    </row>
    <row r="5" spans="1:5" ht="15">
      <c r="A5" s="3">
        <v>3</v>
      </c>
      <c r="B5" s="1" t="s">
        <v>34</v>
      </c>
      <c r="C5" s="12" t="s">
        <v>32</v>
      </c>
      <c r="D5" s="46">
        <f>_xlfn.XLOOKUP(B5, [1]PEP!$B:$B,[1]PEP!$G:$G)</f>
        <v>0.93939393939393945</v>
      </c>
      <c r="E5" s="51"/>
    </row>
    <row r="6" spans="1:5" ht="15">
      <c r="A6" s="3">
        <v>4</v>
      </c>
      <c r="B6" s="1" t="s">
        <v>35</v>
      </c>
      <c r="C6" s="12" t="s">
        <v>32</v>
      </c>
      <c r="D6" s="46">
        <f>_xlfn.XLOOKUP(B6, [1]PEP!$B:$B,[1]PEP!$G:$G)</f>
        <v>0.984375</v>
      </c>
      <c r="E6" s="51"/>
    </row>
    <row r="7" spans="1:5" ht="15">
      <c r="A7" s="3">
        <v>5</v>
      </c>
      <c r="B7" s="1" t="s">
        <v>36</v>
      </c>
      <c r="C7" s="12" t="s">
        <v>32</v>
      </c>
      <c r="D7" s="46">
        <f>_xlfn.XLOOKUP(B7, [1]PEP!$B:$B,[1]PEP!$G:$G)</f>
        <v>0.94871794871794868</v>
      </c>
      <c r="E7" s="51"/>
    </row>
    <row r="8" spans="1:5" ht="15">
      <c r="A8" s="3">
        <v>6</v>
      </c>
      <c r="B8" s="1" t="s">
        <v>37</v>
      </c>
      <c r="C8" s="12" t="s">
        <v>32</v>
      </c>
      <c r="D8" s="46">
        <f>_xlfn.XLOOKUP(B8, [1]PEP!$B:$B,[1]PEP!$G:$G)</f>
        <v>1</v>
      </c>
      <c r="E8" s="51"/>
    </row>
    <row r="9" spans="1:5" ht="15">
      <c r="A9" s="3">
        <v>7</v>
      </c>
      <c r="B9" s="1" t="s">
        <v>38</v>
      </c>
      <c r="C9" s="12" t="s">
        <v>32</v>
      </c>
      <c r="D9" s="46">
        <f>_xlfn.XLOOKUP(B9, [1]PEP!$B:$B,[1]PEP!$G:$G)</f>
        <v>0.97368421052631582</v>
      </c>
      <c r="E9" s="51"/>
    </row>
    <row r="10" spans="1:5" ht="15">
      <c r="A10" s="3">
        <v>8</v>
      </c>
      <c r="B10" s="2" t="s">
        <v>39</v>
      </c>
      <c r="C10" s="12" t="s">
        <v>32</v>
      </c>
      <c r="D10" s="46">
        <f>_xlfn.XLOOKUP(B10, [1]PEP!$B:$B,[1]PEP!$G:$G)</f>
        <v>1</v>
      </c>
      <c r="E10" s="51"/>
    </row>
    <row r="11" spans="1:5" ht="15">
      <c r="A11" s="3">
        <v>9</v>
      </c>
      <c r="B11" s="1" t="s">
        <v>40</v>
      </c>
      <c r="C11" s="12" t="s">
        <v>32</v>
      </c>
      <c r="D11" s="46">
        <f>_xlfn.XLOOKUP(B11, [1]PEP!$B:$B,[1]PEP!$G:$G)</f>
        <v>0.91428571428571426</v>
      </c>
      <c r="E11" s="51"/>
    </row>
    <row r="12" spans="1:5" ht="15">
      <c r="A12" s="3">
        <v>10</v>
      </c>
      <c r="B12" s="1" t="s">
        <v>41</v>
      </c>
      <c r="C12" s="12" t="s">
        <v>32</v>
      </c>
      <c r="D12" s="46">
        <f>_xlfn.XLOOKUP(B12, [1]PEP!$B:$B,[1]PEP!$G:$G)</f>
        <v>0.9</v>
      </c>
      <c r="E12" s="51"/>
    </row>
    <row r="13" spans="1:5" ht="15">
      <c r="A13" s="3">
        <v>11</v>
      </c>
      <c r="B13" s="1" t="s">
        <v>42</v>
      </c>
      <c r="C13" s="12" t="s">
        <v>32</v>
      </c>
      <c r="D13" s="46">
        <f>_xlfn.XLOOKUP(B13, [1]PEP!$B:$B,[1]PEP!$G:$G)</f>
        <v>0.88888888888888884</v>
      </c>
      <c r="E13" s="51"/>
    </row>
    <row r="14" spans="1:5" ht="15">
      <c r="A14" s="3">
        <v>12</v>
      </c>
      <c r="B14" s="1" t="s">
        <v>43</v>
      </c>
      <c r="C14" s="12" t="s">
        <v>32</v>
      </c>
      <c r="D14" s="46">
        <f>_xlfn.XLOOKUP(B14, [1]PEP!$B:$B,[1]PEP!$G:$G)</f>
        <v>1</v>
      </c>
      <c r="E14" s="51"/>
    </row>
    <row r="15" spans="1:5" ht="15">
      <c r="A15" s="3">
        <v>13</v>
      </c>
      <c r="B15" s="1" t="s">
        <v>44</v>
      </c>
      <c r="C15" s="12" t="s">
        <v>32</v>
      </c>
      <c r="D15" s="46">
        <f>_xlfn.XLOOKUP(B15, [1]PEP!$B:$B,[1]PEP!$G:$G)</f>
        <v>0.97297297297297303</v>
      </c>
      <c r="E15" s="51"/>
    </row>
    <row r="16" spans="1:5" ht="15">
      <c r="A16" s="3">
        <v>14</v>
      </c>
      <c r="B16" s="1" t="s">
        <v>45</v>
      </c>
      <c r="C16" s="12" t="s">
        <v>32</v>
      </c>
      <c r="D16" s="46">
        <f>_xlfn.XLOOKUP(B16, [1]PEP!$B:$B,[1]PEP!$G:$G)</f>
        <v>1</v>
      </c>
      <c r="E16" s="51"/>
    </row>
    <row r="17" spans="1:5" ht="15">
      <c r="A17" s="3">
        <v>15</v>
      </c>
      <c r="B17" s="3" t="s">
        <v>46</v>
      </c>
      <c r="C17" s="12" t="s">
        <v>32</v>
      </c>
      <c r="D17" s="46">
        <f>_xlfn.XLOOKUP(B17, [1]PEP!$B:$B,[1]PEP!$G:$G)</f>
        <v>0.97674418604651159</v>
      </c>
      <c r="E17" s="51"/>
    </row>
    <row r="18" spans="1:5" ht="15">
      <c r="A18" s="3">
        <v>16</v>
      </c>
      <c r="B18" s="1" t="s">
        <v>47</v>
      </c>
      <c r="C18" s="12" t="s">
        <v>48</v>
      </c>
      <c r="D18" s="46">
        <f>_xlfn.XLOOKUP(B18, [1]PEP!$B:$B,[1]PEP!$G:$G)</f>
        <v>1</v>
      </c>
      <c r="E18" s="51">
        <f>AVERAGE(D18:D32)</f>
        <v>0.96376318670436312</v>
      </c>
    </row>
    <row r="19" spans="1:5" ht="15">
      <c r="A19" s="3">
        <v>17</v>
      </c>
      <c r="B19" s="1" t="s">
        <v>49</v>
      </c>
      <c r="C19" s="12" t="s">
        <v>48</v>
      </c>
      <c r="D19" s="46">
        <f>_xlfn.XLOOKUP(B19, [1]PEP!$B:$B,[1]PEP!$G:$G)</f>
        <v>1</v>
      </c>
      <c r="E19" s="51"/>
    </row>
    <row r="20" spans="1:5" ht="15">
      <c r="A20" s="3">
        <v>18</v>
      </c>
      <c r="B20" s="1" t="s">
        <v>50</v>
      </c>
      <c r="C20" s="12" t="s">
        <v>48</v>
      </c>
      <c r="D20" s="46">
        <f>_xlfn.XLOOKUP(B20, [1]PEP!$B:$B,[1]PEP!$G:$G)</f>
        <v>0.96103896103896103</v>
      </c>
      <c r="E20" s="51"/>
    </row>
    <row r="21" spans="1:5" ht="15">
      <c r="A21" s="3">
        <v>19</v>
      </c>
      <c r="B21" s="1" t="s">
        <v>51</v>
      </c>
      <c r="C21" s="12" t="s">
        <v>48</v>
      </c>
      <c r="D21" s="46">
        <f>_xlfn.XLOOKUP(B21, [1]PEP!$B:$B,[1]PEP!$G:$G)</f>
        <v>0.94117647058823528</v>
      </c>
      <c r="E21" s="51"/>
    </row>
    <row r="22" spans="1:5" ht="15">
      <c r="A22" s="3">
        <v>20</v>
      </c>
      <c r="B22" s="1" t="s">
        <v>52</v>
      </c>
      <c r="C22" s="12" t="s">
        <v>48</v>
      </c>
      <c r="D22" s="46">
        <f>_xlfn.XLOOKUP(B22, [1]PEP!$B:$B,[1]PEP!$G:$G)</f>
        <v>1</v>
      </c>
      <c r="E22" s="51"/>
    </row>
    <row r="23" spans="1:5" ht="15">
      <c r="A23" s="3">
        <v>21</v>
      </c>
      <c r="B23" s="1" t="s">
        <v>53</v>
      </c>
      <c r="C23" s="12" t="s">
        <v>48</v>
      </c>
      <c r="D23" s="46">
        <f>_xlfn.XLOOKUP(B23, [1]PEP!$B:$B,[1]PEP!$G:$G)</f>
        <v>0.9285714285714286</v>
      </c>
      <c r="E23" s="51"/>
    </row>
    <row r="24" spans="1:5" ht="15">
      <c r="A24" s="3">
        <v>22</v>
      </c>
      <c r="B24" s="1" t="s">
        <v>54</v>
      </c>
      <c r="C24" s="12" t="s">
        <v>48</v>
      </c>
      <c r="D24" s="46">
        <f>_xlfn.XLOOKUP(B24, [1]PEP!$B:$B,[1]PEP!$G:$G)</f>
        <v>0.9555555555555556</v>
      </c>
      <c r="E24" s="51"/>
    </row>
    <row r="25" spans="1:5" ht="15">
      <c r="A25" s="16">
        <v>23</v>
      </c>
      <c r="B25" s="1" t="s">
        <v>55</v>
      </c>
      <c r="C25" s="12" t="s">
        <v>48</v>
      </c>
      <c r="D25" s="46">
        <f>_xlfn.XLOOKUP(B25, [1]PEP!$B:$B,[1]PEP!$G:$G)</f>
        <v>0.98076923076923073</v>
      </c>
      <c r="E25" s="51"/>
    </row>
    <row r="26" spans="1:5" ht="15">
      <c r="A26" s="16">
        <v>24</v>
      </c>
      <c r="B26" s="1" t="s">
        <v>56</v>
      </c>
      <c r="C26" s="12" t="s">
        <v>48</v>
      </c>
      <c r="D26" s="46">
        <f>_xlfn.XLOOKUP(B26, [1]PEP!$B:$B,[1]PEP!$G:$G)</f>
        <v>0.93333333333333335</v>
      </c>
      <c r="E26" s="51"/>
    </row>
    <row r="27" spans="1:5" ht="15">
      <c r="A27" s="16">
        <v>25</v>
      </c>
      <c r="B27" s="1" t="s">
        <v>57</v>
      </c>
      <c r="C27" s="12" t="s">
        <v>48</v>
      </c>
      <c r="D27" s="46">
        <f>_xlfn.XLOOKUP(B27, [1]PEP!$B:$B,[1]PEP!$G:$G)</f>
        <v>0.96666666666666667</v>
      </c>
      <c r="E27" s="51"/>
    </row>
    <row r="28" spans="1:5" ht="15">
      <c r="A28" s="16">
        <v>26</v>
      </c>
      <c r="B28" s="3" t="s">
        <v>58</v>
      </c>
      <c r="C28" s="12" t="s">
        <v>48</v>
      </c>
      <c r="D28" s="46">
        <f>_xlfn.XLOOKUP(B28, [1]PEP!$B:$B,[1]PEP!$G:$G)</f>
        <v>1</v>
      </c>
      <c r="E28" s="51"/>
    </row>
    <row r="29" spans="1:5" ht="15">
      <c r="A29" s="16">
        <v>27</v>
      </c>
      <c r="B29" s="3" t="s">
        <v>59</v>
      </c>
      <c r="C29" s="12" t="s">
        <v>48</v>
      </c>
      <c r="D29" s="46">
        <f>_xlfn.XLOOKUP(B29, [1]PEP!$B:$B,[1]PEP!$G:$G)</f>
        <v>0.90476190476190477</v>
      </c>
      <c r="E29" s="51"/>
    </row>
    <row r="30" spans="1:5" ht="15">
      <c r="A30" s="16">
        <v>28</v>
      </c>
      <c r="B30" s="3" t="s">
        <v>60</v>
      </c>
      <c r="C30" s="12" t="s">
        <v>48</v>
      </c>
      <c r="D30" s="46">
        <f>_xlfn.XLOOKUP(B30, [1]PEP!$B:$B,[1]PEP!$G:$G)</f>
        <v>0.97058823529411764</v>
      </c>
      <c r="E30" s="51"/>
    </row>
    <row r="31" spans="1:5" ht="15">
      <c r="A31" s="16">
        <v>29</v>
      </c>
      <c r="B31" s="3" t="s">
        <v>61</v>
      </c>
      <c r="C31" s="12" t="s">
        <v>48</v>
      </c>
      <c r="D31" s="46">
        <f>_xlfn.XLOOKUP(B31, [1]PEP!$B:$B,[1]PEP!$G:$G)</f>
        <v>0.99090909090909096</v>
      </c>
      <c r="E31" s="51"/>
    </row>
    <row r="32" spans="1:5" ht="15">
      <c r="A32" s="16">
        <v>30</v>
      </c>
      <c r="B32" s="3" t="s">
        <v>62</v>
      </c>
      <c r="C32" s="12" t="s">
        <v>48</v>
      </c>
      <c r="D32" s="46">
        <f>_xlfn.XLOOKUP(B32, [1]PEP!$B:$B,[1]PEP!$G:$G)</f>
        <v>0.92307692307692313</v>
      </c>
      <c r="E32" s="51"/>
    </row>
  </sheetData>
  <protectedRanges>
    <protectedRange sqref="C3:C32" name="Range2"/>
  </protectedRanges>
  <autoFilter ref="B2:D2" xr:uid="{41D34422-91B6-4A51-943A-538253BDFA20}">
    <sortState xmlns:xlrd2="http://schemas.microsoft.com/office/spreadsheetml/2017/richdata2" ref="B3:D32">
      <sortCondition ref="C2"/>
    </sortState>
  </autoFilter>
  <mergeCells count="3">
    <mergeCell ref="E3:E17"/>
    <mergeCell ref="E18:E32"/>
    <mergeCell ref="D1:E1"/>
  </mergeCells>
  <dataValidations count="1">
    <dataValidation type="list" allowBlank="1" showInputMessage="1" showErrorMessage="1" sqref="C3:C32" xr:uid="{1087D19C-EE85-4A04-ADAB-DB4D5E6CA797}">
      <formula1>"Gesang Jumadi, Gumilar Rudimaya"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sheetPr codeName="Sheet3"/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26</v>
      </c>
      <c r="B1" s="4" t="s">
        <v>27</v>
      </c>
      <c r="C1" s="4" t="s">
        <v>28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</row>
    <row r="2" spans="1:9">
      <c r="A2" s="3">
        <v>1</v>
      </c>
      <c r="B2" s="1" t="s">
        <v>69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70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71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72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73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74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75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76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77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78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79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80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81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82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83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84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85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86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87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88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89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90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91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92</v>
      </c>
      <c r="C25" s="3"/>
      <c r="D25" s="3"/>
      <c r="E25" s="3"/>
      <c r="F25" s="3"/>
      <c r="G25" s="3"/>
      <c r="H25" s="3"/>
      <c r="I25" s="3"/>
    </row>
    <row r="27" spans="1:9">
      <c r="B27" s="5" t="s">
        <v>93</v>
      </c>
    </row>
    <row r="28" spans="1:9">
      <c r="B28" s="5" t="s">
        <v>94</v>
      </c>
    </row>
    <row r="29" spans="1:9">
      <c r="B29" s="6" t="s">
        <v>95</v>
      </c>
    </row>
    <row r="31" spans="1:9">
      <c r="B31" t="s">
        <v>96</v>
      </c>
    </row>
    <row r="32" spans="1:9">
      <c r="B32" t="s">
        <v>97</v>
      </c>
    </row>
    <row r="33" spans="2:2">
      <c r="B33" t="s">
        <v>98</v>
      </c>
    </row>
    <row r="34" spans="2:2">
      <c r="B34" t="s">
        <v>99</v>
      </c>
    </row>
    <row r="35" spans="2:2">
      <c r="B35" t="s">
        <v>100</v>
      </c>
    </row>
    <row r="36" spans="2:2">
      <c r="B36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24D6-F89F-40A6-A010-4F3F31A9805D}">
  <sheetPr codeName="Sheet4">
    <tabColor theme="6" tint="-0.249977111117893"/>
  </sheetPr>
  <dimension ref="A1:E33"/>
  <sheetViews>
    <sheetView workbookViewId="0">
      <selection activeCell="B3" sqref="B3:B32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6" bestFit="1" customWidth="1"/>
    <col min="5" max="5" width="15.28515625" bestFit="1" customWidth="1"/>
  </cols>
  <sheetData>
    <row r="1" spans="1:5">
      <c r="D1" s="52">
        <v>46280</v>
      </c>
      <c r="E1" s="52"/>
    </row>
    <row r="2" spans="1:5" ht="14.45">
      <c r="A2" s="4" t="s">
        <v>26</v>
      </c>
      <c r="B2" s="4" t="s">
        <v>27</v>
      </c>
      <c r="C2" s="4" t="s">
        <v>28</v>
      </c>
      <c r="D2" s="24" t="s">
        <v>29</v>
      </c>
      <c r="E2" s="4" t="s">
        <v>30</v>
      </c>
    </row>
    <row r="3" spans="1:5">
      <c r="A3" s="3">
        <v>2</v>
      </c>
      <c r="B3" s="1" t="s">
        <v>31</v>
      </c>
      <c r="C3" s="26" t="s">
        <v>32</v>
      </c>
      <c r="D3" s="3">
        <f>_xlfn.XLOOKUP(B3, '[1]Bad Data'!$B:$B, '[1]Bad Data'!$D:$D)</f>
        <v>5.5199999999999997E-3</v>
      </c>
      <c r="E3" s="51">
        <f>AVERAGE(D3:D17)</f>
        <v>5.144666666666668E-3</v>
      </c>
    </row>
    <row r="4" spans="1:5">
      <c r="A4" s="3">
        <v>3</v>
      </c>
      <c r="B4" s="1" t="s">
        <v>33</v>
      </c>
      <c r="C4" s="26" t="s">
        <v>32</v>
      </c>
      <c r="D4" s="3">
        <f>_xlfn.XLOOKUP(B4, '[1]Bad Data'!$B:$B, '[1]Bad Data'!$D:$D)</f>
        <v>4.9699999999999996E-3</v>
      </c>
      <c r="E4" s="51"/>
    </row>
    <row r="5" spans="1:5">
      <c r="A5" s="3">
        <v>5</v>
      </c>
      <c r="B5" s="1" t="s">
        <v>34</v>
      </c>
      <c r="C5" s="26" t="s">
        <v>32</v>
      </c>
      <c r="D5" s="3">
        <f>_xlfn.XLOOKUP(B5, '[1]Bad Data'!$B:$B, '[1]Bad Data'!$D:$D)</f>
        <v>3.6600000000000001E-3</v>
      </c>
      <c r="E5" s="51"/>
    </row>
    <row r="6" spans="1:5">
      <c r="A6" s="3">
        <v>9</v>
      </c>
      <c r="B6" s="1" t="s">
        <v>35</v>
      </c>
      <c r="C6" s="26" t="s">
        <v>32</v>
      </c>
      <c r="D6" s="3">
        <f>_xlfn.XLOOKUP(B6, '[1]Bad Data'!$B:$B, '[1]Bad Data'!$D:$D)</f>
        <v>9.5300000000000003E-3</v>
      </c>
      <c r="E6" s="51"/>
    </row>
    <row r="7" spans="1:5">
      <c r="A7" s="3">
        <v>10</v>
      </c>
      <c r="B7" s="1" t="s">
        <v>36</v>
      </c>
      <c r="C7" s="26" t="s">
        <v>32</v>
      </c>
      <c r="D7" s="3">
        <f>_xlfn.XLOOKUP(B7, '[1]Bad Data'!$B:$B, '[1]Bad Data'!$D:$D)</f>
        <v>6.9899999999999997E-3</v>
      </c>
      <c r="E7" s="51"/>
    </row>
    <row r="8" spans="1:5">
      <c r="A8" s="3">
        <v>11</v>
      </c>
      <c r="B8" s="1" t="s">
        <v>37</v>
      </c>
      <c r="C8" s="26" t="s">
        <v>32</v>
      </c>
      <c r="D8" s="3">
        <f>_xlfn.XLOOKUP(B8, '[1]Bad Data'!$B:$B, '[1]Bad Data'!$D:$D)</f>
        <v>2.8999999999999998E-3</v>
      </c>
      <c r="E8" s="51"/>
    </row>
    <row r="9" spans="1:5">
      <c r="A9" s="3">
        <v>12</v>
      </c>
      <c r="B9" s="1" t="s">
        <v>38</v>
      </c>
      <c r="C9" s="26" t="s">
        <v>32</v>
      </c>
      <c r="D9" s="3">
        <f>_xlfn.XLOOKUP(B9, '[1]Bad Data'!$B:$B, '[1]Bad Data'!$D:$D)</f>
        <v>1.81E-3</v>
      </c>
      <c r="E9" s="51"/>
    </row>
    <row r="10" spans="1:5">
      <c r="A10" s="3">
        <v>15</v>
      </c>
      <c r="B10" s="2" t="s">
        <v>39</v>
      </c>
      <c r="C10" s="26" t="s">
        <v>32</v>
      </c>
      <c r="D10" s="3">
        <f>_xlfn.XLOOKUP(B10, '[1]Bad Data'!$B:$B, '[1]Bad Data'!$D:$D)</f>
        <v>2.3800000000000002E-3</v>
      </c>
      <c r="E10" s="51"/>
    </row>
    <row r="11" spans="1:5">
      <c r="A11" s="3">
        <v>16</v>
      </c>
      <c r="B11" s="1" t="s">
        <v>40</v>
      </c>
      <c r="C11" s="26" t="s">
        <v>32</v>
      </c>
      <c r="D11" s="3">
        <f>_xlfn.XLOOKUP(B11, '[1]Bad Data'!$B:$B, '[1]Bad Data'!$D:$D)</f>
        <v>4.0499999999999998E-3</v>
      </c>
      <c r="E11" s="51"/>
    </row>
    <row r="12" spans="1:5">
      <c r="A12" s="3">
        <v>18</v>
      </c>
      <c r="B12" s="1" t="s">
        <v>41</v>
      </c>
      <c r="C12" s="26" t="s">
        <v>32</v>
      </c>
      <c r="D12" s="3">
        <f>_xlfn.XLOOKUP(B12, '[1]Bad Data'!$B:$B, '[1]Bad Data'!$D:$D)</f>
        <v>4.1399999999999996E-3</v>
      </c>
      <c r="E12" s="51"/>
    </row>
    <row r="13" spans="1:5">
      <c r="A13" s="3">
        <v>19</v>
      </c>
      <c r="B13" s="1" t="s">
        <v>42</v>
      </c>
      <c r="C13" s="26" t="s">
        <v>32</v>
      </c>
      <c r="D13" s="3">
        <f>_xlfn.XLOOKUP(B13, '[1]Bad Data'!$B:$B, '[1]Bad Data'!$D:$D)</f>
        <v>6.1700000000000001E-3</v>
      </c>
      <c r="E13" s="51"/>
    </row>
    <row r="14" spans="1:5">
      <c r="A14" s="3">
        <v>20</v>
      </c>
      <c r="B14" s="1" t="s">
        <v>43</v>
      </c>
      <c r="C14" s="26" t="s">
        <v>32</v>
      </c>
      <c r="D14" s="3">
        <f>_xlfn.XLOOKUP(B14, '[1]Bad Data'!$B:$B, '[1]Bad Data'!$D:$D)</f>
        <v>6.7600000000000004E-3</v>
      </c>
      <c r="E14" s="51"/>
    </row>
    <row r="15" spans="1:5">
      <c r="A15" s="3">
        <v>22</v>
      </c>
      <c r="B15" s="1" t="s">
        <v>44</v>
      </c>
      <c r="C15" s="26" t="s">
        <v>32</v>
      </c>
      <c r="D15" s="3">
        <f>_xlfn.XLOOKUP(B15, '[1]Bad Data'!$B:$B, '[1]Bad Data'!$D:$D)</f>
        <v>4.0099999999999997E-3</v>
      </c>
      <c r="E15" s="51"/>
    </row>
    <row r="16" spans="1:5">
      <c r="A16" s="3">
        <v>23</v>
      </c>
      <c r="B16" s="1" t="s">
        <v>45</v>
      </c>
      <c r="C16" s="26" t="s">
        <v>32</v>
      </c>
      <c r="D16" s="3">
        <f>_xlfn.XLOOKUP(B16, '[1]Bad Data'!$B:$B, '[1]Bad Data'!$D:$D)</f>
        <v>8.7500000000000008E-3</v>
      </c>
      <c r="E16" s="51"/>
    </row>
    <row r="17" spans="1:5">
      <c r="A17" s="3">
        <v>28</v>
      </c>
      <c r="B17" s="3" t="s">
        <v>46</v>
      </c>
      <c r="C17" s="26" t="s">
        <v>32</v>
      </c>
      <c r="D17" s="3">
        <f>_xlfn.XLOOKUP(B17, '[1]Bad Data'!$B:$B, '[1]Bad Data'!$D:$D)</f>
        <v>5.5300000000000002E-3</v>
      </c>
      <c r="E17" s="51"/>
    </row>
    <row r="18" spans="1:5">
      <c r="A18" s="3">
        <v>1</v>
      </c>
      <c r="B18" s="1" t="s">
        <v>47</v>
      </c>
      <c r="C18" s="26" t="s">
        <v>48</v>
      </c>
      <c r="D18" s="3">
        <f>_xlfn.XLOOKUP(B18, '[1]Bad Data'!$B:$B, '[1]Bad Data'!$D:$D)</f>
        <v>4.0999999999999999E-4</v>
      </c>
      <c r="E18" s="51">
        <f>AVERAGE(D18:D32)</f>
        <v>5.3566666666666667E-3</v>
      </c>
    </row>
    <row r="19" spans="1:5">
      <c r="A19" s="3">
        <v>4</v>
      </c>
      <c r="B19" s="1" t="s">
        <v>49</v>
      </c>
      <c r="C19" s="26" t="s">
        <v>48</v>
      </c>
      <c r="D19" s="3">
        <f>_xlfn.XLOOKUP(B19, '[1]Bad Data'!$B:$B, '[1]Bad Data'!$D:$D)</f>
        <v>2.6199999999999999E-3</v>
      </c>
      <c r="E19" s="51"/>
    </row>
    <row r="20" spans="1:5">
      <c r="A20" s="3">
        <v>6</v>
      </c>
      <c r="B20" s="1" t="s">
        <v>50</v>
      </c>
      <c r="C20" s="26" t="s">
        <v>48</v>
      </c>
      <c r="D20" s="3">
        <f>_xlfn.XLOOKUP(B20, '[1]Bad Data'!$B:$B, '[1]Bad Data'!$D:$D)</f>
        <v>3.1E-4</v>
      </c>
      <c r="E20" s="51"/>
    </row>
    <row r="21" spans="1:5">
      <c r="A21" s="3">
        <v>7</v>
      </c>
      <c r="B21" s="1" t="s">
        <v>51</v>
      </c>
      <c r="C21" s="26" t="s">
        <v>48</v>
      </c>
      <c r="D21" s="3">
        <f>_xlfn.XLOOKUP(B21, '[1]Bad Data'!$B:$B, '[1]Bad Data'!$D:$D)</f>
        <v>3.6099999999999999E-3</v>
      </c>
      <c r="E21" s="51"/>
    </row>
    <row r="22" spans="1:5">
      <c r="A22" s="3">
        <v>8</v>
      </c>
      <c r="B22" s="1" t="s">
        <v>52</v>
      </c>
      <c r="C22" s="26" t="s">
        <v>48</v>
      </c>
      <c r="D22" s="3">
        <f>_xlfn.XLOOKUP(B22, '[1]Bad Data'!$B:$B, '[1]Bad Data'!$D:$D)</f>
        <v>8.77E-3</v>
      </c>
      <c r="E22" s="51"/>
    </row>
    <row r="23" spans="1:5">
      <c r="A23" s="3">
        <v>13</v>
      </c>
      <c r="B23" s="1" t="s">
        <v>53</v>
      </c>
      <c r="C23" s="26" t="s">
        <v>48</v>
      </c>
      <c r="D23" s="3">
        <f>_xlfn.XLOOKUP(B23, '[1]Bad Data'!$B:$B, '[1]Bad Data'!$D:$D)</f>
        <v>1.389E-2</v>
      </c>
      <c r="E23" s="51"/>
    </row>
    <row r="24" spans="1:5">
      <c r="A24" s="3">
        <v>14</v>
      </c>
      <c r="B24" s="1" t="s">
        <v>54</v>
      </c>
      <c r="C24" s="26" t="s">
        <v>48</v>
      </c>
      <c r="D24" s="3">
        <f>_xlfn.XLOOKUP(B24, '[1]Bad Data'!$B:$B, '[1]Bad Data'!$D:$D)</f>
        <v>5.4400000000000004E-3</v>
      </c>
      <c r="E24" s="51"/>
    </row>
    <row r="25" spans="1:5">
      <c r="A25" s="3">
        <v>17</v>
      </c>
      <c r="B25" s="1" t="s">
        <v>55</v>
      </c>
      <c r="C25" s="26" t="s">
        <v>48</v>
      </c>
      <c r="D25" s="3">
        <f>_xlfn.XLOOKUP(B25, '[1]Bad Data'!$B:$B, '[1]Bad Data'!$D:$D)</f>
        <v>2.6900000000000001E-3</v>
      </c>
      <c r="E25" s="51"/>
    </row>
    <row r="26" spans="1:5">
      <c r="A26" s="3">
        <v>21</v>
      </c>
      <c r="B26" s="1" t="s">
        <v>56</v>
      </c>
      <c r="C26" s="26" t="s">
        <v>48</v>
      </c>
      <c r="D26" s="3">
        <f>_xlfn.XLOOKUP(B26, '[1]Bad Data'!$B:$B, '[1]Bad Data'!$D:$D)</f>
        <v>5.3499999999999997E-3</v>
      </c>
      <c r="E26" s="51"/>
    </row>
    <row r="27" spans="1:5">
      <c r="A27" s="3">
        <v>24</v>
      </c>
      <c r="B27" s="1" t="s">
        <v>57</v>
      </c>
      <c r="C27" s="26" t="s">
        <v>48</v>
      </c>
      <c r="D27" s="3">
        <f>_xlfn.XLOOKUP(B27, '[1]Bad Data'!$B:$B, '[1]Bad Data'!$D:$D)</f>
        <v>4.0600000000000002E-3</v>
      </c>
      <c r="E27" s="51"/>
    </row>
    <row r="28" spans="1:5">
      <c r="A28" s="3">
        <v>25</v>
      </c>
      <c r="B28" s="3" t="s">
        <v>58</v>
      </c>
      <c r="C28" s="26" t="s">
        <v>48</v>
      </c>
      <c r="D28" s="3">
        <f>_xlfn.XLOOKUP(B28, '[1]Bad Data'!$B:$B, '[1]Bad Data'!$D:$D)</f>
        <v>4.9300000000000004E-3</v>
      </c>
      <c r="E28" s="51"/>
    </row>
    <row r="29" spans="1:5">
      <c r="A29" s="3">
        <v>26</v>
      </c>
      <c r="B29" s="3" t="s">
        <v>59</v>
      </c>
      <c r="C29" s="26" t="s">
        <v>48</v>
      </c>
      <c r="D29" s="3">
        <f>_xlfn.XLOOKUP(B29, '[1]Bad Data'!$B:$B, '[1]Bad Data'!$D:$D)</f>
        <v>3.0699999999999998E-3</v>
      </c>
      <c r="E29" s="51"/>
    </row>
    <row r="30" spans="1:5">
      <c r="A30" s="3">
        <v>27</v>
      </c>
      <c r="B30" s="3" t="s">
        <v>60</v>
      </c>
      <c r="C30" s="26" t="s">
        <v>48</v>
      </c>
      <c r="D30" s="3">
        <f>_xlfn.XLOOKUP(B30, '[1]Bad Data'!$B:$B, '[1]Bad Data'!$D:$D)</f>
        <v>9.7800000000000005E-3</v>
      </c>
      <c r="E30" s="51"/>
    </row>
    <row r="31" spans="1:5">
      <c r="A31" s="3">
        <v>29</v>
      </c>
      <c r="B31" s="3" t="s">
        <v>61</v>
      </c>
      <c r="C31" s="26" t="s">
        <v>48</v>
      </c>
      <c r="D31" s="3">
        <f>_xlfn.XLOOKUP(B31, '[1]Bad Data'!$B:$B, '[1]Bad Data'!$D:$D)</f>
        <v>8.7799999999999996E-3</v>
      </c>
      <c r="E31" s="51"/>
    </row>
    <row r="32" spans="1:5">
      <c r="A32" s="3">
        <v>30</v>
      </c>
      <c r="B32" s="3" t="s">
        <v>62</v>
      </c>
      <c r="C32" s="26" t="s">
        <v>48</v>
      </c>
      <c r="D32" s="3">
        <f>_xlfn.XLOOKUP(B32, '[1]Bad Data'!$B:$B, '[1]Bad Data'!$D:$D)</f>
        <v>6.6400000000000001E-3</v>
      </c>
      <c r="E32" s="51"/>
    </row>
    <row r="33" ht="14.45"/>
  </sheetData>
  <protectedRanges>
    <protectedRange sqref="C3:C32" name="Range2"/>
  </protectedRanges>
  <autoFilter ref="A2:D2" xr:uid="{40D024D6-F89F-40A6-A010-4F3F31A9805D}">
    <sortState xmlns:xlrd2="http://schemas.microsoft.com/office/spreadsheetml/2017/richdata2" ref="A3:D32">
      <sortCondition ref="C2"/>
    </sortState>
  </autoFilter>
  <mergeCells count="3">
    <mergeCell ref="D1:E1"/>
    <mergeCell ref="E3:E17"/>
    <mergeCell ref="E18:E32"/>
  </mergeCells>
  <dataValidations count="1">
    <dataValidation type="list" allowBlank="1" showInputMessage="1" showErrorMessage="1" sqref="C3:C32" xr:uid="{1B8B936A-26EE-4BA4-B71E-C1A58911BEF9}">
      <formula1>"Gesang Jumadi, Gumilar Rudimaya"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CE90-D1A8-4AD5-8053-EC36880FE861}">
  <sheetPr codeName="Sheet5">
    <tabColor theme="6" tint="-0.249977111117893"/>
  </sheetPr>
  <dimension ref="A1:E32"/>
  <sheetViews>
    <sheetView topLeftCell="A7" workbookViewId="0">
      <selection activeCell="B3" sqref="B3:B3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style="25" bestFit="1" customWidth="1"/>
    <col min="5" max="5" width="14.42578125" customWidth="1"/>
  </cols>
  <sheetData>
    <row r="1" spans="1:5" ht="14.45" customHeight="1">
      <c r="A1" s="3"/>
      <c r="B1" s="3"/>
      <c r="C1" s="3"/>
      <c r="D1" s="52">
        <v>46280</v>
      </c>
      <c r="E1" s="52"/>
    </row>
    <row r="2" spans="1:5" ht="15">
      <c r="A2" s="4" t="s">
        <v>26</v>
      </c>
      <c r="B2" s="4" t="s">
        <v>27</v>
      </c>
      <c r="C2" s="4" t="s">
        <v>28</v>
      </c>
      <c r="D2" s="24" t="s">
        <v>29</v>
      </c>
      <c r="E2" s="17" t="s">
        <v>30</v>
      </c>
    </row>
    <row r="3" spans="1:5">
      <c r="A3" s="3">
        <v>2</v>
      </c>
      <c r="B3" s="1" t="s">
        <v>31</v>
      </c>
      <c r="C3" s="26" t="s">
        <v>32</v>
      </c>
      <c r="D3" s="31">
        <f>_xlfn.XLOOKUP(B3,'[1]Pengkinian Data'!$B:$B, '[1]Pengkinian Data'!$E:$E)</f>
        <v>0.99680000000000002</v>
      </c>
      <c r="E3" s="53">
        <f>AVERAGE(D3:D17)</f>
        <v>0.90607999999999989</v>
      </c>
    </row>
    <row r="4" spans="1:5">
      <c r="A4" s="3">
        <v>3</v>
      </c>
      <c r="B4" s="1" t="s">
        <v>33</v>
      </c>
      <c r="C4" s="26" t="s">
        <v>32</v>
      </c>
      <c r="D4" s="31">
        <f>_xlfn.XLOOKUP(B4,'[1]Pengkinian Data'!$B:$B, '[1]Pengkinian Data'!$E:$E)</f>
        <v>0.87270000000000003</v>
      </c>
      <c r="E4" s="53"/>
    </row>
    <row r="5" spans="1:5">
      <c r="A5" s="3">
        <v>5</v>
      </c>
      <c r="B5" s="1" t="s">
        <v>34</v>
      </c>
      <c r="C5" s="26" t="s">
        <v>32</v>
      </c>
      <c r="D5" s="31">
        <f>_xlfn.XLOOKUP(B5,'[1]Pengkinian Data'!$B:$B, '[1]Pengkinian Data'!$E:$E)</f>
        <v>0.96079999999999999</v>
      </c>
      <c r="E5" s="53"/>
    </row>
    <row r="6" spans="1:5">
      <c r="A6" s="3">
        <v>9</v>
      </c>
      <c r="B6" s="1" t="s">
        <v>35</v>
      </c>
      <c r="C6" s="26" t="s">
        <v>32</v>
      </c>
      <c r="D6" s="31">
        <f>_xlfn.XLOOKUP(B6,'[1]Pengkinian Data'!$B:$B, '[1]Pengkinian Data'!$E:$E)</f>
        <v>0.92659999999999998</v>
      </c>
      <c r="E6" s="53"/>
    </row>
    <row r="7" spans="1:5">
      <c r="A7" s="3">
        <v>10</v>
      </c>
      <c r="B7" s="1" t="s">
        <v>36</v>
      </c>
      <c r="C7" s="26" t="s">
        <v>32</v>
      </c>
      <c r="D7" s="31">
        <f>_xlfn.XLOOKUP(B7,'[1]Pengkinian Data'!$B:$B, '[1]Pengkinian Data'!$E:$E)</f>
        <v>0.84330000000000005</v>
      </c>
      <c r="E7" s="53"/>
    </row>
    <row r="8" spans="1:5">
      <c r="A8" s="3">
        <v>11</v>
      </c>
      <c r="B8" s="1" t="s">
        <v>37</v>
      </c>
      <c r="C8" s="26" t="s">
        <v>32</v>
      </c>
      <c r="D8" s="31">
        <f>_xlfn.XLOOKUP(B8,'[1]Pengkinian Data'!$B:$B, '[1]Pengkinian Data'!$E:$E)</f>
        <v>0.90149999999999997</v>
      </c>
      <c r="E8" s="53"/>
    </row>
    <row r="9" spans="1:5">
      <c r="A9" s="3">
        <v>12</v>
      </c>
      <c r="B9" s="1" t="s">
        <v>38</v>
      </c>
      <c r="C9" s="26" t="s">
        <v>32</v>
      </c>
      <c r="D9" s="31">
        <f>_xlfn.XLOOKUP(B9,'[1]Pengkinian Data'!$B:$B, '[1]Pengkinian Data'!$E:$E)</f>
        <v>1</v>
      </c>
      <c r="E9" s="53"/>
    </row>
    <row r="10" spans="1:5">
      <c r="A10" s="3">
        <v>15</v>
      </c>
      <c r="B10" s="2" t="s">
        <v>39</v>
      </c>
      <c r="C10" s="26" t="s">
        <v>32</v>
      </c>
      <c r="D10" s="31">
        <f>_xlfn.XLOOKUP(B10,'[1]Pengkinian Data'!$B:$B, '[1]Pengkinian Data'!$E:$E)</f>
        <v>0.89990000000000003</v>
      </c>
      <c r="E10" s="53"/>
    </row>
    <row r="11" spans="1:5">
      <c r="A11" s="3">
        <v>16</v>
      </c>
      <c r="B11" s="1" t="s">
        <v>40</v>
      </c>
      <c r="C11" s="26" t="s">
        <v>32</v>
      </c>
      <c r="D11" s="31">
        <f>_xlfn.XLOOKUP(B11,'[1]Pengkinian Data'!$B:$B, '[1]Pengkinian Data'!$E:$E)</f>
        <v>0.94320000000000004</v>
      </c>
      <c r="E11" s="53"/>
    </row>
    <row r="12" spans="1:5">
      <c r="A12" s="3">
        <v>18</v>
      </c>
      <c r="B12" s="1" t="s">
        <v>41</v>
      </c>
      <c r="C12" s="26" t="s">
        <v>32</v>
      </c>
      <c r="D12" s="31">
        <f>_xlfn.XLOOKUP(B12,'[1]Pengkinian Data'!$B:$B, '[1]Pengkinian Data'!$E:$E)</f>
        <v>0.85770000000000002</v>
      </c>
      <c r="E12" s="53"/>
    </row>
    <row r="13" spans="1:5">
      <c r="A13" s="3">
        <v>19</v>
      </c>
      <c r="B13" s="1" t="s">
        <v>42</v>
      </c>
      <c r="C13" s="26" t="s">
        <v>32</v>
      </c>
      <c r="D13" s="31">
        <f>_xlfn.XLOOKUP(B13,'[1]Pengkinian Data'!$B:$B, '[1]Pengkinian Data'!$E:$E)</f>
        <v>0.83760000000000001</v>
      </c>
      <c r="E13" s="53"/>
    </row>
    <row r="14" spans="1:5">
      <c r="A14" s="3">
        <v>20</v>
      </c>
      <c r="B14" s="1" t="s">
        <v>43</v>
      </c>
      <c r="C14" s="26" t="s">
        <v>32</v>
      </c>
      <c r="D14" s="31">
        <f>_xlfn.XLOOKUP(B14,'[1]Pengkinian Data'!$B:$B, '[1]Pengkinian Data'!$E:$E)</f>
        <v>0.82079999999999997</v>
      </c>
      <c r="E14" s="53"/>
    </row>
    <row r="15" spans="1:5">
      <c r="A15" s="3">
        <v>22</v>
      </c>
      <c r="B15" s="1" t="s">
        <v>44</v>
      </c>
      <c r="C15" s="26" t="s">
        <v>32</v>
      </c>
      <c r="D15" s="31">
        <f>_xlfn.XLOOKUP(B15,'[1]Pengkinian Data'!$B:$B, '[1]Pengkinian Data'!$E:$E)</f>
        <v>0.99850000000000005</v>
      </c>
      <c r="E15" s="53"/>
    </row>
    <row r="16" spans="1:5">
      <c r="A16" s="3">
        <v>23</v>
      </c>
      <c r="B16" s="1" t="s">
        <v>45</v>
      </c>
      <c r="C16" s="26" t="s">
        <v>32</v>
      </c>
      <c r="D16" s="31">
        <f>_xlfn.XLOOKUP(B16,'[1]Pengkinian Data'!$B:$B, '[1]Pengkinian Data'!$E:$E)</f>
        <v>0.8478</v>
      </c>
      <c r="E16" s="53"/>
    </row>
    <row r="17" spans="1:5">
      <c r="A17" s="3">
        <v>28</v>
      </c>
      <c r="B17" s="3" t="s">
        <v>46</v>
      </c>
      <c r="C17" s="26" t="s">
        <v>32</v>
      </c>
      <c r="D17" s="31">
        <f>_xlfn.XLOOKUP(B17,'[1]Pengkinian Data'!$B:$B, '[1]Pengkinian Data'!$E:$E)</f>
        <v>0.88400000000000001</v>
      </c>
      <c r="E17" s="53"/>
    </row>
    <row r="18" spans="1:5">
      <c r="A18" s="3">
        <v>1</v>
      </c>
      <c r="B18" s="1" t="s">
        <v>47</v>
      </c>
      <c r="C18" s="26" t="s">
        <v>48</v>
      </c>
      <c r="D18" s="31">
        <f>_xlfn.XLOOKUP(B18,'[1]Pengkinian Data'!$B:$B, '[1]Pengkinian Data'!$E:$E)</f>
        <v>1</v>
      </c>
      <c r="E18" s="54">
        <f>AVERAGE(D18:D32)</f>
        <v>0.90720666666666683</v>
      </c>
    </row>
    <row r="19" spans="1:5">
      <c r="A19" s="3">
        <v>4</v>
      </c>
      <c r="B19" s="1" t="s">
        <v>49</v>
      </c>
      <c r="C19" s="26" t="s">
        <v>48</v>
      </c>
      <c r="D19" s="31">
        <f>_xlfn.XLOOKUP(B19,'[1]Pengkinian Data'!$B:$B, '[1]Pengkinian Data'!$E:$E)</f>
        <v>0.96719999999999995</v>
      </c>
      <c r="E19" s="55"/>
    </row>
    <row r="20" spans="1:5">
      <c r="A20" s="3">
        <v>6</v>
      </c>
      <c r="B20" s="1" t="s">
        <v>50</v>
      </c>
      <c r="C20" s="26" t="s">
        <v>48</v>
      </c>
      <c r="D20" s="31">
        <f>_xlfn.XLOOKUP(B20,'[1]Pengkinian Data'!$B:$B, '[1]Pengkinian Data'!$E:$E)</f>
        <v>1</v>
      </c>
      <c r="E20" s="55"/>
    </row>
    <row r="21" spans="1:5">
      <c r="A21" s="3">
        <v>7</v>
      </c>
      <c r="B21" s="1" t="s">
        <v>51</v>
      </c>
      <c r="C21" s="26" t="s">
        <v>48</v>
      </c>
      <c r="D21" s="31">
        <f>_xlfn.XLOOKUP(B21,'[1]Pengkinian Data'!$B:$B, '[1]Pengkinian Data'!$E:$E)</f>
        <v>0.99439999999999995</v>
      </c>
      <c r="E21" s="55"/>
    </row>
    <row r="22" spans="1:5">
      <c r="A22" s="3">
        <v>8</v>
      </c>
      <c r="B22" s="1" t="s">
        <v>52</v>
      </c>
      <c r="C22" s="26" t="s">
        <v>48</v>
      </c>
      <c r="D22" s="31">
        <f>_xlfn.XLOOKUP(B22,'[1]Pengkinian Data'!$B:$B, '[1]Pengkinian Data'!$E:$E)</f>
        <v>0.88439999999999996</v>
      </c>
      <c r="E22" s="55"/>
    </row>
    <row r="23" spans="1:5">
      <c r="A23" s="3">
        <v>13</v>
      </c>
      <c r="B23" s="1" t="s">
        <v>53</v>
      </c>
      <c r="C23" s="26" t="s">
        <v>48</v>
      </c>
      <c r="D23" s="31">
        <f>_xlfn.XLOOKUP(B23,'[1]Pengkinian Data'!$B:$B, '[1]Pengkinian Data'!$E:$E)</f>
        <v>0.84789999999999999</v>
      </c>
      <c r="E23" s="55"/>
    </row>
    <row r="24" spans="1:5">
      <c r="A24" s="3">
        <v>14</v>
      </c>
      <c r="B24" s="1" t="s">
        <v>54</v>
      </c>
      <c r="C24" s="26" t="s">
        <v>48</v>
      </c>
      <c r="D24" s="31">
        <f>_xlfn.XLOOKUP(B24,'[1]Pengkinian Data'!$B:$B, '[1]Pengkinian Data'!$E:$E)</f>
        <v>0.9163</v>
      </c>
      <c r="E24" s="55"/>
    </row>
    <row r="25" spans="1:5">
      <c r="A25" s="3">
        <v>17</v>
      </c>
      <c r="B25" s="1" t="s">
        <v>55</v>
      </c>
      <c r="C25" s="26" t="s">
        <v>48</v>
      </c>
      <c r="D25" s="31">
        <f>_xlfn.XLOOKUP(B25,'[1]Pengkinian Data'!$B:$B, '[1]Pengkinian Data'!$E:$E)</f>
        <v>0.90349999999999997</v>
      </c>
      <c r="E25" s="55"/>
    </row>
    <row r="26" spans="1:5">
      <c r="A26" s="3">
        <v>21</v>
      </c>
      <c r="B26" s="1" t="s">
        <v>56</v>
      </c>
      <c r="C26" s="26" t="s">
        <v>48</v>
      </c>
      <c r="D26" s="31">
        <f>_xlfn.XLOOKUP(B26,'[1]Pengkinian Data'!$B:$B, '[1]Pengkinian Data'!$E:$E)</f>
        <v>0.87460000000000004</v>
      </c>
      <c r="E26" s="55"/>
    </row>
    <row r="27" spans="1:5">
      <c r="A27" s="3">
        <v>24</v>
      </c>
      <c r="B27" s="1" t="s">
        <v>57</v>
      </c>
      <c r="C27" s="26" t="s">
        <v>48</v>
      </c>
      <c r="D27" s="31">
        <f>_xlfn.XLOOKUP(B27,'[1]Pengkinian Data'!$B:$B, '[1]Pengkinian Data'!$E:$E)</f>
        <v>0.86119999999999997</v>
      </c>
      <c r="E27" s="55"/>
    </row>
    <row r="28" spans="1:5">
      <c r="A28" s="3">
        <v>25</v>
      </c>
      <c r="B28" s="3" t="s">
        <v>58</v>
      </c>
      <c r="C28" s="26" t="s">
        <v>48</v>
      </c>
      <c r="D28" s="31">
        <f>_xlfn.XLOOKUP(B28,'[1]Pengkinian Data'!$B:$B, '[1]Pengkinian Data'!$E:$E)</f>
        <v>0.96109999999999995</v>
      </c>
      <c r="E28" s="55"/>
    </row>
    <row r="29" spans="1:5">
      <c r="A29" s="3">
        <v>26</v>
      </c>
      <c r="B29" s="3" t="s">
        <v>59</v>
      </c>
      <c r="C29" s="26" t="s">
        <v>48</v>
      </c>
      <c r="D29" s="31">
        <f>_xlfn.XLOOKUP(B29,'[1]Pengkinian Data'!$B:$B, '[1]Pengkinian Data'!$E:$E)</f>
        <v>0.87539999999999996</v>
      </c>
      <c r="E29" s="55"/>
    </row>
    <row r="30" spans="1:5">
      <c r="A30" s="3">
        <v>27</v>
      </c>
      <c r="B30" s="3" t="s">
        <v>60</v>
      </c>
      <c r="C30" s="26" t="s">
        <v>48</v>
      </c>
      <c r="D30" s="31">
        <f>_xlfn.XLOOKUP(B30,'[1]Pengkinian Data'!$B:$B, '[1]Pengkinian Data'!$E:$E)</f>
        <v>0.76990000000000003</v>
      </c>
      <c r="E30" s="55"/>
    </row>
    <row r="31" spans="1:5">
      <c r="A31" s="3">
        <v>29</v>
      </c>
      <c r="B31" s="3" t="s">
        <v>61</v>
      </c>
      <c r="C31" s="26" t="s">
        <v>48</v>
      </c>
      <c r="D31" s="31">
        <f>_xlfn.XLOOKUP(B31,'[1]Pengkinian Data'!$B:$B, '[1]Pengkinian Data'!$E:$E)</f>
        <v>0.87060000000000004</v>
      </c>
      <c r="E31" s="55"/>
    </row>
    <row r="32" spans="1:5">
      <c r="A32" s="3">
        <v>30</v>
      </c>
      <c r="B32" s="3" t="s">
        <v>62</v>
      </c>
      <c r="C32" s="26" t="s">
        <v>48</v>
      </c>
      <c r="D32" s="31">
        <f>_xlfn.XLOOKUP(B32,'[1]Pengkinian Data'!$B:$B, '[1]Pengkinian Data'!$E:$E)</f>
        <v>0.88160000000000005</v>
      </c>
      <c r="E32" s="55"/>
    </row>
  </sheetData>
  <protectedRanges>
    <protectedRange sqref="C3:C32" name="Range2"/>
  </protectedRanges>
  <autoFilter ref="A2:D2" xr:uid="{C929CE90-D1A8-4AD5-8053-EC36880FE861}">
    <sortState xmlns:xlrd2="http://schemas.microsoft.com/office/spreadsheetml/2017/richdata2" ref="A3:D32">
      <sortCondition ref="C2"/>
    </sortState>
  </autoFilter>
  <mergeCells count="3">
    <mergeCell ref="D1:E1"/>
    <mergeCell ref="E3:E17"/>
    <mergeCell ref="E18:E32"/>
  </mergeCells>
  <dataValidations count="1">
    <dataValidation type="list" allowBlank="1" showInputMessage="1" showErrorMessage="1" sqref="C3:C32" xr:uid="{FE2A50EE-60F9-4900-AADE-815E362E2BD5}">
      <formula1>"Gesang Jumadi, Gumilar Rudimaya"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 codeName="Sheet6">
    <tabColor theme="8"/>
  </sheetPr>
  <dimension ref="A1:F39"/>
  <sheetViews>
    <sheetView workbookViewId="0">
      <selection activeCell="D34" sqref="D34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6" t="s">
        <v>26</v>
      </c>
      <c r="B1" s="56" t="s">
        <v>27</v>
      </c>
      <c r="C1" s="56" t="s">
        <v>28</v>
      </c>
      <c r="D1" s="56" t="s">
        <v>102</v>
      </c>
      <c r="E1" s="56" t="s">
        <v>65</v>
      </c>
      <c r="F1" s="56" t="s">
        <v>68</v>
      </c>
    </row>
    <row r="2" spans="1:6" s="7" customFormat="1">
      <c r="A2" s="57"/>
      <c r="B2" s="57"/>
      <c r="C2" s="57"/>
      <c r="D2" s="57"/>
      <c r="E2" s="57"/>
      <c r="F2" s="57"/>
    </row>
    <row r="3" spans="1:6">
      <c r="A3" s="3"/>
      <c r="B3" s="1"/>
      <c r="C3" s="3"/>
      <c r="D3" s="3"/>
      <c r="E3" s="3"/>
      <c r="F3" s="3"/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93</v>
      </c>
    </row>
    <row r="30" spans="1:6">
      <c r="B30" s="5" t="s">
        <v>94</v>
      </c>
    </row>
    <row r="31" spans="1:6">
      <c r="B31" s="6" t="s">
        <v>103</v>
      </c>
    </row>
    <row r="34" spans="2:2">
      <c r="B34" t="s">
        <v>96</v>
      </c>
    </row>
    <row r="35" spans="2:2">
      <c r="B35" t="s">
        <v>97</v>
      </c>
    </row>
    <row r="36" spans="2:2">
      <c r="B36" t="s">
        <v>98</v>
      </c>
    </row>
    <row r="37" spans="2:2">
      <c r="B37" t="s">
        <v>99</v>
      </c>
    </row>
    <row r="38" spans="2:2">
      <c r="B38" t="s">
        <v>104</v>
      </c>
    </row>
    <row r="39" spans="2:2">
      <c r="B39" t="s">
        <v>105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7FC4-C719-4FB8-81AB-4C2CD5E2D406}">
  <sheetPr codeName="Sheet7"/>
  <dimension ref="A1:H31"/>
  <sheetViews>
    <sheetView workbookViewId="0">
      <selection activeCell="D2" sqref="D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22" t="s">
        <v>26</v>
      </c>
      <c r="B1" s="22" t="s">
        <v>27</v>
      </c>
      <c r="C1" s="22" t="s">
        <v>28</v>
      </c>
      <c r="D1" s="22" t="s">
        <v>106</v>
      </c>
      <c r="E1" s="29" t="s">
        <v>107</v>
      </c>
      <c r="F1" s="29" t="s">
        <v>108</v>
      </c>
    </row>
    <row r="2" spans="1:8">
      <c r="A2" s="9">
        <v>2</v>
      </c>
      <c r="B2" s="15" t="s">
        <v>109</v>
      </c>
      <c r="C2" s="21" t="s">
        <v>32</v>
      </c>
      <c r="D2" s="27">
        <v>6.375</v>
      </c>
      <c r="E2" s="58">
        <f>AVERAGE(D2:D16)</f>
        <v>6.3</v>
      </c>
      <c r="F2" s="58" t="s">
        <v>110</v>
      </c>
      <c r="G2" s="19"/>
      <c r="H2" s="19"/>
    </row>
    <row r="3" spans="1:8">
      <c r="A3" s="9">
        <v>3</v>
      </c>
      <c r="B3" s="15" t="s">
        <v>111</v>
      </c>
      <c r="C3" s="21" t="s">
        <v>32</v>
      </c>
      <c r="D3" s="27">
        <v>6.375</v>
      </c>
      <c r="E3" s="58"/>
      <c r="F3" s="58"/>
      <c r="G3" s="19"/>
      <c r="H3" s="19"/>
    </row>
    <row r="4" spans="1:8">
      <c r="A4" s="9">
        <v>5</v>
      </c>
      <c r="B4" s="15" t="s">
        <v>112</v>
      </c>
      <c r="C4" s="21" t="s">
        <v>32</v>
      </c>
      <c r="D4" s="27">
        <v>6.875</v>
      </c>
      <c r="E4" s="58"/>
      <c r="F4" s="58"/>
      <c r="G4" s="19"/>
      <c r="H4" s="19"/>
    </row>
    <row r="5" spans="1:8">
      <c r="A5" s="9">
        <v>9</v>
      </c>
      <c r="B5" s="15" t="s">
        <v>113</v>
      </c>
      <c r="C5" s="21" t="s">
        <v>32</v>
      </c>
      <c r="D5" s="27">
        <v>5.875</v>
      </c>
      <c r="E5" s="58"/>
      <c r="F5" s="58"/>
      <c r="G5" s="19"/>
      <c r="H5" s="19"/>
    </row>
    <row r="6" spans="1:8">
      <c r="A6" s="9">
        <v>10</v>
      </c>
      <c r="B6" s="15" t="s">
        <v>114</v>
      </c>
      <c r="C6" s="21" t="s">
        <v>32</v>
      </c>
      <c r="D6" s="27">
        <v>6.375</v>
      </c>
      <c r="E6" s="58"/>
      <c r="F6" s="58"/>
      <c r="G6" s="19"/>
      <c r="H6" s="19"/>
    </row>
    <row r="7" spans="1:8">
      <c r="A7" s="9">
        <v>11</v>
      </c>
      <c r="B7" s="15" t="s">
        <v>115</v>
      </c>
      <c r="C7" s="21" t="s">
        <v>32</v>
      </c>
      <c r="D7" s="27">
        <v>6.875</v>
      </c>
      <c r="E7" s="58"/>
      <c r="F7" s="58"/>
      <c r="G7" s="19"/>
      <c r="H7" s="19"/>
    </row>
    <row r="8" spans="1:8">
      <c r="A8" s="9">
        <v>12</v>
      </c>
      <c r="B8" s="15" t="s">
        <v>116</v>
      </c>
      <c r="C8" s="21" t="s">
        <v>32</v>
      </c>
      <c r="D8" s="27">
        <v>5.875</v>
      </c>
      <c r="E8" s="58"/>
      <c r="F8" s="58"/>
      <c r="G8" s="19"/>
      <c r="H8" s="19"/>
    </row>
    <row r="9" spans="1:8">
      <c r="A9" s="9">
        <v>15</v>
      </c>
      <c r="B9" s="23" t="s">
        <v>117</v>
      </c>
      <c r="C9" s="21" t="s">
        <v>32</v>
      </c>
      <c r="D9" s="28">
        <v>6</v>
      </c>
      <c r="E9" s="58"/>
      <c r="F9" s="58"/>
      <c r="G9" s="19"/>
      <c r="H9" s="19"/>
    </row>
    <row r="10" spans="1:8">
      <c r="A10" s="9">
        <v>16</v>
      </c>
      <c r="B10" s="15" t="s">
        <v>118</v>
      </c>
      <c r="C10" s="21" t="s">
        <v>32</v>
      </c>
      <c r="D10" s="28">
        <v>6</v>
      </c>
      <c r="E10" s="58"/>
      <c r="F10" s="58"/>
      <c r="G10" s="19"/>
      <c r="H10" s="19"/>
    </row>
    <row r="11" spans="1:8">
      <c r="A11" s="9">
        <v>18</v>
      </c>
      <c r="B11" s="15" t="s">
        <v>119</v>
      </c>
      <c r="C11" s="21" t="s">
        <v>32</v>
      </c>
      <c r="D11" s="28">
        <v>5.875</v>
      </c>
      <c r="E11" s="58"/>
      <c r="F11" s="58"/>
      <c r="G11" s="19"/>
      <c r="H11" s="19"/>
    </row>
    <row r="12" spans="1:8">
      <c r="A12" s="9">
        <v>19</v>
      </c>
      <c r="B12" s="15" t="s">
        <v>120</v>
      </c>
      <c r="C12" s="21" t="s">
        <v>32</v>
      </c>
      <c r="D12" s="28">
        <v>6.375</v>
      </c>
      <c r="E12" s="58"/>
      <c r="F12" s="58"/>
      <c r="G12" s="19"/>
      <c r="H12" s="19"/>
    </row>
    <row r="13" spans="1:8">
      <c r="A13" s="9">
        <v>20</v>
      </c>
      <c r="B13" s="15" t="s">
        <v>121</v>
      </c>
      <c r="C13" s="21" t="s">
        <v>32</v>
      </c>
      <c r="D13" s="28">
        <v>6.375</v>
      </c>
      <c r="E13" s="58"/>
      <c r="F13" s="58"/>
      <c r="G13" s="19"/>
      <c r="H13" s="19"/>
    </row>
    <row r="14" spans="1:8">
      <c r="A14" s="9">
        <v>22</v>
      </c>
      <c r="B14" s="15" t="s">
        <v>122</v>
      </c>
      <c r="C14" s="21" t="s">
        <v>32</v>
      </c>
      <c r="D14" s="28">
        <v>6.5</v>
      </c>
      <c r="E14" s="58"/>
      <c r="F14" s="58"/>
      <c r="G14" s="19"/>
      <c r="H14" s="19"/>
    </row>
    <row r="15" spans="1:8">
      <c r="A15" s="9">
        <v>23</v>
      </c>
      <c r="B15" s="15" t="s">
        <v>123</v>
      </c>
      <c r="C15" s="21" t="s">
        <v>32</v>
      </c>
      <c r="D15" s="28">
        <v>6.375</v>
      </c>
      <c r="E15" s="58"/>
      <c r="F15" s="58"/>
      <c r="G15" s="19"/>
      <c r="H15" s="19"/>
    </row>
    <row r="16" spans="1:8">
      <c r="A16" s="9">
        <v>28</v>
      </c>
      <c r="B16" s="9" t="s">
        <v>124</v>
      </c>
      <c r="C16" s="21" t="s">
        <v>32</v>
      </c>
      <c r="D16" s="28">
        <v>6.375</v>
      </c>
      <c r="E16" s="58"/>
      <c r="F16" s="58"/>
    </row>
    <row r="17" spans="1:6">
      <c r="A17" s="9">
        <v>1</v>
      </c>
      <c r="B17" s="15" t="s">
        <v>125</v>
      </c>
      <c r="C17" s="21" t="s">
        <v>48</v>
      </c>
      <c r="D17" s="20">
        <v>6.375</v>
      </c>
      <c r="E17" s="58">
        <f>AVERAGE(D17:D31)</f>
        <v>6.15</v>
      </c>
      <c r="F17" s="58" t="s">
        <v>110</v>
      </c>
    </row>
    <row r="18" spans="1:6">
      <c r="A18" s="9">
        <v>4</v>
      </c>
      <c r="B18" s="15" t="s">
        <v>126</v>
      </c>
      <c r="C18" s="21" t="s">
        <v>48</v>
      </c>
      <c r="D18" s="20">
        <v>6.375</v>
      </c>
      <c r="E18" s="58"/>
      <c r="F18" s="58"/>
    </row>
    <row r="19" spans="1:6">
      <c r="A19" s="9">
        <v>6</v>
      </c>
      <c r="B19" s="15" t="s">
        <v>127</v>
      </c>
      <c r="C19" s="21" t="s">
        <v>48</v>
      </c>
      <c r="D19" s="20">
        <v>6.5</v>
      </c>
      <c r="E19" s="58"/>
      <c r="F19" s="58"/>
    </row>
    <row r="20" spans="1:6">
      <c r="A20" s="9">
        <v>7</v>
      </c>
      <c r="B20" s="15" t="s">
        <v>128</v>
      </c>
      <c r="C20" s="21" t="s">
        <v>48</v>
      </c>
      <c r="D20" s="20">
        <v>5.625</v>
      </c>
      <c r="E20" s="58"/>
      <c r="F20" s="58"/>
    </row>
    <row r="21" spans="1:6">
      <c r="A21" s="9">
        <v>8</v>
      </c>
      <c r="B21" s="15" t="s">
        <v>129</v>
      </c>
      <c r="C21" s="21" t="s">
        <v>48</v>
      </c>
      <c r="D21" s="20">
        <v>6.875</v>
      </c>
      <c r="E21" s="58"/>
      <c r="F21" s="58"/>
    </row>
    <row r="22" spans="1:6">
      <c r="A22" s="9">
        <v>13</v>
      </c>
      <c r="B22" s="15" t="s">
        <v>130</v>
      </c>
      <c r="C22" s="21" t="s">
        <v>48</v>
      </c>
      <c r="D22" s="20">
        <v>5.875</v>
      </c>
      <c r="E22" s="58"/>
      <c r="F22" s="58"/>
    </row>
    <row r="23" spans="1:6">
      <c r="A23" s="9">
        <v>14</v>
      </c>
      <c r="B23" s="15" t="s">
        <v>131</v>
      </c>
      <c r="C23" s="21" t="s">
        <v>48</v>
      </c>
      <c r="D23" s="20">
        <v>5.625</v>
      </c>
      <c r="E23" s="58"/>
      <c r="F23" s="58"/>
    </row>
    <row r="24" spans="1:6">
      <c r="A24" s="9">
        <v>17</v>
      </c>
      <c r="B24" s="15" t="s">
        <v>132</v>
      </c>
      <c r="C24" s="21" t="s">
        <v>48</v>
      </c>
      <c r="D24" s="9">
        <v>7</v>
      </c>
      <c r="E24" s="58"/>
      <c r="F24" s="58"/>
    </row>
    <row r="25" spans="1:6">
      <c r="A25" s="9">
        <v>21</v>
      </c>
      <c r="B25" s="15" t="s">
        <v>133</v>
      </c>
      <c r="C25" s="21" t="s">
        <v>48</v>
      </c>
      <c r="D25" s="9">
        <v>5.875</v>
      </c>
      <c r="E25" s="58"/>
      <c r="F25" s="58"/>
    </row>
    <row r="26" spans="1:6">
      <c r="A26" s="9">
        <v>24</v>
      </c>
      <c r="B26" s="15" t="s">
        <v>134</v>
      </c>
      <c r="C26" s="21" t="s">
        <v>48</v>
      </c>
      <c r="D26" s="9">
        <v>6.375</v>
      </c>
      <c r="E26" s="58"/>
      <c r="F26" s="58"/>
    </row>
    <row r="27" spans="1:6">
      <c r="A27" s="9">
        <v>25</v>
      </c>
      <c r="B27" s="9" t="s">
        <v>135</v>
      </c>
      <c r="C27" s="21" t="s">
        <v>48</v>
      </c>
      <c r="D27" s="9">
        <v>6.375</v>
      </c>
      <c r="E27" s="58"/>
      <c r="F27" s="58"/>
    </row>
    <row r="28" spans="1:6">
      <c r="A28" s="9">
        <v>26</v>
      </c>
      <c r="B28" s="9" t="s">
        <v>136</v>
      </c>
      <c r="C28" s="21" t="s">
        <v>48</v>
      </c>
      <c r="D28" s="9">
        <v>4.875</v>
      </c>
      <c r="E28" s="58"/>
      <c r="F28" s="58"/>
    </row>
    <row r="29" spans="1:6">
      <c r="A29" s="9">
        <v>27</v>
      </c>
      <c r="B29" s="9" t="s">
        <v>137</v>
      </c>
      <c r="C29" s="21" t="s">
        <v>48</v>
      </c>
      <c r="D29" s="9">
        <v>6.375</v>
      </c>
      <c r="E29" s="58"/>
      <c r="F29" s="58"/>
    </row>
    <row r="30" spans="1:6">
      <c r="A30" s="9">
        <v>29</v>
      </c>
      <c r="B30" s="9" t="s">
        <v>138</v>
      </c>
      <c r="C30" s="21" t="s">
        <v>48</v>
      </c>
      <c r="D30" s="9">
        <v>6</v>
      </c>
      <c r="E30" s="58"/>
      <c r="F30" s="58"/>
    </row>
    <row r="31" spans="1:6">
      <c r="A31" s="9">
        <v>30</v>
      </c>
      <c r="B31" s="9" t="s">
        <v>139</v>
      </c>
      <c r="C31" s="21" t="s">
        <v>48</v>
      </c>
      <c r="D31" s="9">
        <v>6.125</v>
      </c>
      <c r="E31" s="58"/>
      <c r="F31" s="58"/>
    </row>
  </sheetData>
  <protectedRanges>
    <protectedRange sqref="C2:C31" name="Range2_1"/>
  </protectedRanges>
  <autoFilter ref="A1:D1" xr:uid="{6981F627-9C8A-440F-9117-C65AEBF04DD7}">
    <sortState xmlns:xlrd2="http://schemas.microsoft.com/office/spreadsheetml/2017/richdata2" ref="A2:D31">
      <sortCondition ref="C1"/>
    </sortState>
  </autoFilter>
  <mergeCells count="4">
    <mergeCell ref="E2:E16"/>
    <mergeCell ref="E17:E31"/>
    <mergeCell ref="F2:F16"/>
    <mergeCell ref="F17:F31"/>
  </mergeCells>
  <dataValidations count="1">
    <dataValidation type="list" allowBlank="1" showInputMessage="1" showErrorMessage="1" sqref="C2:C31" xr:uid="{0E5F81DD-C930-49F7-8DA7-3E6371FB52D2}">
      <formula1>"Gesang Jumadi, Gumilar Rudimaya"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C90D-5BF3-48F3-999A-6E274EECD781}">
  <sheetPr codeName="Sheet8"/>
  <dimension ref="A1:H32"/>
  <sheetViews>
    <sheetView topLeftCell="A5" workbookViewId="0">
      <selection activeCell="E17" sqref="E17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22" t="s">
        <v>26</v>
      </c>
      <c r="B1" s="22" t="s">
        <v>27</v>
      </c>
      <c r="C1" s="22" t="s">
        <v>28</v>
      </c>
      <c r="D1" s="22" t="s">
        <v>140</v>
      </c>
      <c r="E1" s="29" t="s">
        <v>141</v>
      </c>
      <c r="F1" s="29" t="s">
        <v>142</v>
      </c>
    </row>
    <row r="2" spans="1:8" ht="15">
      <c r="A2" s="9">
        <v>2</v>
      </c>
      <c r="B2" s="15" t="s">
        <v>109</v>
      </c>
      <c r="C2" s="21" t="s">
        <v>32</v>
      </c>
      <c r="D2" s="30">
        <v>5</v>
      </c>
      <c r="E2" s="58">
        <f>AVERAGE(D2:D16)</f>
        <v>5.5273710952782986</v>
      </c>
      <c r="F2" s="58" t="s">
        <v>143</v>
      </c>
      <c r="G2" s="19"/>
      <c r="H2" s="19"/>
    </row>
    <row r="3" spans="1:8" ht="15">
      <c r="A3" s="9">
        <v>3</v>
      </c>
      <c r="B3" s="15" t="s">
        <v>111</v>
      </c>
      <c r="C3" s="21" t="s">
        <v>32</v>
      </c>
      <c r="D3" s="30">
        <v>5.9791303715506992</v>
      </c>
      <c r="E3" s="58"/>
      <c r="F3" s="58"/>
      <c r="G3" s="19"/>
      <c r="H3" s="19"/>
    </row>
    <row r="4" spans="1:8" ht="15">
      <c r="A4" s="9">
        <v>5</v>
      </c>
      <c r="B4" s="15" t="s">
        <v>112</v>
      </c>
      <c r="C4" s="21" t="s">
        <v>32</v>
      </c>
      <c r="D4" s="30">
        <v>5.9791303715506992</v>
      </c>
      <c r="E4" s="58"/>
      <c r="F4" s="58"/>
      <c r="G4" s="19"/>
      <c r="H4" s="19"/>
    </row>
    <row r="5" spans="1:8" ht="15">
      <c r="A5" s="9">
        <v>9</v>
      </c>
      <c r="B5" s="15" t="s">
        <v>113</v>
      </c>
      <c r="C5" s="21" t="s">
        <v>32</v>
      </c>
      <c r="D5" s="30">
        <v>4.9749371855330997</v>
      </c>
      <c r="E5" s="58"/>
      <c r="F5" s="58"/>
      <c r="G5" s="19"/>
      <c r="H5" s="19"/>
    </row>
    <row r="6" spans="1:8" ht="15">
      <c r="A6" s="9">
        <v>10</v>
      </c>
      <c r="B6" s="15" t="s">
        <v>114</v>
      </c>
      <c r="C6" s="21" t="s">
        <v>32</v>
      </c>
      <c r="D6" s="30">
        <v>6.1237243569579451</v>
      </c>
      <c r="E6" s="58"/>
      <c r="F6" s="58"/>
      <c r="G6" s="19"/>
      <c r="H6" s="19"/>
    </row>
    <row r="7" spans="1:8" ht="15">
      <c r="A7" s="9">
        <v>11</v>
      </c>
      <c r="B7" s="15" t="s">
        <v>115</v>
      </c>
      <c r="C7" s="21" t="s">
        <v>32</v>
      </c>
      <c r="D7" s="30">
        <v>6.6332495807107996</v>
      </c>
      <c r="E7" s="58"/>
      <c r="F7" s="58"/>
      <c r="G7" s="19"/>
      <c r="H7" s="19"/>
    </row>
    <row r="8" spans="1:8" ht="15">
      <c r="A8" s="9">
        <v>12</v>
      </c>
      <c r="B8" s="15" t="s">
        <v>116</v>
      </c>
      <c r="C8" s="21" t="s">
        <v>32</v>
      </c>
      <c r="D8" s="30">
        <v>5.7445626465380286</v>
      </c>
      <c r="E8" s="58"/>
      <c r="F8" s="58"/>
      <c r="G8" s="19"/>
      <c r="H8" s="19"/>
    </row>
    <row r="9" spans="1:8" ht="15">
      <c r="A9" s="9">
        <v>15</v>
      </c>
      <c r="B9" s="23" t="s">
        <v>117</v>
      </c>
      <c r="C9" s="21" t="s">
        <v>32</v>
      </c>
      <c r="D9" s="30">
        <v>5.4083269131959844</v>
      </c>
      <c r="E9" s="58"/>
      <c r="F9" s="58"/>
      <c r="G9" s="19"/>
      <c r="H9" s="19"/>
    </row>
    <row r="10" spans="1:8" ht="15">
      <c r="A10" s="9">
        <v>16</v>
      </c>
      <c r="B10" s="15" t="s">
        <v>118</v>
      </c>
      <c r="C10" s="21" t="s">
        <v>32</v>
      </c>
      <c r="D10" s="30">
        <v>4.9749371855330997</v>
      </c>
      <c r="E10" s="58"/>
      <c r="F10" s="58"/>
      <c r="G10" s="19"/>
      <c r="H10" s="19"/>
    </row>
    <row r="11" spans="1:8" ht="15">
      <c r="A11" s="9">
        <v>18</v>
      </c>
      <c r="B11" s="15" t="s">
        <v>119</v>
      </c>
      <c r="C11" s="21" t="s">
        <v>32</v>
      </c>
      <c r="D11" s="30">
        <v>5</v>
      </c>
      <c r="E11" s="58"/>
      <c r="F11" s="58"/>
      <c r="G11" s="19"/>
      <c r="H11" s="19"/>
    </row>
    <row r="12" spans="1:8" ht="15">
      <c r="A12" s="9">
        <v>19</v>
      </c>
      <c r="B12" s="15" t="s">
        <v>120</v>
      </c>
      <c r="C12" s="21" t="s">
        <v>32</v>
      </c>
      <c r="D12" s="30">
        <v>5.2440442408507577</v>
      </c>
      <c r="E12" s="58"/>
      <c r="F12" s="58"/>
      <c r="G12" s="19"/>
      <c r="H12" s="19"/>
    </row>
    <row r="13" spans="1:8" ht="15">
      <c r="A13" s="9">
        <v>20</v>
      </c>
      <c r="B13" s="15" t="s">
        <v>121</v>
      </c>
      <c r="C13" s="21" t="s">
        <v>32</v>
      </c>
      <c r="D13" s="30">
        <v>5.2440442408507577</v>
      </c>
      <c r="E13" s="58"/>
      <c r="F13" s="58"/>
      <c r="G13" s="19"/>
      <c r="H13" s="19"/>
    </row>
    <row r="14" spans="1:8" ht="15">
      <c r="A14" s="9">
        <v>22</v>
      </c>
      <c r="B14" s="15" t="s">
        <v>122</v>
      </c>
      <c r="C14" s="21" t="s">
        <v>32</v>
      </c>
      <c r="D14" s="30">
        <v>5.196152422706632</v>
      </c>
      <c r="E14" s="58"/>
      <c r="F14" s="58"/>
      <c r="G14" s="19"/>
      <c r="H14" s="19"/>
    </row>
    <row r="15" spans="1:8" ht="15">
      <c r="A15" s="9">
        <v>23</v>
      </c>
      <c r="B15" s="15" t="s">
        <v>123</v>
      </c>
      <c r="C15" s="21" t="s">
        <v>32</v>
      </c>
      <c r="D15" s="30">
        <v>5.4083269131959844</v>
      </c>
      <c r="E15" s="58"/>
      <c r="F15" s="58"/>
      <c r="G15" s="19"/>
      <c r="H15" s="19"/>
    </row>
    <row r="16" spans="1:8" ht="15">
      <c r="A16" s="9">
        <v>28</v>
      </c>
      <c r="B16" s="9" t="s">
        <v>124</v>
      </c>
      <c r="C16" s="21" t="s">
        <v>32</v>
      </c>
      <c r="D16" s="30">
        <v>6</v>
      </c>
      <c r="E16" s="58"/>
      <c r="F16" s="58"/>
    </row>
    <row r="17" spans="1:6" ht="14.45" customHeight="1">
      <c r="A17" s="9">
        <v>1</v>
      </c>
      <c r="B17" s="15" t="s">
        <v>125</v>
      </c>
      <c r="C17" s="21" t="s">
        <v>48</v>
      </c>
      <c r="D17" s="18">
        <v>4.3874821936960613</v>
      </c>
      <c r="E17" s="58">
        <f>AVERAGE(D17:D31)</f>
        <v>5.4935929411329134</v>
      </c>
      <c r="F17" s="58" t="s">
        <v>143</v>
      </c>
    </row>
    <row r="18" spans="1:6" ht="14.45" customHeight="1">
      <c r="A18" s="9">
        <v>4</v>
      </c>
      <c r="B18" s="15" t="s">
        <v>126</v>
      </c>
      <c r="C18" s="21" t="s">
        <v>48</v>
      </c>
      <c r="D18" s="18">
        <v>5.7445626465380286</v>
      </c>
      <c r="E18" s="58"/>
      <c r="F18" s="58"/>
    </row>
    <row r="19" spans="1:6" ht="14.45" customHeight="1">
      <c r="A19" s="9">
        <v>6</v>
      </c>
      <c r="B19" s="15" t="s">
        <v>127</v>
      </c>
      <c r="C19" s="21" t="s">
        <v>48</v>
      </c>
      <c r="D19" s="18">
        <v>5.6124860801609122</v>
      </c>
      <c r="E19" s="58"/>
      <c r="F19" s="58"/>
    </row>
    <row r="20" spans="1:6" ht="14.45" customHeight="1">
      <c r="A20" s="9">
        <v>7</v>
      </c>
      <c r="B20" s="15" t="s">
        <v>128</v>
      </c>
      <c r="C20" s="21" t="s">
        <v>48</v>
      </c>
      <c r="D20" s="18">
        <v>5.6124860801609122</v>
      </c>
      <c r="E20" s="58"/>
      <c r="F20" s="58"/>
    </row>
    <row r="21" spans="1:6" ht="14.45" customHeight="1">
      <c r="A21" s="9">
        <v>8</v>
      </c>
      <c r="B21" s="15" t="s">
        <v>129</v>
      </c>
      <c r="C21" s="21" t="s">
        <v>48</v>
      </c>
      <c r="D21" s="18">
        <v>5.4083269131959844</v>
      </c>
      <c r="E21" s="58"/>
      <c r="F21" s="58"/>
    </row>
    <row r="22" spans="1:6" ht="14.45" customHeight="1">
      <c r="A22" s="9">
        <v>13</v>
      </c>
      <c r="B22" s="15" t="s">
        <v>130</v>
      </c>
      <c r="C22" s="21" t="s">
        <v>48</v>
      </c>
      <c r="D22" s="18">
        <v>5.7008771254956896</v>
      </c>
      <c r="E22" s="58"/>
      <c r="F22" s="58"/>
    </row>
    <row r="23" spans="1:6" ht="14.45" customHeight="1">
      <c r="A23" s="9">
        <v>14</v>
      </c>
      <c r="B23" s="15" t="s">
        <v>131</v>
      </c>
      <c r="C23" s="21" t="s">
        <v>48</v>
      </c>
      <c r="D23" s="18">
        <v>5.9791303715506992</v>
      </c>
      <c r="E23" s="58"/>
      <c r="F23" s="58"/>
    </row>
    <row r="24" spans="1:6" ht="14.45" customHeight="1">
      <c r="A24" s="9">
        <v>17</v>
      </c>
      <c r="B24" s="15" t="s">
        <v>132</v>
      </c>
      <c r="C24" s="21" t="s">
        <v>48</v>
      </c>
      <c r="D24" s="18">
        <v>4.7434164902525691</v>
      </c>
      <c r="E24" s="58"/>
      <c r="F24" s="58"/>
    </row>
    <row r="25" spans="1:6" ht="14.45" customHeight="1">
      <c r="A25" s="9">
        <v>21</v>
      </c>
      <c r="B25" s="15" t="s">
        <v>133</v>
      </c>
      <c r="C25" s="21" t="s">
        <v>48</v>
      </c>
      <c r="D25" s="18">
        <v>5.0990195135927836</v>
      </c>
      <c r="E25" s="58"/>
      <c r="F25" s="58"/>
    </row>
    <row r="26" spans="1:6" ht="14.45" customHeight="1">
      <c r="A26" s="9">
        <v>24</v>
      </c>
      <c r="B26" s="15" t="s">
        <v>134</v>
      </c>
      <c r="C26" s="21" t="s">
        <v>48</v>
      </c>
      <c r="D26" s="18">
        <v>5.6124860801609122</v>
      </c>
      <c r="E26" s="58"/>
      <c r="F26" s="58"/>
    </row>
    <row r="27" spans="1:6" ht="14.45" customHeight="1">
      <c r="A27" s="9">
        <v>25</v>
      </c>
      <c r="B27" s="9" t="s">
        <v>135</v>
      </c>
      <c r="C27" s="21" t="s">
        <v>48</v>
      </c>
      <c r="D27" s="18">
        <v>5.7008771254956896</v>
      </c>
      <c r="E27" s="58"/>
      <c r="F27" s="58"/>
    </row>
    <row r="28" spans="1:6" ht="14.45" customHeight="1">
      <c r="A28" s="9">
        <v>26</v>
      </c>
      <c r="B28" s="9" t="s">
        <v>136</v>
      </c>
      <c r="C28" s="21" t="s">
        <v>48</v>
      </c>
      <c r="D28" s="18">
        <v>5.7008771254956896</v>
      </c>
      <c r="E28" s="58"/>
      <c r="F28" s="58"/>
    </row>
    <row r="29" spans="1:6" ht="14.45" customHeight="1">
      <c r="A29" s="9">
        <v>27</v>
      </c>
      <c r="B29" s="9" t="s">
        <v>137</v>
      </c>
      <c r="C29" s="21" t="s">
        <v>48</v>
      </c>
      <c r="D29" s="18">
        <v>6.2048368229954276</v>
      </c>
      <c r="E29" s="58"/>
      <c r="F29" s="58"/>
    </row>
    <row r="30" spans="1:6" ht="14.45" customHeight="1">
      <c r="A30" s="9">
        <v>29</v>
      </c>
      <c r="B30" s="9" t="s">
        <v>138</v>
      </c>
      <c r="C30" s="21" t="s">
        <v>48</v>
      </c>
      <c r="D30" s="18">
        <v>5.7008771254956896</v>
      </c>
      <c r="E30" s="58"/>
      <c r="F30" s="58"/>
    </row>
    <row r="31" spans="1:6" ht="14.45" customHeight="1">
      <c r="A31" s="9">
        <v>30</v>
      </c>
      <c r="B31" s="9" t="s">
        <v>139</v>
      </c>
      <c r="C31" s="21" t="s">
        <v>48</v>
      </c>
      <c r="D31" s="18">
        <v>5.196152422706632</v>
      </c>
      <c r="E31" s="58"/>
      <c r="F31" s="58"/>
    </row>
    <row r="32" spans="1:6" ht="15"/>
  </sheetData>
  <protectedRanges>
    <protectedRange sqref="C2:C31" name="Range2_1"/>
  </protectedRanges>
  <autoFilter ref="A1:D1" xr:uid="{F294EAD7-2207-4EA2-A633-F6E085B1F34F}">
    <sortState xmlns:xlrd2="http://schemas.microsoft.com/office/spreadsheetml/2017/richdata2" ref="A2:D31">
      <sortCondition ref="C1"/>
    </sortState>
  </autoFilter>
  <mergeCells count="4">
    <mergeCell ref="E2:E16"/>
    <mergeCell ref="E17:E31"/>
    <mergeCell ref="F2:F16"/>
    <mergeCell ref="F17:F31"/>
  </mergeCells>
  <dataValidations count="1">
    <dataValidation type="list" allowBlank="1" showInputMessage="1" showErrorMessage="1" sqref="C2:C31" xr:uid="{8FB8887E-1BD8-4070-9E65-F3A6E8D5DC41}">
      <formula1>"Gesang Jumadi, Gumilar Rudimaya"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0B44-C652-453A-A82B-8C0BA9821520}">
  <sheetPr codeName="Sheet9"/>
  <dimension ref="A1:H31"/>
  <sheetViews>
    <sheetView topLeftCell="A27" workbookViewId="0">
      <selection activeCell="C17" sqref="C17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5" width="14.42578125" bestFit="1" customWidth="1"/>
    <col min="6" max="6" width="15.85546875" bestFit="1" customWidth="1"/>
  </cols>
  <sheetData>
    <row r="1" spans="1:8">
      <c r="A1" s="22" t="s">
        <v>26</v>
      </c>
      <c r="B1" s="22" t="s">
        <v>27</v>
      </c>
      <c r="C1" s="22" t="s">
        <v>28</v>
      </c>
      <c r="D1" s="22" t="s">
        <v>144</v>
      </c>
      <c r="E1" s="29" t="s">
        <v>144</v>
      </c>
      <c r="F1" s="29" t="s">
        <v>145</v>
      </c>
    </row>
    <row r="2" spans="1:8">
      <c r="A2" s="9">
        <v>2</v>
      </c>
      <c r="B2" s="15" t="s">
        <v>109</v>
      </c>
      <c r="C2" s="21" t="s">
        <v>32</v>
      </c>
      <c r="D2" s="30">
        <v>9.3729358695044969</v>
      </c>
      <c r="E2" s="58">
        <f>AVERAGE(D2:D16)</f>
        <v>8.4522677111680391</v>
      </c>
      <c r="F2" s="58" t="s">
        <v>146</v>
      </c>
      <c r="G2" s="19"/>
      <c r="H2" s="19"/>
    </row>
    <row r="3" spans="1:8">
      <c r="A3" s="9">
        <v>3</v>
      </c>
      <c r="B3" s="15" t="s">
        <v>111</v>
      </c>
      <c r="C3" s="21" t="s">
        <v>32</v>
      </c>
      <c r="D3" s="30">
        <v>8.2094025872457266</v>
      </c>
      <c r="E3" s="58"/>
      <c r="F3" s="58"/>
      <c r="G3" s="19"/>
      <c r="H3" s="19"/>
    </row>
    <row r="4" spans="1:8">
      <c r="A4" s="9">
        <v>5</v>
      </c>
      <c r="B4" s="15" t="s">
        <v>112</v>
      </c>
      <c r="C4" s="21" t="s">
        <v>32</v>
      </c>
      <c r="D4" s="30">
        <v>9.2438967495830227</v>
      </c>
      <c r="E4" s="58"/>
      <c r="F4" s="58"/>
      <c r="G4" s="19"/>
      <c r="H4" s="19"/>
    </row>
    <row r="5" spans="1:8">
      <c r="A5" s="9">
        <v>9</v>
      </c>
      <c r="B5" s="15" t="s">
        <v>113</v>
      </c>
      <c r="C5" s="21" t="s">
        <v>32</v>
      </c>
      <c r="D5" s="30">
        <v>7.4634875545659849</v>
      </c>
      <c r="E5" s="58"/>
      <c r="F5" s="58"/>
      <c r="G5" s="19"/>
      <c r="H5" s="19"/>
    </row>
    <row r="6" spans="1:8">
      <c r="A6" s="9">
        <v>10</v>
      </c>
      <c r="B6" s="15" t="s">
        <v>114</v>
      </c>
      <c r="C6" s="21" t="s">
        <v>32</v>
      </c>
      <c r="D6" s="30">
        <v>8.5384090274286351</v>
      </c>
      <c r="E6" s="58"/>
      <c r="F6" s="58"/>
      <c r="G6" s="19"/>
      <c r="H6" s="19"/>
    </row>
    <row r="7" spans="1:8">
      <c r="A7" s="9">
        <v>11</v>
      </c>
      <c r="B7" s="15" t="s">
        <v>115</v>
      </c>
      <c r="C7" s="21" t="s">
        <v>32</v>
      </c>
      <c r="D7" s="30">
        <v>9.6229788838612365</v>
      </c>
      <c r="E7" s="58"/>
      <c r="F7" s="58"/>
      <c r="G7" s="19"/>
      <c r="H7" s="19"/>
    </row>
    <row r="8" spans="1:8">
      <c r="A8" s="9">
        <v>12</v>
      </c>
      <c r="B8" s="15" t="s">
        <v>116</v>
      </c>
      <c r="C8" s="21" t="s">
        <v>32</v>
      </c>
      <c r="D8" s="30">
        <v>7.2604333357274538</v>
      </c>
      <c r="E8" s="58"/>
      <c r="F8" s="58"/>
      <c r="G8" s="19"/>
      <c r="H8" s="19"/>
    </row>
    <row r="9" spans="1:8">
      <c r="A9" s="9">
        <v>15</v>
      </c>
      <c r="B9" s="23" t="s">
        <v>117</v>
      </c>
      <c r="C9" s="21" t="s">
        <v>32</v>
      </c>
      <c r="D9" s="30">
        <v>7.6549458130830681</v>
      </c>
      <c r="E9" s="58"/>
      <c r="F9" s="58"/>
      <c r="G9" s="19"/>
      <c r="H9" s="19"/>
    </row>
    <row r="10" spans="1:8">
      <c r="A10" s="9">
        <v>16</v>
      </c>
      <c r="B10" s="15" t="s">
        <v>118</v>
      </c>
      <c r="C10" s="21" t="s">
        <v>32</v>
      </c>
      <c r="D10" s="30">
        <v>8.1315675899989621</v>
      </c>
      <c r="E10" s="58"/>
      <c r="F10" s="58"/>
      <c r="G10" s="19"/>
      <c r="H10" s="19"/>
    </row>
    <row r="11" spans="1:8">
      <c r="A11" s="9">
        <v>18</v>
      </c>
      <c r="B11" s="15" t="s">
        <v>119</v>
      </c>
      <c r="C11" s="21" t="s">
        <v>32</v>
      </c>
      <c r="D11" s="30">
        <v>8.0464928136496763</v>
      </c>
      <c r="E11" s="58"/>
      <c r="F11" s="58"/>
      <c r="G11" s="19"/>
      <c r="H11" s="19"/>
    </row>
    <row r="12" spans="1:8">
      <c r="A12" s="9">
        <v>19</v>
      </c>
      <c r="B12" s="15" t="s">
        <v>120</v>
      </c>
      <c r="C12" s="21" t="s">
        <v>32</v>
      </c>
      <c r="D12" s="30">
        <v>7.502395676219205</v>
      </c>
      <c r="E12" s="58"/>
      <c r="F12" s="58"/>
      <c r="G12" s="19"/>
      <c r="H12" s="19"/>
    </row>
    <row r="13" spans="1:8">
      <c r="A13" s="9">
        <v>20</v>
      </c>
      <c r="B13" s="15" t="s">
        <v>121</v>
      </c>
      <c r="C13" s="21" t="s">
        <v>32</v>
      </c>
      <c r="D13" s="30">
        <v>9.2963225917147483</v>
      </c>
      <c r="E13" s="58"/>
      <c r="F13" s="58"/>
      <c r="G13" s="19"/>
      <c r="H13" s="19"/>
    </row>
    <row r="14" spans="1:8">
      <c r="A14" s="9">
        <v>22</v>
      </c>
      <c r="B14" s="15" t="s">
        <v>122</v>
      </c>
      <c r="C14" s="21" t="s">
        <v>32</v>
      </c>
      <c r="D14" s="30">
        <v>9.4301805166511041</v>
      </c>
      <c r="E14" s="58"/>
      <c r="F14" s="58"/>
      <c r="G14" s="19"/>
      <c r="H14" s="19"/>
    </row>
    <row r="15" spans="1:8">
      <c r="A15" s="9">
        <v>23</v>
      </c>
      <c r="B15" s="15" t="s">
        <v>123</v>
      </c>
      <c r="C15" s="21" t="s">
        <v>32</v>
      </c>
      <c r="D15" s="30">
        <v>8.2327520110608354</v>
      </c>
      <c r="E15" s="58"/>
      <c r="F15" s="58"/>
      <c r="G15" s="19"/>
      <c r="H15" s="19"/>
    </row>
    <row r="16" spans="1:8">
      <c r="A16" s="9">
        <v>28</v>
      </c>
      <c r="B16" s="9" t="s">
        <v>124</v>
      </c>
      <c r="C16" s="21" t="s">
        <v>32</v>
      </c>
      <c r="D16" s="30">
        <v>8.7778146472264122</v>
      </c>
      <c r="E16" s="58"/>
      <c r="F16" s="58"/>
    </row>
    <row r="17" spans="1:6">
      <c r="A17" s="9">
        <v>1</v>
      </c>
      <c r="B17" s="15" t="s">
        <v>125</v>
      </c>
      <c r="C17" s="21" t="s">
        <v>48</v>
      </c>
      <c r="D17" s="18">
        <v>9.6575477626948221</v>
      </c>
      <c r="E17" s="58">
        <f>AVERAGE(D17:D31)</f>
        <v>8.1641902800056396</v>
      </c>
      <c r="F17" s="58" t="s">
        <v>146</v>
      </c>
    </row>
    <row r="18" spans="1:6">
      <c r="A18" s="9">
        <v>4</v>
      </c>
      <c r="B18" s="15" t="s">
        <v>126</v>
      </c>
      <c r="C18" s="21" t="s">
        <v>48</v>
      </c>
      <c r="D18" s="18">
        <v>6.5640333216619977</v>
      </c>
      <c r="E18" s="58"/>
      <c r="F18" s="58"/>
    </row>
    <row r="19" spans="1:6">
      <c r="A19" s="9">
        <v>6</v>
      </c>
      <c r="B19" s="15" t="s">
        <v>127</v>
      </c>
      <c r="C19" s="21" t="s">
        <v>48</v>
      </c>
      <c r="D19" s="18">
        <v>8.9547963800904977</v>
      </c>
      <c r="E19" s="58"/>
      <c r="F19" s="58"/>
    </row>
    <row r="20" spans="1:6">
      <c r="A20" s="9">
        <v>7</v>
      </c>
      <c r="B20" s="15" t="s">
        <v>128</v>
      </c>
      <c r="C20" s="21" t="s">
        <v>48</v>
      </c>
      <c r="D20" s="18">
        <v>9.2817406848779385</v>
      </c>
      <c r="E20" s="58"/>
      <c r="F20" s="58"/>
    </row>
    <row r="21" spans="1:6">
      <c r="A21" s="9">
        <v>8</v>
      </c>
      <c r="B21" s="15" t="s">
        <v>129</v>
      </c>
      <c r="C21" s="21" t="s">
        <v>48</v>
      </c>
      <c r="D21" s="18">
        <v>9.1019133408349102</v>
      </c>
      <c r="E21" s="58"/>
      <c r="F21" s="58"/>
    </row>
    <row r="22" spans="1:6">
      <c r="A22" s="9">
        <v>13</v>
      </c>
      <c r="B22" s="15" t="s">
        <v>130</v>
      </c>
      <c r="C22" s="21" t="s">
        <v>48</v>
      </c>
      <c r="D22" s="18">
        <v>8.3542089827383936</v>
      </c>
      <c r="E22" s="58"/>
      <c r="F22" s="58"/>
    </row>
    <row r="23" spans="1:6">
      <c r="A23" s="9">
        <v>14</v>
      </c>
      <c r="B23" s="15" t="s">
        <v>131</v>
      </c>
      <c r="C23" s="21" t="s">
        <v>48</v>
      </c>
      <c r="D23" s="18">
        <v>8.0286587740509319</v>
      </c>
      <c r="E23" s="58"/>
      <c r="F23" s="58"/>
    </row>
    <row r="24" spans="1:6">
      <c r="A24" s="9">
        <v>17</v>
      </c>
      <c r="B24" s="15" t="s">
        <v>132</v>
      </c>
      <c r="C24" s="21" t="s">
        <v>48</v>
      </c>
      <c r="D24" s="18">
        <v>9.1901278659612</v>
      </c>
      <c r="E24" s="58"/>
      <c r="F24" s="58"/>
    </row>
    <row r="25" spans="1:6">
      <c r="A25" s="9">
        <v>21</v>
      </c>
      <c r="B25" s="15" t="s">
        <v>133</v>
      </c>
      <c r="C25" s="21" t="s">
        <v>48</v>
      </c>
      <c r="D25" s="18">
        <v>7.4190556792517572</v>
      </c>
      <c r="E25" s="58"/>
      <c r="F25" s="58"/>
    </row>
    <row r="26" spans="1:6">
      <c r="A26" s="9">
        <v>24</v>
      </c>
      <c r="B26" s="15" t="s">
        <v>134</v>
      </c>
      <c r="C26" s="21" t="s">
        <v>48</v>
      </c>
      <c r="D26" s="18">
        <v>8.416074201760475</v>
      </c>
      <c r="E26" s="58"/>
      <c r="F26" s="58"/>
    </row>
    <row r="27" spans="1:6">
      <c r="A27" s="9">
        <v>25</v>
      </c>
      <c r="B27" s="9" t="s">
        <v>135</v>
      </c>
      <c r="C27" s="21" t="s">
        <v>48</v>
      </c>
      <c r="D27" s="18">
        <v>6.1460950630252098</v>
      </c>
      <c r="E27" s="58"/>
      <c r="F27" s="58"/>
    </row>
    <row r="28" spans="1:6">
      <c r="A28" s="9">
        <v>26</v>
      </c>
      <c r="B28" s="9" t="s">
        <v>136</v>
      </c>
      <c r="C28" s="21" t="s">
        <v>48</v>
      </c>
      <c r="D28" s="18">
        <v>8.5276749902240088</v>
      </c>
      <c r="E28" s="58"/>
      <c r="F28" s="58"/>
    </row>
    <row r="29" spans="1:6">
      <c r="A29" s="9">
        <v>27</v>
      </c>
      <c r="B29" s="9" t="s">
        <v>137</v>
      </c>
      <c r="C29" s="21" t="s">
        <v>48</v>
      </c>
      <c r="D29" s="18">
        <v>6.0161142533936651</v>
      </c>
      <c r="E29" s="58"/>
      <c r="F29" s="58"/>
    </row>
    <row r="30" spans="1:6">
      <c r="A30" s="9">
        <v>29</v>
      </c>
      <c r="B30" s="9" t="s">
        <v>138</v>
      </c>
      <c r="C30" s="21" t="s">
        <v>48</v>
      </c>
      <c r="D30" s="18">
        <v>8.2491989274342217</v>
      </c>
      <c r="E30" s="58"/>
      <c r="F30" s="58"/>
    </row>
    <row r="31" spans="1:6">
      <c r="A31" s="9">
        <v>30</v>
      </c>
      <c r="B31" s="9" t="s">
        <v>139</v>
      </c>
      <c r="C31" s="21" t="s">
        <v>48</v>
      </c>
      <c r="D31" s="18">
        <v>8.5556139720845614</v>
      </c>
      <c r="E31" s="58"/>
      <c r="F31" s="58"/>
    </row>
  </sheetData>
  <protectedRanges>
    <protectedRange sqref="C2:C31" name="Range2"/>
  </protectedRanges>
  <autoFilter ref="A1:D1" xr:uid="{FD9A7B95-F124-4CE6-993C-88740F8340E7}">
    <sortState xmlns:xlrd2="http://schemas.microsoft.com/office/spreadsheetml/2017/richdata2" ref="A3:D31">
      <sortCondition ref="C1"/>
    </sortState>
  </autoFilter>
  <mergeCells count="4">
    <mergeCell ref="E2:E16"/>
    <mergeCell ref="E17:E31"/>
    <mergeCell ref="F2:F16"/>
    <mergeCell ref="F17:F31"/>
  </mergeCells>
  <dataValidations count="1">
    <dataValidation type="list" allowBlank="1" showInputMessage="1" showErrorMessage="1" sqref="C2:C31" xr:uid="{A2B2E1D7-02BF-4339-958F-DED659132F6B}">
      <formula1>"Gesang Jumadi, Gumilar Rudimaya"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3205-37CE-4181-B2D2-740139A19970}">
  <dimension ref="A2:O15"/>
  <sheetViews>
    <sheetView workbookViewId="0">
      <selection activeCell="M33" sqref="M33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7" t="s">
        <v>147</v>
      </c>
      <c r="B2" s="47" t="s">
        <v>148</v>
      </c>
      <c r="C2" s="48" t="s">
        <v>32</v>
      </c>
      <c r="D2" s="48"/>
      <c r="E2" s="48"/>
      <c r="F2" s="48" t="s">
        <v>48</v>
      </c>
      <c r="G2" s="48"/>
      <c r="H2" s="48"/>
    </row>
    <row r="3" spans="1:15">
      <c r="A3" s="47"/>
      <c r="B3" s="47"/>
      <c r="C3" s="32" t="s">
        <v>149</v>
      </c>
      <c r="D3" s="32" t="s">
        <v>150</v>
      </c>
      <c r="E3" s="32" t="s">
        <v>151</v>
      </c>
      <c r="F3" s="32" t="s">
        <v>149</v>
      </c>
      <c r="G3" s="32" t="s">
        <v>150</v>
      </c>
      <c r="H3" s="32" t="s">
        <v>151</v>
      </c>
    </row>
    <row r="4" spans="1:15">
      <c r="A4" s="33">
        <v>1</v>
      </c>
      <c r="B4" s="34" t="s">
        <v>152</v>
      </c>
      <c r="C4" s="35">
        <f>IFERROR(COUNTIFS(STR!$V:$V, Overview!C$2, STR!$X:$X, "TRUE")/COUNTIFS(STR!$V:$V, Overview!C2), 0)</f>
        <v>0.75</v>
      </c>
      <c r="D4" s="36">
        <v>0.15</v>
      </c>
      <c r="E4" s="35">
        <f>D4*C4</f>
        <v>0.11249999999999999</v>
      </c>
      <c r="F4" s="35">
        <f>IFERROR(COUNTIFS(STR!$V:$V, Overview!F$2, STR!$X:$X, "TRUE")/COUNTIFS(STR!$V:$V, Overview!F2), 0)</f>
        <v>0.52941176470588236</v>
      </c>
      <c r="G4" s="36">
        <v>0.15</v>
      </c>
      <c r="H4" s="37">
        <f>G4*F4</f>
        <v>7.9411764705882348E-2</v>
      </c>
    </row>
    <row r="5" spans="1:15">
      <c r="A5" s="33">
        <v>2</v>
      </c>
      <c r="B5" s="34" t="s">
        <v>153</v>
      </c>
      <c r="C5" s="35">
        <f>1-AVERAGEIF('Bad Data'!$C:$C, Overview!C$2, 'Bad Data'!$D:$D)</f>
        <v>0.99485533333333331</v>
      </c>
      <c r="D5" s="36">
        <v>0.1</v>
      </c>
      <c r="E5" s="35">
        <f t="shared" ref="E5:E14" si="0">D5*C5</f>
        <v>9.9485533333333334E-2</v>
      </c>
      <c r="F5" s="35">
        <f>1-AVERAGEIF('Bad Data'!$C:$C, Overview!F$2, 'Bad Data'!$D:$D)</f>
        <v>0.99464333333333332</v>
      </c>
      <c r="G5" s="36">
        <v>0.1</v>
      </c>
      <c r="H5" s="37">
        <f t="shared" ref="H5:H14" si="1">G5*F5</f>
        <v>9.9464333333333335E-2</v>
      </c>
    </row>
    <row r="6" spans="1:15">
      <c r="A6" s="33">
        <v>3</v>
      </c>
      <c r="B6" s="34" t="s">
        <v>154</v>
      </c>
      <c r="C6" s="35">
        <f>AVERAGEIF('Pengkinian Data'!$C:$C, Overview!C$2, 'Pengkinian Data'!$D:$D)</f>
        <v>0.90607999999999989</v>
      </c>
      <c r="D6" s="36">
        <v>0.1</v>
      </c>
      <c r="E6" s="35">
        <f t="shared" si="0"/>
        <v>9.0607999999999994E-2</v>
      </c>
      <c r="F6" s="35">
        <f>AVERAGEIF('Pengkinian Data'!$C:$C, Overview!F$2, 'Pengkinian Data'!$D:$D)</f>
        <v>0.90720666666666683</v>
      </c>
      <c r="G6" s="36">
        <v>0.1</v>
      </c>
      <c r="H6" s="37">
        <f t="shared" si="1"/>
        <v>9.0720666666666686E-2</v>
      </c>
      <c r="O6" t="s">
        <v>24</v>
      </c>
    </row>
    <row r="7" spans="1:15">
      <c r="A7" s="33">
        <v>4</v>
      </c>
      <c r="B7" s="34" t="s">
        <v>155</v>
      </c>
      <c r="C7" s="35" cm="1">
        <f t="array" ref="C7">IFERROR(SUMPRODUCT(--('[3]Uji Petik'!$E$3:$E$73&lt;&gt;""), --('[3]Uji Petik'!$C$3:$C$73=C2)) / SUMPRODUCT(--('[3]Uji Petik'!$C$3:$C$73=C2)), 0)</f>
        <v>0</v>
      </c>
      <c r="D7" s="36">
        <v>0</v>
      </c>
      <c r="E7" s="35">
        <f t="shared" si="0"/>
        <v>0</v>
      </c>
      <c r="F7" s="35" cm="1">
        <f t="array" ref="F7">IFERROR(SUMPRODUCT(--('[3]Uji Petik'!$E$3:$E$73&lt;&gt;""), --('[3]Uji Petik'!$C$3:$C$73=F2)) / SUMPRODUCT(--('[3]Uji Petik'!$C$3:$C$73=F2)), 0)</f>
        <v>0</v>
      </c>
      <c r="G7" s="36">
        <v>0</v>
      </c>
      <c r="H7" s="37">
        <f t="shared" si="1"/>
        <v>0</v>
      </c>
    </row>
    <row r="8" spans="1:15">
      <c r="A8" s="33">
        <v>5</v>
      </c>
      <c r="B8" s="34" t="s">
        <v>156</v>
      </c>
      <c r="C8" s="38" cm="1">
        <f t="array" ref="C8">IFERROR(AVERAGE(IF([1]Sosialisasi!$C$1:$C$10000=C2, [1]Sosialisasi!$D$1:$D$10000)), 0)</f>
        <v>0.33333333333333331</v>
      </c>
      <c r="D8" s="36">
        <v>0.15</v>
      </c>
      <c r="E8" s="35">
        <f t="shared" si="0"/>
        <v>4.9999999999999996E-2</v>
      </c>
      <c r="F8" s="38" cm="1">
        <f t="array" ref="F8">IFERROR(AVERAGE(IF([1]Sosialisasi!$C$1:$C$10000=F2, [1]Sosialisasi!$D$1:$D$10000)), 0)</f>
        <v>0.73333333333333328</v>
      </c>
      <c r="G8" s="36">
        <v>0.15</v>
      </c>
      <c r="H8" s="37">
        <f t="shared" si="1"/>
        <v>0.10999999999999999</v>
      </c>
    </row>
    <row r="9" spans="1:15">
      <c r="A9" s="33">
        <v>6</v>
      </c>
      <c r="B9" s="34" t="s">
        <v>157</v>
      </c>
      <c r="C9" s="35">
        <f>AVERAGEIF('EDD PEP PPATK'!$C:$C, Overview!C$2, 'EDD PEP PPATK'!$D:$D)</f>
        <v>0.96660419072215287</v>
      </c>
      <c r="D9" s="36">
        <v>0.1</v>
      </c>
      <c r="E9" s="35">
        <f t="shared" si="0"/>
        <v>9.6660419072215287E-2</v>
      </c>
      <c r="F9" s="35">
        <f>AVERAGEIF('EDD PEP PPATK'!$C:$C, Overview!F$2, 'EDD PEP PPATK'!$D:$D)</f>
        <v>0.96376318670436312</v>
      </c>
      <c r="G9" s="36">
        <v>0.1</v>
      </c>
      <c r="H9" s="37">
        <f t="shared" si="1"/>
        <v>9.637631867043632E-2</v>
      </c>
    </row>
    <row r="10" spans="1:15">
      <c r="A10" s="33">
        <v>7</v>
      </c>
      <c r="B10" s="34" t="s">
        <v>158</v>
      </c>
      <c r="C10" s="35" cm="1">
        <f t="array" ref="C10">IF(IFERROR(AVERAGE(IF('[1]Sheet2 (2)'!$C$1:$C$10000=C$2, '[1]Sheet2 (2)'!$D$1:$D$10000)), 0)&gt;0.9, 1, IFERROR(AVERAGE(IF('[1]Sheet2 (2)'!$C$1:$C$10000=C$2, '[1]Sheet2 (2)'!$D$1:$D$10000)), 0))</f>
        <v>0.78965705745556103</v>
      </c>
      <c r="D10" s="36">
        <v>0.05</v>
      </c>
      <c r="E10" s="35">
        <f t="shared" si="0"/>
        <v>3.9482852872778057E-2</v>
      </c>
      <c r="F10" s="35" cm="1">
        <f t="array" ref="F10">IF(IFERROR(AVERAGE(IF('[1]Sheet2 (2)'!$C$1:$C$10000=F$2, '[1]Sheet2 (2)'!$D$1:$D$10000)), 0)&gt;0.9, 1, IFERROR(AVERAGE(IF('[1]Sheet2 (2)'!$C$1:$C$10000=F$2, '[1]Sheet2 (2)'!$D$1:$D$10000)), 0))</f>
        <v>0.77252204374707523</v>
      </c>
      <c r="G10" s="36">
        <v>0.05</v>
      </c>
      <c r="H10" s="37">
        <f t="shared" si="1"/>
        <v>3.8626102187353767E-2</v>
      </c>
    </row>
    <row r="11" spans="1:15">
      <c r="A11" s="33">
        <v>8</v>
      </c>
      <c r="B11" s="34" t="s">
        <v>159</v>
      </c>
      <c r="C11" s="35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6">
        <v>0.05</v>
      </c>
      <c r="E11" s="35">
        <f t="shared" si="0"/>
        <v>0.05</v>
      </c>
      <c r="F11" s="35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36">
        <v>0.05</v>
      </c>
      <c r="H11" s="37">
        <f t="shared" si="1"/>
        <v>0.05</v>
      </c>
    </row>
    <row r="12" spans="1:15">
      <c r="A12" s="33">
        <v>9</v>
      </c>
      <c r="B12" s="34" t="s">
        <v>160</v>
      </c>
      <c r="C12" s="35">
        <f>IF(AVERAGEIF('Nilai Maturitas'!$C:$C, Overview!C2, 'Nilai Maturitas'!$D:$D) &gt; 8, 110%, AVERAGEIF('Nilai Maturitas'!$C:$C, Overview!C2, 'Nilai Maturitas'!$D:$D)/8*100%)</f>
        <v>1.1000000000000001</v>
      </c>
      <c r="D12" s="36">
        <v>0.1</v>
      </c>
      <c r="E12" s="35">
        <f t="shared" si="0"/>
        <v>0.11000000000000001</v>
      </c>
      <c r="F12" s="35">
        <f>IF(AVERAGEIF('Nilai Maturitas'!$C:$C, Overview!F2, 'Nilai Maturitas'!$D:$D) &gt; 8, 110%, AVERAGEIF('Nilai Maturitas'!$C:$C, Overview!F2, 'Nilai Maturitas'!$D:$D)/8*100%)</f>
        <v>1.1000000000000001</v>
      </c>
      <c r="G12" s="36">
        <v>0.1</v>
      </c>
      <c r="H12" s="37">
        <f t="shared" si="1"/>
        <v>0.11000000000000001</v>
      </c>
    </row>
    <row r="13" spans="1:15">
      <c r="A13" s="33">
        <v>10</v>
      </c>
      <c r="B13" s="34" t="s">
        <v>161</v>
      </c>
      <c r="C13" s="35">
        <f>IF(AVERAGEIF('Maturitas Dashboard'!$C:$C, Overview!C$2, 'Maturitas Dashboard'!$D:$D) &gt; 8, 110%, AVERAGEIF('Maturitas Dashboard'!$C:$C, Overview!C$2, 'Maturitas Dashboard'!$D:$D)/8*100%)</f>
        <v>0.78749999999999998</v>
      </c>
      <c r="D13" s="36">
        <v>0.1</v>
      </c>
      <c r="E13" s="35">
        <f t="shared" si="0"/>
        <v>7.8750000000000001E-2</v>
      </c>
      <c r="F13" s="35">
        <f>IF(AVERAGEIF('Maturitas Dashboard'!$C:$C, Overview!F$2, 'Maturitas Dashboard'!$D:$D) &gt; 8, 110%, AVERAGEIF('Maturitas Dashboard'!$C:$C, Overview!F$2, 'Maturitas Dashboard'!$D:$D)/8*100%)</f>
        <v>0.76875000000000004</v>
      </c>
      <c r="G13" s="36">
        <v>0.1</v>
      </c>
      <c r="H13" s="37">
        <f t="shared" si="1"/>
        <v>7.6875000000000013E-2</v>
      </c>
    </row>
    <row r="14" spans="1:15">
      <c r="A14" s="39">
        <v>11</v>
      </c>
      <c r="B14" s="40" t="s">
        <v>162</v>
      </c>
      <c r="C14" s="41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2">
        <v>0.1</v>
      </c>
      <c r="E14" s="41">
        <f t="shared" si="0"/>
        <v>0.11000000000000001</v>
      </c>
      <c r="F14" s="41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42">
        <v>0.1</v>
      </c>
      <c r="H14" s="43">
        <f t="shared" si="1"/>
        <v>0.11000000000000001</v>
      </c>
    </row>
    <row r="15" spans="1:15">
      <c r="A15" s="44"/>
      <c r="B15" s="44"/>
      <c r="C15" s="49" t="s">
        <v>163</v>
      </c>
      <c r="D15" s="50"/>
      <c r="E15" s="45">
        <f>SUM(E4:E14)</f>
        <v>0.83748680527832664</v>
      </c>
      <c r="F15" s="49" t="s">
        <v>163</v>
      </c>
      <c r="G15" s="50"/>
      <c r="H15" s="45">
        <f>SUM(H4:H14)</f>
        <v>0.8614741855636725</v>
      </c>
    </row>
  </sheetData>
  <mergeCells count="6"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8778-BA07-4542-A500-B02E5F711D1F}">
  <dimension ref="A2:O15"/>
  <sheetViews>
    <sheetView tabSelected="1" workbookViewId="0">
      <selection activeCell="F7" sqref="F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7" t="s">
        <v>147</v>
      </c>
      <c r="B2" s="47" t="s">
        <v>148</v>
      </c>
      <c r="C2" s="48" t="s">
        <v>32</v>
      </c>
      <c r="D2" s="48"/>
      <c r="E2" s="48"/>
      <c r="F2" s="48" t="s">
        <v>48</v>
      </c>
      <c r="G2" s="48"/>
      <c r="H2" s="48"/>
    </row>
    <row r="3" spans="1:15">
      <c r="A3" s="47"/>
      <c r="B3" s="47"/>
      <c r="C3" s="32" t="s">
        <v>149</v>
      </c>
      <c r="D3" s="32" t="s">
        <v>150</v>
      </c>
      <c r="E3" s="32" t="s">
        <v>151</v>
      </c>
      <c r="F3" s="32" t="s">
        <v>149</v>
      </c>
      <c r="G3" s="32" t="s">
        <v>150</v>
      </c>
      <c r="H3" s="32" t="s">
        <v>151</v>
      </c>
    </row>
    <row r="4" spans="1:15">
      <c r="A4" s="33">
        <v>1</v>
      </c>
      <c r="B4" s="34" t="s">
        <v>152</v>
      </c>
      <c r="C4" s="35">
        <f>IFERROR(COUNTIFS(STR!$V:$V, 'Overview tanpa KPI'!C$2, STR!$X:$X, "TRUE")/COUNTIFS(STR!$V:$V, 'Overview tanpa KPI'!C2), 0)</f>
        <v>0.75</v>
      </c>
      <c r="D4" s="36">
        <v>0.15</v>
      </c>
      <c r="E4" s="35">
        <f>D4*C4</f>
        <v>0.11249999999999999</v>
      </c>
      <c r="F4" s="35">
        <f>IFERROR(COUNTIFS(STR!$V:$V, 'Overview tanpa KPI'!F$2, STR!$X:$X, "TRUE")/COUNTIFS(STR!$V:$V, 'Overview tanpa KPI'!F2), 0)</f>
        <v>0.52941176470588236</v>
      </c>
      <c r="G4" s="36">
        <v>0.15</v>
      </c>
      <c r="H4" s="37">
        <f>G4*F4</f>
        <v>7.9411764705882348E-2</v>
      </c>
    </row>
    <row r="5" spans="1:15">
      <c r="A5" s="33">
        <v>2</v>
      </c>
      <c r="B5" s="34" t="s">
        <v>153</v>
      </c>
      <c r="C5" s="35">
        <f>1-AVERAGEIF('Bad Data'!$C:$C, 'Overview tanpa KPI'!C$2, 'Bad Data'!$D:$D)</f>
        <v>0.99485533333333331</v>
      </c>
      <c r="D5" s="36">
        <v>0.1</v>
      </c>
      <c r="E5" s="35">
        <f t="shared" ref="E5:E14" si="0">D5*C5</f>
        <v>9.9485533333333334E-2</v>
      </c>
      <c r="F5" s="35">
        <f>1-AVERAGEIF('Bad Data'!$C:$C, 'Overview tanpa KPI'!F$2, 'Bad Data'!$D:$D)</f>
        <v>0.99464333333333332</v>
      </c>
      <c r="G5" s="36">
        <v>0.1</v>
      </c>
      <c r="H5" s="37">
        <f t="shared" ref="H5:H14" si="1">G5*F5</f>
        <v>9.9464333333333335E-2</v>
      </c>
    </row>
    <row r="6" spans="1:15">
      <c r="A6" s="33">
        <v>3</v>
      </c>
      <c r="B6" s="34" t="s">
        <v>154</v>
      </c>
      <c r="C6" s="35">
        <f>AVERAGEIF('Pengkinian Data'!$C:$C, 'Overview tanpa KPI'!C$2, 'Pengkinian Data'!$D:$D)</f>
        <v>0.90607999999999989</v>
      </c>
      <c r="D6" s="36">
        <v>0.1</v>
      </c>
      <c r="E6" s="35">
        <f t="shared" si="0"/>
        <v>9.0607999999999994E-2</v>
      </c>
      <c r="F6" s="35">
        <f>AVERAGEIF('Pengkinian Data'!$C:$C, 'Overview tanpa KPI'!F$2, 'Pengkinian Data'!$D:$D)</f>
        <v>0.90720666666666683</v>
      </c>
      <c r="G6" s="36">
        <v>0.1</v>
      </c>
      <c r="H6" s="37">
        <f t="shared" si="1"/>
        <v>9.0720666666666686E-2</v>
      </c>
      <c r="O6" t="s">
        <v>24</v>
      </c>
    </row>
    <row r="7" spans="1:15">
      <c r="A7" s="33">
        <v>4</v>
      </c>
      <c r="B7" s="34" t="s">
        <v>155</v>
      </c>
      <c r="C7" s="35" cm="1">
        <f t="array" ref="C7">IFERROR(SUMPRODUCT(--('[3]Uji Petik'!$E$3:$E$73&lt;&gt;""), --('[3]Uji Petik'!$C$3:$C$73=C2)) / SUMPRODUCT(--('[3]Uji Petik'!$C$3:$C$73=C2)), 0)</f>
        <v>0</v>
      </c>
      <c r="D7" s="36">
        <v>0</v>
      </c>
      <c r="E7" s="35">
        <f t="shared" si="0"/>
        <v>0</v>
      </c>
      <c r="F7" s="35" cm="1">
        <f t="array" ref="F7">IFERROR(SUMPRODUCT(--('[3]Uji Petik'!$E$3:$E$73&lt;&gt;""), --('[3]Uji Petik'!$C$3:$C$73=F2)) / SUMPRODUCT(--('[3]Uji Petik'!$C$3:$C$73=F2)), 0)</f>
        <v>0</v>
      </c>
      <c r="G7" s="36">
        <v>0</v>
      </c>
      <c r="H7" s="37">
        <f t="shared" si="1"/>
        <v>0</v>
      </c>
    </row>
    <row r="8" spans="1:15">
      <c r="A8" s="33">
        <v>5</v>
      </c>
      <c r="B8" s="34" t="s">
        <v>156</v>
      </c>
      <c r="C8" s="38" cm="1">
        <f t="array" ref="C8">IFERROR(AVERAGE(IF([1]Sosialisasi!$C$1:$C$10000=C2, [1]Sosialisasi!$D$1:$D$10000)), 0)</f>
        <v>0.33333333333333331</v>
      </c>
      <c r="D8" s="36">
        <v>0.15</v>
      </c>
      <c r="E8" s="35">
        <f t="shared" si="0"/>
        <v>4.9999999999999996E-2</v>
      </c>
      <c r="F8" s="38" cm="1">
        <f t="array" ref="F8">IFERROR(AVERAGE(IF([1]Sosialisasi!$C$1:$C$10000=F2, [1]Sosialisasi!$D$1:$D$10000)), 0)</f>
        <v>0.73333333333333328</v>
      </c>
      <c r="G8" s="36">
        <v>0.15</v>
      </c>
      <c r="H8" s="37">
        <f t="shared" si="1"/>
        <v>0.10999999999999999</v>
      </c>
    </row>
    <row r="9" spans="1:15">
      <c r="A9" s="33">
        <v>6</v>
      </c>
      <c r="B9" s="34" t="s">
        <v>157</v>
      </c>
      <c r="C9" s="35">
        <f>AVERAGEIF('EDD PEP PPATK'!$C:$C, 'Overview tanpa KPI'!C$2, 'EDD PEP PPATK'!$D:$D)</f>
        <v>0.96660419072215287</v>
      </c>
      <c r="D9" s="36">
        <v>0.1</v>
      </c>
      <c r="E9" s="35">
        <f t="shared" si="0"/>
        <v>9.6660419072215287E-2</v>
      </c>
      <c r="F9" s="35">
        <f>AVERAGEIF('EDD PEP PPATK'!$C:$C, 'Overview tanpa KPI'!F$2, 'EDD PEP PPATK'!$D:$D)</f>
        <v>0.96376318670436312</v>
      </c>
      <c r="G9" s="36">
        <v>0.1</v>
      </c>
      <c r="H9" s="37">
        <f t="shared" si="1"/>
        <v>9.637631867043632E-2</v>
      </c>
    </row>
    <row r="10" spans="1:15">
      <c r="A10" s="33">
        <v>7</v>
      </c>
      <c r="B10" s="34" t="s">
        <v>158</v>
      </c>
      <c r="C10" s="35" cm="1">
        <f t="array" ref="C10">IFERROR(AVERAGE(IF('[1]Sheet2 (2)'!$C$1:$C$10000=C$2, '[1]Sheet2 (2)'!$D$1:$D$10000)), 0)</f>
        <v>0.78965705745556103</v>
      </c>
      <c r="D10" s="36">
        <v>0.05</v>
      </c>
      <c r="E10" s="35">
        <f t="shared" si="0"/>
        <v>3.9482852872778057E-2</v>
      </c>
      <c r="F10" s="35" cm="1">
        <f t="array" ref="F10">IFERROR(AVERAGE(IF('[1]Sheet2 (2)'!$C$1:$C$10000=F$2, '[1]Sheet2 (2)'!$D$1:$D$10000)), 0)</f>
        <v>0.77252204374707523</v>
      </c>
      <c r="G10" s="36">
        <v>0.05</v>
      </c>
      <c r="H10" s="37">
        <f t="shared" si="1"/>
        <v>3.8626102187353767E-2</v>
      </c>
    </row>
    <row r="11" spans="1:15">
      <c r="A11" s="33">
        <v>8</v>
      </c>
      <c r="B11" s="34" t="s">
        <v>159</v>
      </c>
      <c r="C11" s="35" cm="1">
        <f t="array" ref="C11">IFERROR(AVERAGE(IF('[1]Sheet2 (3)'!$C$1:$C$10000=C2, '[1]Sheet2 (3)'!$D$1:$D$10000)), 0)</f>
        <v>95.754478414666664</v>
      </c>
      <c r="D11" s="36">
        <v>0.05</v>
      </c>
      <c r="E11" s="35">
        <f t="shared" si="0"/>
        <v>4.7877239207333337</v>
      </c>
      <c r="F11" s="35" cm="1">
        <f t="array" ref="F11">IFERROR(AVERAGE(IF('[1]Sheet2 (3)'!$C$1:$C$10000=F2, '[1]Sheet2 (3)'!$D$1:$D$10000)), 0)</f>
        <v>95.119289924666646</v>
      </c>
      <c r="G11" s="36">
        <v>0.05</v>
      </c>
      <c r="H11" s="37">
        <f t="shared" si="1"/>
        <v>4.7559644962333323</v>
      </c>
    </row>
    <row r="12" spans="1:15">
      <c r="A12" s="33">
        <v>9</v>
      </c>
      <c r="B12" s="34" t="s">
        <v>160</v>
      </c>
      <c r="C12" s="35">
        <f>AVERAGEIF('Nilai Maturitas'!$C:$C, 'Overview tanpa KPI'!C2, 'Nilai Maturitas'!$D:$D)</f>
        <v>8.4522677111680391</v>
      </c>
      <c r="D12" s="36">
        <v>0.1</v>
      </c>
      <c r="E12" s="35">
        <f t="shared" si="0"/>
        <v>0.845226771116804</v>
      </c>
      <c r="F12" s="35">
        <f>AVERAGEIF('Nilai Maturitas'!$C:$C, 'Overview tanpa KPI'!F2, 'Nilai Maturitas'!$D:$D)</f>
        <v>8.1641902800056396</v>
      </c>
      <c r="G12" s="36">
        <v>0.1</v>
      </c>
      <c r="H12" s="37">
        <f t="shared" si="1"/>
        <v>0.81641902800056398</v>
      </c>
    </row>
    <row r="13" spans="1:15">
      <c r="A13" s="33">
        <v>10</v>
      </c>
      <c r="B13" s="34" t="s">
        <v>161</v>
      </c>
      <c r="C13" s="35">
        <f>AVERAGEIF('Maturitas Dashboard'!$C:$C, 'Overview tanpa KPI'!C$2, 'Maturitas Dashboard'!$D:$D)</f>
        <v>6.3</v>
      </c>
      <c r="D13" s="36">
        <v>0.1</v>
      </c>
      <c r="E13" s="35">
        <f t="shared" si="0"/>
        <v>0.63</v>
      </c>
      <c r="F13" s="35">
        <f>AVERAGEIF('Maturitas Dashboard'!$C:$C, 'Overview tanpa KPI'!F$2, 'Maturitas Dashboard'!$D:$D)</f>
        <v>6.15</v>
      </c>
      <c r="G13" s="36">
        <v>0.1</v>
      </c>
      <c r="H13" s="37">
        <f t="shared" si="1"/>
        <v>0.6150000000000001</v>
      </c>
    </row>
    <row r="14" spans="1:15">
      <c r="A14" s="39">
        <v>11</v>
      </c>
      <c r="B14" s="40" t="s">
        <v>162</v>
      </c>
      <c r="C14" s="41">
        <f>AVERAGEIF('Penilaian Resiko'!$C:$C, 'Overview tanpa KPI'!C$2, 'Penilaian Resiko'!$D:$D)</f>
        <v>5.5273710952782986</v>
      </c>
      <c r="D14" s="42">
        <v>0.1</v>
      </c>
      <c r="E14" s="41">
        <f t="shared" si="0"/>
        <v>0.55273710952782984</v>
      </c>
      <c r="F14" s="41">
        <f>AVERAGEIF('Penilaian Resiko'!$C:$C, 'Overview tanpa KPI'!F$2, 'Penilaian Resiko'!$D:$D)</f>
        <v>5.4935929411329134</v>
      </c>
      <c r="G14" s="42">
        <v>0.1</v>
      </c>
      <c r="H14" s="43">
        <f t="shared" si="1"/>
        <v>0.54935929411329132</v>
      </c>
    </row>
    <row r="15" spans="1:15">
      <c r="A15" s="44"/>
      <c r="B15" s="44"/>
      <c r="C15" s="49" t="s">
        <v>163</v>
      </c>
      <c r="D15" s="50"/>
      <c r="E15" s="45">
        <f>SUM(E4:E14)</f>
        <v>7.3044246066562941</v>
      </c>
      <c r="F15" s="49" t="s">
        <v>163</v>
      </c>
      <c r="G15" s="50"/>
      <c r="H15" s="45">
        <f>SUM(H4:H14)</f>
        <v>7.2513420039108603</v>
      </c>
    </row>
  </sheetData>
  <mergeCells count="6">
    <mergeCell ref="A2:A3"/>
    <mergeCell ref="B2:B3"/>
    <mergeCell ref="C2:E2"/>
    <mergeCell ref="F2:H2"/>
    <mergeCell ref="C15:D15"/>
    <mergeCell ref="F15:G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2026-09-29T02:41:39Z</dcterms:modified>
  <cp:category/>
  <cp:contentStatus/>
</cp:coreProperties>
</file>