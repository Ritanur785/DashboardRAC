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301" documentId="8_{CBB978E0-DA6C-437E-96CC-89A4C9D131CC}" xr6:coauthVersionLast="47" xr6:coauthVersionMax="47" xr10:uidLastSave="{8E499895-5F70-469E-801B-A87F8C72B280}"/>
  <bookViews>
    <workbookView xWindow="-108" yWindow="-108" windowWidth="23256" windowHeight="12456" firstSheet="9" activeTab="9" xr2:uid="{28B6D053-1D7F-4EEF-8978-633F77751EF4}"/>
  </bookViews>
  <sheets>
    <sheet name="STR" sheetId="5" r:id="rId1"/>
    <sheet name="EDD PEP PPATK" sheetId="1" r:id="rId2"/>
    <sheet name="Bad Data" sheetId="9" r:id="rId3"/>
    <sheet name="Pengkinian Data" sheetId="2" r:id="rId4"/>
    <sheet name="Sosialisasi" sheetId="3" state="hidden" r:id="rId5"/>
    <sheet name="Uji Petik" sheetId="4" r:id="rId6"/>
    <sheet name="Nilai Maturitas" sheetId="7" r:id="rId7"/>
    <sheet name="Penilaian Resiko" sheetId="6" r:id="rId8"/>
    <sheet name="Maturitas Dashboard" sheetId="8" r:id="rId9"/>
    <sheet name="Overview" sheetId="10" r:id="rId10"/>
    <sheet name="Overview tanpa KPI" sheetId="11" r:id="rId11"/>
  </sheets>
  <externalReferences>
    <externalReference r:id="rId12"/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7" i="10" l="1" a="1"/>
  <c r="C7" i="10"/>
  <c r="C7" i="11" a="1"/>
  <c r="C7" i="1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3" i="9"/>
  <c r="D3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2" i="5"/>
  <c r="C4" i="11"/>
  <c r="C5" i="11"/>
  <c r="C6" i="11"/>
  <c r="C9" i="11"/>
  <c r="C12" i="11"/>
  <c r="C13" i="11"/>
  <c r="C14" i="11"/>
  <c r="E14" i="11"/>
  <c r="E13" i="11"/>
  <c r="E12" i="11"/>
  <c r="C11" i="11" a="1"/>
  <c r="C11" i="11" s="1"/>
  <c r="E11" i="11" s="1"/>
  <c r="C10" i="11" a="1"/>
  <c r="C10" i="11" s="1"/>
  <c r="E10" i="11" s="1"/>
  <c r="E9" i="11"/>
  <c r="C8" i="11" a="1"/>
  <c r="C8" i="11" s="1"/>
  <c r="E8" i="11" s="1"/>
  <c r="E7" i="11"/>
  <c r="E6" i="11"/>
  <c r="E5" i="11"/>
  <c r="E4" i="11"/>
  <c r="E15" i="11" s="1"/>
  <c r="E3" i="1"/>
  <c r="C5" i="10"/>
  <c r="C6" i="10"/>
  <c r="C9" i="10"/>
  <c r="C12" i="10"/>
  <c r="C13" i="10"/>
  <c r="C14" i="10"/>
  <c r="C4" i="10"/>
  <c r="E14" i="10"/>
  <c r="E13" i="10"/>
  <c r="E12" i="10"/>
  <c r="C11" i="10" a="1"/>
  <c r="C11" i="10" s="1"/>
  <c r="E11" i="10" s="1"/>
  <c r="C10" i="10" a="1"/>
  <c r="C10" i="10" s="1"/>
  <c r="E10" i="10" s="1"/>
  <c r="E9" i="10"/>
  <c r="C8" i="10" a="1"/>
  <c r="C8" i="10" s="1"/>
  <c r="E8" i="10" s="1"/>
  <c r="E7" i="10"/>
  <c r="E6" i="10"/>
  <c r="E5" i="10"/>
  <c r="E4" i="10"/>
  <c r="E3" i="9"/>
  <c r="E2" i="8"/>
  <c r="E2" i="6"/>
  <c r="E2" i="7"/>
  <c r="A2" i="5" a="1"/>
  <c r="E15" i="10" l="1"/>
  <c r="E3" i="2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<sst xmlns="http://schemas.openxmlformats.org/spreadsheetml/2006/main" count="372" uniqueCount="128">
  <si>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</si>
  <si>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</si>
  <si>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</si>
  <si>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</si>
  <si>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</si>
  <si>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</si>
  <si>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</si>
  <si>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</si>
  <si>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</si>
  <si>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</si>
  <si>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</si>
  <si>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</si>
  <si>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</si>
  <si>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</si>
  <si>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</si>
  <si>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</si>
  <si>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</si>
  <si>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</si>
  <si>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</si>
  <si>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</si>
  <si>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</si>
  <si>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</si>
  <si>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</si>
  <si>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</si>
  <si>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Ferdi Setiawan</t>
  </si>
  <si>
    <t>15/9/2026</t>
  </si>
  <si>
    <t>.</t>
  </si>
  <si>
    <t>Dikerjakan Kanpus, oleh Frida Akbar Rani</t>
  </si>
  <si>
    <t>28/8/2026</t>
  </si>
  <si>
    <t>19/8/2026</t>
  </si>
  <si>
    <t>27/8/2026</t>
  </si>
  <si>
    <t>30/8/2026</t>
  </si>
  <si>
    <t>No.</t>
  </si>
  <si>
    <t>Unit Kerja</t>
  </si>
  <si>
    <t>PIC RAC</t>
  </si>
  <si>
    <t>%TL PEP Done</t>
  </si>
  <si>
    <t>Average RAC</t>
  </si>
  <si>
    <t>KC Arga Makmur</t>
  </si>
  <si>
    <t>KC Bandar jaya</t>
  </si>
  <si>
    <t>KC Bengkulu</t>
  </si>
  <si>
    <t>KC Curup</t>
  </si>
  <si>
    <t>KC Kalianda</t>
  </si>
  <si>
    <t>KC Kota Bumi</t>
  </si>
  <si>
    <t>KC Liwa</t>
  </si>
  <si>
    <t>KC Manna</t>
  </si>
  <si>
    <t>KC Metro</t>
  </si>
  <si>
    <t>KC Muko Muko</t>
  </si>
  <si>
    <t>KC Pringsewu</t>
  </si>
  <si>
    <t>KC Tanjung Karang</t>
  </si>
  <si>
    <t>KC Teluk Betung</t>
  </si>
  <si>
    <t>KC Tulang Bawang</t>
  </si>
  <si>
    <t>%Bad Data</t>
  </si>
  <si>
    <t>%Pengkinian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</si>
  <si>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</si>
  <si>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</si>
  <si>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</si>
  <si>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</si>
  <si>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</si>
  <si>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</si>
  <si>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</si>
  <si>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</si>
  <si>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</si>
  <si>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</si>
  <si>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</si>
  <si>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</si>
  <si>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</si>
  <si>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</si>
  <si>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</si>
  <si>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</si>
  <si>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</si>
  <si>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</si>
  <si>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</si>
  <si>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</si>
  <si>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</si>
  <si>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</si>
  <si>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</si>
  <si>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</si>
  <si>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</si>
  <si>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</si>
  <si>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</si>
  <si>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</si>
  <si>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</si>
  <si>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</si>
  <si>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</si>
  <si>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</si>
  <si>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</si>
  <si>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</si>
  <si>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</si>
  <si>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</si>
  <si>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</si>
  <si>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</si>
  <si>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</si>
  <si>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</si>
  <si>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BO Pringsewu</t>
  </si>
  <si>
    <t>Note: Baru ambil sampel dan qna, tp belum membuat laporan</t>
  </si>
  <si>
    <t>**https://bri2-my.sharepoint.com/:f:/g/personal/00136153_hq_bri_co_id/IgAru_JVUAH_SY44J0xwJJirAYNZRODW4xGG6_aVuZV02Q8?e=eoxPe3</t>
  </si>
  <si>
    <t>4.Kertas Kerja</t>
  </si>
  <si>
    <t>5. Laporan Uji Petik</t>
  </si>
  <si>
    <t>Nilai maturitas</t>
  </si>
  <si>
    <t>Rating maturitas</t>
  </si>
  <si>
    <t>B</t>
  </si>
  <si>
    <t>KC Bandarjaya</t>
  </si>
  <si>
    <t>KC Muko-Muko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</si>
  <si>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</si>
  <si>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</si>
  <si>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</si>
  <si>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</si>
  <si>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</si>
  <si>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</si>
  <si>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</si>
  <si>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Sangat 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</si>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</sst>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4" xfId="0" applyFont="1" applyFill="1" applyBorder="1"/>
    <xf numFmtId="0" fontId="6" fillId="5" borderId="5" xfId="0" applyFont="1" applyFill="1" applyBorder="1"/>
    <xf numFmtId="0" fontId="6" fillId="0" borderId="5" xfId="0" applyFont="1" applyBorder="1"/>
    <xf numFmtId="0" fontId="1" fillId="2" borderId="6" xfId="0" applyFont="1" applyFill="1" applyBorder="1" applyAlignment="1">
      <alignment horizontal="center"/>
    </xf>
    <xf numFmtId="0" fontId="8" fillId="0" borderId="3" xfId="0" applyFont="1" applyBorder="1"/>
    <xf numFmtId="164" fontId="7" fillId="0" borderId="3" xfId="0" applyNumberFormat="1" applyFont="1" applyBorder="1"/>
    <xf numFmtId="0" fontId="8" fillId="0" borderId="0" xfId="0" applyFont="1"/>
    <xf numFmtId="0" fontId="0" fillId="0" borderId="7" xfId="0" applyBorder="1"/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9" fillId="6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left" vertical="center"/>
    </xf>
    <xf numFmtId="164" fontId="9" fillId="0" borderId="3" xfId="0" applyNumberFormat="1" applyFont="1" applyBorder="1" applyAlignment="1">
      <alignment horizontal="center"/>
    </xf>
    <xf numFmtId="9" fontId="9" fillId="0" borderId="3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/>
    </xf>
    <xf numFmtId="9" fontId="9" fillId="0" borderId="11" xfId="0" applyNumberFormat="1" applyFont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10" fontId="10" fillId="7" borderId="3" xfId="0" applyNumberFormat="1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5%20-%20Bandar%20Lampung/Data%20Evaluasi%20Bandar%20Lampung.xlsx" TargetMode="External"/><Relationship Id="rId2" Type="http://schemas.openxmlformats.org/officeDocument/2006/relationships/externalLinkPath" Target="https://bri2-my.sharepoint.com/personal/00136153_hq_bri_co_id/Documents/Assurance%20Team/RAC%20Team/Moneva/Region%205%20-%20Bandar%20Lampung/Data%20Evaluasi%20Bandar%20Lampung.xlsx" TargetMode="External"/><Relationship Id="rId1" Type="http://schemas.openxmlformats.org/officeDocument/2006/relationships/externalLinkPath" Target="/personal/00136153_hq_bri_co_id/Documents/Assurance%20Team/RAC%20Team/Moneva/Region%205%20-%20Bandar%20Lampung/Data%20Evaluasi%20Bandar%20Lampu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VPPNHTWPFXR5DZQWPY37KMQQYU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1</v>
          </cell>
        </row>
        <row r="3">
          <cell r="X3" t="b">
            <v>1</v>
          </cell>
        </row>
        <row r="4">
          <cell r="X4" t="b">
            <v>1</v>
          </cell>
        </row>
        <row r="5">
          <cell r="X5" t="b">
            <v>1</v>
          </cell>
        </row>
        <row r="6">
          <cell r="X6" t="b">
            <v>1</v>
          </cell>
        </row>
        <row r="7">
          <cell r="X7" t="b">
            <v>1</v>
          </cell>
        </row>
        <row r="8">
          <cell r="X8" t="b">
            <v>1</v>
          </cell>
        </row>
        <row r="9">
          <cell r="X9" t="b">
            <v>1</v>
          </cell>
        </row>
        <row r="10">
          <cell r="X10" t="b">
            <v>1</v>
          </cell>
        </row>
        <row r="11">
          <cell r="X11" t="b">
            <v>1</v>
          </cell>
        </row>
        <row r="12">
          <cell r="X12" t="b">
            <v>0</v>
          </cell>
        </row>
        <row r="13">
          <cell r="X13" t="b">
            <v>1</v>
          </cell>
        </row>
        <row r="14">
          <cell r="X14" t="b">
            <v>1</v>
          </cell>
        </row>
        <row r="15">
          <cell r="X15" t="b">
            <v>1</v>
          </cell>
        </row>
        <row r="16">
          <cell r="X16" t="b">
            <v>1</v>
          </cell>
        </row>
        <row r="17">
          <cell r="X17" t="b">
            <v>1</v>
          </cell>
        </row>
        <row r="18">
          <cell r="X18" t="b">
            <v>1</v>
          </cell>
        </row>
        <row r="19">
          <cell r="X19" t="b">
            <v>1</v>
          </cell>
        </row>
        <row r="20">
          <cell r="X20" t="b">
            <v>1</v>
          </cell>
        </row>
        <row r="21">
          <cell r="X21" t="b">
            <v>1</v>
          </cell>
        </row>
        <row r="22">
          <cell r="X22" t="b">
            <v>1</v>
          </cell>
        </row>
        <row r="23">
          <cell r="X23" t="b">
            <v>1</v>
          </cell>
        </row>
        <row r="24">
          <cell r="X24" t="b">
            <v>1</v>
          </cell>
        </row>
        <row r="25">
          <cell r="X25" t="b">
            <v>1</v>
          </cell>
        </row>
        <row r="26">
          <cell r="X26" t="b">
            <v>1</v>
          </cell>
        </row>
        <row r="27">
          <cell r="X27" t="b">
            <v>1</v>
          </cell>
        </row>
        <row r="28">
          <cell r="X28" t="b">
            <v>1</v>
          </cell>
        </row>
        <row r="29">
          <cell r="X29" t="b">
            <v>1</v>
          </cell>
        </row>
        <row r="30">
          <cell r="X30" t="b">
            <v>1</v>
          </cell>
        </row>
        <row r="31">
          <cell r="X31" t="b">
            <v>1</v>
          </cell>
        </row>
        <row r="32">
          <cell r="X32" t="b">
            <v>1</v>
          </cell>
        </row>
        <row r="33">
          <cell r="X33" t="b">
            <v>1</v>
          </cell>
        </row>
        <row r="34">
          <cell r="X34" t="b">
            <v>1</v>
          </cell>
        </row>
        <row r="35">
          <cell r="X35" t="b">
            <v>1</v>
          </cell>
        </row>
        <row r="36">
          <cell r="X36" t="b">
            <v>1</v>
          </cell>
        </row>
      </sheetData>
      <sheetData sheetId="1"/>
      <sheetData sheetId="2"/>
      <sheetData sheetId="3"/>
      <sheetData sheetId="4">
        <row r="3">
          <cell r="C3" t="str">
            <v>Ferdi Setiawan</v>
          </cell>
          <cell r="E3"/>
        </row>
        <row r="4">
          <cell r="C4"/>
          <cell r="E4"/>
        </row>
        <row r="5">
          <cell r="C5"/>
          <cell r="E5"/>
        </row>
        <row r="6">
          <cell r="C6"/>
          <cell r="E6"/>
        </row>
        <row r="7">
          <cell r="C7"/>
          <cell r="E7"/>
        </row>
        <row r="8">
          <cell r="C8"/>
          <cell r="E8"/>
        </row>
        <row r="9">
          <cell r="C9"/>
          <cell r="E9"/>
        </row>
        <row r="10">
          <cell r="C10"/>
          <cell r="E10"/>
        </row>
        <row r="11">
          <cell r="C11"/>
          <cell r="E11"/>
        </row>
        <row r="12">
          <cell r="C12"/>
          <cell r="E12"/>
        </row>
        <row r="13">
          <cell r="C13"/>
          <cell r="E13"/>
        </row>
        <row r="14">
          <cell r="C14"/>
          <cell r="E14"/>
        </row>
        <row r="15">
          <cell r="C15"/>
          <cell r="E15"/>
        </row>
        <row r="16">
          <cell r="C16"/>
          <cell r="E16"/>
        </row>
        <row r="17">
          <cell r="C17"/>
          <cell r="E17"/>
        </row>
        <row r="18">
          <cell r="C18"/>
          <cell r="E18"/>
        </row>
        <row r="19">
          <cell r="C19"/>
          <cell r="E19"/>
        </row>
        <row r="20">
          <cell r="C20"/>
          <cell r="E20"/>
        </row>
        <row r="21">
          <cell r="C21"/>
          <cell r="E21"/>
        </row>
        <row r="22">
          <cell r="C22"/>
          <cell r="E22"/>
        </row>
        <row r="23">
          <cell r="C23"/>
          <cell r="E23"/>
        </row>
        <row r="24">
          <cell r="C24"/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 codeName="Sheet1">
    <tabColor theme="5"/>
  </sheetPr>
  <dimension ref="A1:Z36"/>
  <sheetViews>
    <sheetView topLeftCell="N1" workbookViewId="0">
      <selection activeCell="X2" sqref="X2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6.42578125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  <col min="23" max="23" width="10.140625" bestFit="1" customWidth="1"/>
  </cols>
  <sheetData>
    <row r="1" spans="1:2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>
      <c r="A2" s="8" cm="1">
        <f t="array" ref="A2:U36">_xlfn._xlws.FILTER('[3]STR-2026-8-2026-8'!$A:$U, ISNUMBER(SEARCH("Bandar Lampung", '[3]STR-2026-8-2026-8'!$O:$O)), "")</f>
        <v>46265</v>
      </c>
      <c r="B2" s="9" t="str">
        <v xml:space="preserve">ANGGA BAGUS WIDYA SAPUTRA               </v>
      </c>
      <c r="C2" s="9" t="str">
        <v>AEAT812</v>
      </c>
      <c r="D2" s="9">
        <v>66001000708561</v>
      </c>
      <c r="E2" s="9" t="str">
        <v>RENDAH</v>
      </c>
      <c r="F2" s="9" t="str">
        <v>Tidak</v>
      </c>
      <c r="G2" s="9" t="str">
        <v>Tidak</v>
      </c>
      <c r="H2" s="9" t="str">
        <v>Tidak</v>
      </c>
      <c r="I2" s="9" t="str">
        <v>Narkotika - Area Lapas</v>
      </c>
      <c r="J2" s="9">
        <v>43</v>
      </c>
      <c r="K2" s="9">
        <v>47</v>
      </c>
      <c r="L2" s="9" t="str">
        <v>Narkotika</v>
      </c>
      <c r="M2" s="9" t="str">
        <v>KCP PASAR NATAR TJ KARANG</v>
      </c>
      <c r="N2" s="9" t="str">
        <v>KC Tanjung Karang</v>
      </c>
      <c r="O2" s="9" t="str">
        <v>KANWIL BANDAR LAMPUNG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00394520 - Frida Akbar Rani</v>
      </c>
      <c r="U2" s="9" t="str">
        <v>"-"</v>
      </c>
      <c r="V2" s="12" t="s">
        <v>24</v>
      </c>
      <c r="W2" s="13"/>
      <c r="X2" s="14" t="b">
        <f>[1]STR!$X2</f>
        <v>1</v>
      </c>
    </row>
    <row r="3" spans="1:26">
      <c r="A3" s="8">
        <v>46265</v>
      </c>
      <c r="B3" s="9" t="str">
        <v xml:space="preserve">AMIN RAIS                               </v>
      </c>
      <c r="C3" s="9" t="str">
        <v>AEWAM37</v>
      </c>
      <c r="D3" s="9">
        <v>561701002148503</v>
      </c>
      <c r="E3" s="9">
        <v>0</v>
      </c>
      <c r="F3" s="9" t="str">
        <v>Tidak</v>
      </c>
      <c r="G3" s="9" t="str">
        <v>Tidak</v>
      </c>
      <c r="H3" s="9">
        <v>0</v>
      </c>
      <c r="I3" s="9" t="str">
        <v>Jual Beli Rekening - E channel Trx</v>
      </c>
      <c r="J3" s="9">
        <v>33</v>
      </c>
      <c r="K3" s="9">
        <v>113</v>
      </c>
      <c r="L3" s="9" t="str">
        <v>Narkotika/Judi Online/Penipuan</v>
      </c>
      <c r="M3" s="9" t="str">
        <v xml:space="preserve">UNIT PADANG JATI BENGKULU               </v>
      </c>
      <c r="N3" s="9" t="str">
        <v xml:space="preserve">KC Bengkulu                             </v>
      </c>
      <c r="O3" s="9" t="str">
        <v xml:space="preserve">KANWIL BANDAR LAMPUNG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>
        <v>0</v>
      </c>
      <c r="U3" s="9" t="str">
        <v>"-"</v>
      </c>
      <c r="V3" s="12" t="s">
        <v>24</v>
      </c>
      <c r="W3" s="12" t="s">
        <v>25</v>
      </c>
      <c r="X3" s="14" t="b">
        <f>[1]STR!$X3</f>
        <v>1</v>
      </c>
    </row>
    <row r="4" spans="1:26">
      <c r="A4" s="8">
        <v>46265</v>
      </c>
      <c r="B4" s="9" t="str">
        <v xml:space="preserve">FREDI                                   </v>
      </c>
      <c r="C4" s="9" t="str">
        <v>FQI0159</v>
      </c>
      <c r="D4" s="9">
        <v>188301007792504</v>
      </c>
      <c r="E4" s="9">
        <v>0</v>
      </c>
      <c r="F4" s="9" t="str">
        <v>Tidak</v>
      </c>
      <c r="G4" s="9" t="str">
        <v>Tidak</v>
      </c>
      <c r="H4" s="9">
        <v>0</v>
      </c>
      <c r="I4" s="9" t="str">
        <v>Jual Beli Rekening - E channel Trx</v>
      </c>
      <c r="J4" s="9">
        <v>33</v>
      </c>
      <c r="K4" s="9">
        <v>113</v>
      </c>
      <c r="L4" s="9" t="str">
        <v>Narkotika/Judi Online/Penipuan</v>
      </c>
      <c r="M4" s="9" t="str">
        <v xml:space="preserve">KK RSUD MENGGALA                        </v>
      </c>
      <c r="N4" s="9" t="str">
        <v xml:space="preserve">KC Tulang Bawang                        </v>
      </c>
      <c r="O4" s="9" t="str">
        <v xml:space="preserve">KANWIL BANDAR LAMPUNG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>
        <v>0</v>
      </c>
      <c r="U4" s="9" t="str">
        <v>"-"</v>
      </c>
      <c r="V4" s="12" t="s">
        <v>24</v>
      </c>
      <c r="W4" s="12"/>
      <c r="X4" s="14" t="b">
        <f>[1]STR!$X4</f>
        <v>1</v>
      </c>
    </row>
    <row r="5" spans="1:26">
      <c r="A5" s="8">
        <v>46265</v>
      </c>
      <c r="B5" s="9" t="str">
        <v xml:space="preserve">FEBRIAN EKA PUTRA                       </v>
      </c>
      <c r="C5" s="9" t="str">
        <v>FRE4399</v>
      </c>
      <c r="D5" s="9">
        <v>13001127901504</v>
      </c>
      <c r="E5" s="9">
        <v>0</v>
      </c>
      <c r="F5" s="9" t="str">
        <v>Tidak</v>
      </c>
      <c r="G5" s="9" t="str">
        <v>Tidak</v>
      </c>
      <c r="H5" s="9">
        <v>0</v>
      </c>
      <c r="I5" s="9" t="str">
        <v>Jual Beli Rekening - E channel Trx</v>
      </c>
      <c r="J5" s="9">
        <v>33</v>
      </c>
      <c r="K5" s="9">
        <v>113</v>
      </c>
      <c r="L5" s="9" t="str">
        <v>Narkotika/Judi Online/Penipuan</v>
      </c>
      <c r="M5" s="9" t="str">
        <v xml:space="preserve">KC Metro                                </v>
      </c>
      <c r="N5" s="9" t="str">
        <v xml:space="preserve">KC Metro                                </v>
      </c>
      <c r="O5" s="9" t="str">
        <v xml:space="preserve">KANWIL BANDAR LAMPUNG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>
        <v>0</v>
      </c>
      <c r="U5" s="9" t="str">
        <v>"-"</v>
      </c>
      <c r="V5" s="12" t="s">
        <v>24</v>
      </c>
      <c r="W5" s="13">
        <v>39030</v>
      </c>
      <c r="X5" s="14" t="b">
        <f>[1]STR!$X5</f>
        <v>1</v>
      </c>
      <c r="Z5" t="s">
        <v>26</v>
      </c>
    </row>
    <row r="6" spans="1:26">
      <c r="A6" s="8">
        <v>46265</v>
      </c>
      <c r="B6" s="9" t="str">
        <v xml:space="preserve">MARIYAH MAYA SARI                       </v>
      </c>
      <c r="C6" s="9" t="str">
        <v>MEX7747</v>
      </c>
      <c r="D6" s="9">
        <v>31801048271505</v>
      </c>
      <c r="E6" s="9" t="str">
        <v>SEDANG</v>
      </c>
      <c r="F6" s="9" t="str">
        <v>Tidak</v>
      </c>
      <c r="G6" s="9" t="str">
        <v>Tidak</v>
      </c>
      <c r="H6" s="9" t="str">
        <v>Tidak</v>
      </c>
      <c r="I6" s="9" t="str">
        <v>Perpajakan</v>
      </c>
      <c r="J6" s="9">
        <v>48</v>
      </c>
      <c r="K6" s="9">
        <v>1.33</v>
      </c>
      <c r="L6" s="9" t="str">
        <v>Perpajakan</v>
      </c>
      <c r="M6" s="9" t="str">
        <v xml:space="preserve">KC Arga Makmur                          </v>
      </c>
      <c r="N6" s="9" t="str">
        <v xml:space="preserve">KC Arga Makmur                          </v>
      </c>
      <c r="O6" s="9" t="str">
        <v xml:space="preserve">KANWIL BANDAR LAMPUNG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90186796 - Devito Arya Wiradila</v>
      </c>
      <c r="U6" s="9" t="str">
        <v>"-"</v>
      </c>
      <c r="V6" s="12" t="s">
        <v>24</v>
      </c>
      <c r="W6" s="12"/>
      <c r="X6" s="14" t="b">
        <f>[1]STR!$X6</f>
        <v>1</v>
      </c>
    </row>
    <row r="7" spans="1:26">
      <c r="A7" s="8">
        <v>46265</v>
      </c>
      <c r="B7" s="9" t="str">
        <v xml:space="preserve">NOVI SUSIANA                            </v>
      </c>
      <c r="C7" s="9" t="str">
        <v>NAX2706</v>
      </c>
      <c r="D7" s="9">
        <v>15501002910569</v>
      </c>
      <c r="E7" s="9" t="str">
        <v>SEDANG</v>
      </c>
      <c r="F7" s="9" t="str">
        <v>Tidak</v>
      </c>
      <c r="G7" s="9" t="str">
        <v>Tidak</v>
      </c>
      <c r="H7" s="9">
        <v>0</v>
      </c>
      <c r="I7" s="9" t="str">
        <v>Jual Beli Rekening - E channel Trx</v>
      </c>
      <c r="J7" s="9">
        <v>48</v>
      </c>
      <c r="K7" s="9">
        <v>113</v>
      </c>
      <c r="L7" s="9" t="str">
        <v>Narkotika/Judi Online/Penipuan</v>
      </c>
      <c r="M7" s="9" t="str">
        <v xml:space="preserve">KC Kota Bumi                            </v>
      </c>
      <c r="N7" s="9" t="str">
        <v xml:space="preserve">KC Kota Bumi                            </v>
      </c>
      <c r="O7" s="9" t="str">
        <v xml:space="preserve">KANWIL BANDAR LAMPUNG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>
        <v>0</v>
      </c>
      <c r="U7" s="9" t="str">
        <v>"-"</v>
      </c>
      <c r="V7" s="12" t="s">
        <v>24</v>
      </c>
      <c r="W7" s="12"/>
      <c r="X7" s="14" t="b">
        <f>[1]STR!$X7</f>
        <v>1</v>
      </c>
    </row>
    <row r="8" spans="1:26">
      <c r="A8" s="8">
        <v>46265</v>
      </c>
      <c r="B8" s="9" t="str">
        <v xml:space="preserve">PT SURYA BUMI PERMAI                    </v>
      </c>
      <c r="C8" s="9" t="str">
        <v>PDH2776</v>
      </c>
      <c r="D8" s="9">
        <v>9801003617306</v>
      </c>
      <c r="E8" s="9" t="str">
        <v>SEDANG</v>
      </c>
      <c r="F8" s="9" t="str">
        <v>Tidak</v>
      </c>
      <c r="G8" s="9" t="str">
        <v>Tidak</v>
      </c>
      <c r="H8" s="9" t="str">
        <v>Tidak</v>
      </c>
      <c r="I8" s="9" t="str">
        <v>Perpajakan</v>
      </c>
      <c r="J8" s="9">
        <v>49</v>
      </c>
      <c r="K8" s="9">
        <v>1.33</v>
      </c>
      <c r="L8" s="9" t="str">
        <v>Perpajakan</v>
      </c>
      <c r="M8" s="9" t="str">
        <v xml:space="preserve">KC Tanjung Karang                       </v>
      </c>
      <c r="N8" s="9" t="str">
        <v xml:space="preserve">KC Tanjung Karang                       </v>
      </c>
      <c r="O8" s="9" t="str">
        <v xml:space="preserve">KANWIL BANDAR LAMPUNG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90185538 - Muhammad Fahikal Auz</v>
      </c>
      <c r="U8" s="9" t="str">
        <v>"-"</v>
      </c>
      <c r="V8" s="12" t="s">
        <v>24</v>
      </c>
      <c r="W8" s="13">
        <v>46304</v>
      </c>
      <c r="X8" s="14" t="b">
        <f>[1]STR!$X8</f>
        <v>1</v>
      </c>
    </row>
    <row r="9" spans="1:26">
      <c r="A9" s="8">
        <v>46265</v>
      </c>
      <c r="B9" s="9" t="str">
        <v xml:space="preserve">PT CAHYA BAGUS MANDIRI                  </v>
      </c>
      <c r="C9" s="9" t="str">
        <v>PEL1801</v>
      </c>
      <c r="D9" s="9">
        <v>9801005859302</v>
      </c>
      <c r="E9" s="9" t="str">
        <v>SEDANG</v>
      </c>
      <c r="F9" s="9" t="str">
        <v>Tidak</v>
      </c>
      <c r="G9" s="9" t="str">
        <v>Tidak</v>
      </c>
      <c r="H9" s="9" t="str">
        <v>Tidak</v>
      </c>
      <c r="I9" s="9" t="str">
        <v>Green Financial Crime (GFC)</v>
      </c>
      <c r="J9" s="9">
        <v>50</v>
      </c>
      <c r="K9" s="9">
        <v>45</v>
      </c>
      <c r="L9" s="9" t="str">
        <v>Green Financial Crime</v>
      </c>
      <c r="M9" s="9" t="str">
        <v xml:space="preserve">KC Tanjung Karang                       </v>
      </c>
      <c r="N9" s="9" t="str">
        <v xml:space="preserve">KC Tanjung Karang                       </v>
      </c>
      <c r="O9" s="9" t="str">
        <v xml:space="preserve">KANWIL BANDAR LAMPUNG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 t="str">
        <v>00336949 - Mochammad Al Farabi</v>
      </c>
      <c r="U9" s="9" t="str">
        <v>PEP :M ALFAYYAD RYANDIKA</v>
      </c>
      <c r="V9" s="12" t="s">
        <v>24</v>
      </c>
      <c r="W9" s="12"/>
      <c r="X9" s="14" t="b">
        <f>[1]STR!$X9</f>
        <v>1</v>
      </c>
    </row>
    <row r="10" spans="1:26">
      <c r="A10" s="8">
        <v>46265</v>
      </c>
      <c r="B10" s="9" t="str">
        <v xml:space="preserve">PT BETA INDOKARYA GEMILANG              </v>
      </c>
      <c r="C10" s="9" t="str">
        <v>PMZ1228</v>
      </c>
      <c r="D10" s="9">
        <v>28501655665560</v>
      </c>
      <c r="E10" s="9">
        <v>0</v>
      </c>
      <c r="F10" s="9" t="str">
        <v>Tidak</v>
      </c>
      <c r="G10" s="9" t="str">
        <v>Tidak</v>
      </c>
      <c r="H10" s="9" t="str">
        <v>Tidak</v>
      </c>
      <c r="I10" s="9" t="str">
        <v>Perpajakan</v>
      </c>
      <c r="J10" s="9">
        <v>34</v>
      </c>
      <c r="K10" s="9">
        <v>41</v>
      </c>
      <c r="L10" s="9" t="str">
        <v>Perpajakan</v>
      </c>
      <c r="M10" s="9" t="str">
        <v xml:space="preserve">KC Teluk Betung                         </v>
      </c>
      <c r="N10" s="9" t="str">
        <v xml:space="preserve">KC Teluk Betung                         </v>
      </c>
      <c r="O10" s="9" t="str">
        <v xml:space="preserve">KANWIL BANDAR LAMPUNG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 t="str">
        <v>90185538 - Muhammad Fahikal Auz</v>
      </c>
      <c r="U10" s="9" t="str">
        <v>"-"</v>
      </c>
      <c r="V10" s="12" t="s">
        <v>24</v>
      </c>
      <c r="W10" s="12"/>
      <c r="X10" s="14" t="b">
        <f>[1]STR!$X10</f>
        <v>1</v>
      </c>
    </row>
    <row r="11" spans="1:26">
      <c r="A11" s="8">
        <v>46265</v>
      </c>
      <c r="B11" s="9" t="str">
        <v xml:space="preserve">ROSDIANA PALUPI RAHMAWATI               </v>
      </c>
      <c r="C11" s="9" t="str">
        <v>RNV6371</v>
      </c>
      <c r="D11" s="9">
        <v>66001000736564</v>
      </c>
      <c r="E11" s="9" t="str">
        <v>RENDAH</v>
      </c>
      <c r="F11" s="9" t="str">
        <v>Tidak</v>
      </c>
      <c r="G11" s="9" t="str">
        <v>Tidak</v>
      </c>
      <c r="H11" s="9" t="str">
        <v>Tidak</v>
      </c>
      <c r="I11" s="9" t="str">
        <v>Narkotika - Area Lapas</v>
      </c>
      <c r="J11" s="9">
        <v>33</v>
      </c>
      <c r="K11" s="9">
        <v>47</v>
      </c>
      <c r="L11" s="9" t="str">
        <v>Narkotika</v>
      </c>
      <c r="M11" s="9" t="str">
        <v>KCP PASAR NATAR TJ KARANG</v>
      </c>
      <c r="N11" s="9" t="str">
        <v>KC Tanjung Karang</v>
      </c>
      <c r="O11" s="9" t="str">
        <v>KANWIL BANDAR LAMPUNG</v>
      </c>
      <c r="P11" s="9">
        <v>0</v>
      </c>
      <c r="Q11" s="9">
        <v>0</v>
      </c>
      <c r="R11" s="9" t="str">
        <v>Belum TL</v>
      </c>
      <c r="S11" s="9" t="str">
        <v>Belum TL</v>
      </c>
      <c r="T11" s="9" t="str">
        <v>90150130 - Intan Aida Pratiwi</v>
      </c>
      <c r="U11" s="9" t="str">
        <v>"-"</v>
      </c>
      <c r="V11" s="12" t="s">
        <v>24</v>
      </c>
      <c r="W11" s="12"/>
      <c r="X11" s="14" t="b">
        <f>[1]STR!$X11</f>
        <v>1</v>
      </c>
    </row>
    <row r="12" spans="1:26">
      <c r="A12" s="8">
        <v>46265</v>
      </c>
      <c r="B12" s="9" t="str">
        <v xml:space="preserve">SITI JUNAINI                            </v>
      </c>
      <c r="C12" s="9" t="str">
        <v>SGFHI11</v>
      </c>
      <c r="D12" s="9">
        <v>9801214085504</v>
      </c>
      <c r="E12" s="9">
        <v>0</v>
      </c>
      <c r="F12" s="9" t="str">
        <v>Tidak</v>
      </c>
      <c r="G12" s="9" t="str">
        <v>Tidak</v>
      </c>
      <c r="H12" s="9">
        <v>0</v>
      </c>
      <c r="I12" s="9" t="str">
        <v>Jual Beli Rekening - E channel Trx</v>
      </c>
      <c r="J12" s="9">
        <v>33</v>
      </c>
      <c r="K12" s="9">
        <v>113</v>
      </c>
      <c r="L12" s="9" t="str">
        <v>Narkotika/Judi Online/Penipuan</v>
      </c>
      <c r="M12" s="9" t="str">
        <v xml:space="preserve">KC Tanjung Karang                       </v>
      </c>
      <c r="N12" s="9" t="str">
        <v xml:space="preserve">KC Tanjung Karang                       </v>
      </c>
      <c r="O12" s="9" t="str">
        <v xml:space="preserve">KANWIL BANDAR LAMPUNG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>
        <v>0</v>
      </c>
      <c r="U12" s="9" t="str">
        <v>"-"</v>
      </c>
      <c r="V12" s="12" t="s">
        <v>24</v>
      </c>
      <c r="W12" s="12"/>
      <c r="X12" s="14" t="b">
        <f>[1]STR!$X12</f>
        <v>0</v>
      </c>
    </row>
    <row r="13" spans="1:26">
      <c r="A13" s="8">
        <v>46265</v>
      </c>
      <c r="B13" s="9" t="str">
        <v xml:space="preserve">PERANTARA IA AGING - DEBET              </v>
      </c>
      <c r="C13" s="9" t="str">
        <v>Z001331</v>
      </c>
      <c r="D13" s="9">
        <v>816301000001991</v>
      </c>
      <c r="E13" s="9" t="str">
        <v>SEDANG</v>
      </c>
      <c r="F13" s="9" t="str">
        <v>Tidak</v>
      </c>
      <c r="G13" s="9" t="str">
        <v>Tidak</v>
      </c>
      <c r="H13" s="9" t="str">
        <v>Tidak</v>
      </c>
      <c r="I13" s="9" t="str">
        <v>Narkotika/Psikotropika- Remark</v>
      </c>
      <c r="J13" s="9">
        <v>48</v>
      </c>
      <c r="K13" s="9">
        <v>9</v>
      </c>
      <c r="L13" s="9" t="str">
        <v>Narkotika/Psikotropika</v>
      </c>
      <c r="M13" s="9" t="str">
        <v xml:space="preserve">UNIT TUBEI CURUP                        </v>
      </c>
      <c r="N13" s="9" t="str">
        <v xml:space="preserve">KC Curup                                </v>
      </c>
      <c r="O13" s="9" t="str">
        <v xml:space="preserve">KANWIL BANDAR LAMPUNG                   </v>
      </c>
      <c r="P13" s="9">
        <v>0</v>
      </c>
      <c r="Q13" s="9" t="str">
        <v>Tidak</v>
      </c>
      <c r="R13" s="9" t="str">
        <v>Belum TL</v>
      </c>
      <c r="S13" s="9" t="str">
        <v>Pending Checker</v>
      </c>
      <c r="T13" s="9" t="str">
        <v>90150130 - Intan Aida Pratiwi</v>
      </c>
      <c r="U13" s="9" t="str">
        <v>"-"</v>
      </c>
      <c r="V13" s="12" t="s">
        <v>24</v>
      </c>
      <c r="W13" s="13">
        <v>46243</v>
      </c>
      <c r="X13" s="14" t="b">
        <f>[1]STR!$X13</f>
        <v>1</v>
      </c>
    </row>
    <row r="14" spans="1:26">
      <c r="A14" s="8">
        <v>46265</v>
      </c>
      <c r="B14" s="9" t="str">
        <v xml:space="preserve">PERANTARA IA AGING - DEBET              </v>
      </c>
      <c r="C14" s="9" t="str">
        <v>Z001331</v>
      </c>
      <c r="D14" s="9">
        <v>558401000050991</v>
      </c>
      <c r="E14" s="9" t="str">
        <v>SEDANG</v>
      </c>
      <c r="F14" s="9" t="str">
        <v>Tidak</v>
      </c>
      <c r="G14" s="9" t="str">
        <v>Tidak</v>
      </c>
      <c r="H14" s="9" t="str">
        <v>Tidak</v>
      </c>
      <c r="I14" s="9" t="str">
        <v>Narkotika/Psikotropika- Remark</v>
      </c>
      <c r="J14" s="9">
        <v>48</v>
      </c>
      <c r="K14" s="9">
        <v>9</v>
      </c>
      <c r="L14" s="9" t="str">
        <v>Narkotika/Psikotropika</v>
      </c>
      <c r="M14" s="9" t="str">
        <v xml:space="preserve">UNIT KERKAP ARGAMAKMUR                  </v>
      </c>
      <c r="N14" s="9" t="str">
        <v xml:space="preserve">KC Arga Makmur                          </v>
      </c>
      <c r="O14" s="9" t="str">
        <v xml:space="preserve">KANWIL BANDAR LAMPUNG                   </v>
      </c>
      <c r="P14" s="9">
        <v>0</v>
      </c>
      <c r="Q14" s="9" t="str">
        <v>Tidak</v>
      </c>
      <c r="R14" s="9" t="str">
        <v>Belum TL</v>
      </c>
      <c r="S14" s="9" t="str">
        <v>Pending Checker</v>
      </c>
      <c r="T14" s="9" t="str">
        <v>90186790 - Muhammad Alfin Farha</v>
      </c>
      <c r="U14" s="9" t="str">
        <v>"-"</v>
      </c>
      <c r="V14" s="12" t="s">
        <v>24</v>
      </c>
      <c r="W14" s="13">
        <v>46243</v>
      </c>
      <c r="X14" s="14" t="b">
        <f>[1]STR!$X14</f>
        <v>1</v>
      </c>
    </row>
    <row r="15" spans="1:26">
      <c r="A15" s="8">
        <v>46265</v>
      </c>
      <c r="B15" s="9" t="str">
        <v xml:space="preserve">PERANTARA IA AGING - DEBET              </v>
      </c>
      <c r="C15" s="9" t="str">
        <v>Z001331</v>
      </c>
      <c r="D15" s="9">
        <v>562201000128990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Narkotika/Psikotropika- Remark</v>
      </c>
      <c r="J15" s="9">
        <v>48</v>
      </c>
      <c r="K15" s="9">
        <v>9</v>
      </c>
      <c r="L15" s="9" t="str">
        <v>Narkotika/Psikotropika</v>
      </c>
      <c r="M15" s="9" t="str">
        <v xml:space="preserve">UNIT KEPAHIANG II CURUP                 </v>
      </c>
      <c r="N15" s="9" t="str">
        <v xml:space="preserve">KC Curup                                </v>
      </c>
      <c r="O15" s="9" t="str">
        <v xml:space="preserve">KANWIL BANDAR LAMPUNG                   </v>
      </c>
      <c r="P15" s="9">
        <v>0</v>
      </c>
      <c r="Q15" s="9" t="str">
        <v>Tidak</v>
      </c>
      <c r="R15" s="9" t="str">
        <v>Belum TL</v>
      </c>
      <c r="S15" s="9" t="str">
        <v>Pending Checker</v>
      </c>
      <c r="T15" s="9" t="str">
        <v>90170665 - Mutiara Ayuningtyas</v>
      </c>
      <c r="U15" s="9" t="str">
        <v>"-"</v>
      </c>
      <c r="V15" s="12" t="s">
        <v>24</v>
      </c>
      <c r="W15" s="13">
        <v>46243</v>
      </c>
      <c r="X15" s="14" t="b">
        <f>[1]STR!$X15</f>
        <v>1</v>
      </c>
    </row>
    <row r="16" spans="1:26">
      <c r="A16" s="8">
        <v>46265</v>
      </c>
      <c r="B16" s="9" t="str">
        <v xml:space="preserve">PERANTARA IA AGING - DEBET              </v>
      </c>
      <c r="C16" s="9" t="str">
        <v>Z001331</v>
      </c>
      <c r="D16" s="9">
        <v>562701000102994</v>
      </c>
      <c r="E16" s="9" t="str">
        <v>SEDANG</v>
      </c>
      <c r="F16" s="9" t="str">
        <v>Tidak</v>
      </c>
      <c r="G16" s="9" t="str">
        <v>Tidak</v>
      </c>
      <c r="H16" s="9" t="str">
        <v>Tidak</v>
      </c>
      <c r="I16" s="9" t="str">
        <v>Narkotika/Psikotropika- Remark</v>
      </c>
      <c r="J16" s="9">
        <v>48</v>
      </c>
      <c r="K16" s="9">
        <v>9</v>
      </c>
      <c r="L16" s="9" t="str">
        <v>Narkotika/Psikotropika</v>
      </c>
      <c r="M16" s="9" t="str">
        <v xml:space="preserve">UNIT TES CURUP                          </v>
      </c>
      <c r="N16" s="9" t="str">
        <v xml:space="preserve">KC Curup                                </v>
      </c>
      <c r="O16" s="9" t="str">
        <v xml:space="preserve">KANWIL BANDAR LAMPUNG                   </v>
      </c>
      <c r="P16" s="9">
        <v>0</v>
      </c>
      <c r="Q16" s="9" t="str">
        <v>Tidak</v>
      </c>
      <c r="R16" s="9" t="str">
        <v>Belum TL</v>
      </c>
      <c r="S16" s="9" t="str">
        <v>Pending Checker</v>
      </c>
      <c r="T16" s="9" t="str">
        <v>90185538 - Muhammad Fahikal Auz</v>
      </c>
      <c r="U16" s="9" t="str">
        <v>"-"</v>
      </c>
      <c r="V16" s="12" t="s">
        <v>24</v>
      </c>
      <c r="W16" s="13">
        <v>46243</v>
      </c>
      <c r="X16" s="14" t="b">
        <f>[1]STR!$X16</f>
        <v>1</v>
      </c>
    </row>
    <row r="17" spans="1:25">
      <c r="A17" s="8">
        <v>46265</v>
      </c>
      <c r="B17" s="9" t="str">
        <v xml:space="preserve">PERANTARA IA AGING - DEBET              </v>
      </c>
      <c r="C17" s="9" t="str">
        <v>Z001331</v>
      </c>
      <c r="D17" s="9">
        <v>568601000033995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Narkotika/Psikotropika- Remark</v>
      </c>
      <c r="J17" s="9">
        <v>48</v>
      </c>
      <c r="K17" s="9">
        <v>9</v>
      </c>
      <c r="L17" s="9" t="str">
        <v>Narkotika/Psikotropika</v>
      </c>
      <c r="M17" s="9" t="str">
        <v xml:space="preserve">UNIT KAUR TENGAH MANNA                  </v>
      </c>
      <c r="N17" s="9" t="str">
        <v xml:space="preserve">KC Manna                                </v>
      </c>
      <c r="O17" s="9" t="str">
        <v xml:space="preserve">KANWIL BANDAR LAMPUNG                   </v>
      </c>
      <c r="P17" s="9">
        <v>0</v>
      </c>
      <c r="Q17" s="9" t="str">
        <v>Tidak</v>
      </c>
      <c r="R17" s="9" t="str">
        <v>Belum TL</v>
      </c>
      <c r="S17" s="9" t="str">
        <v>Pending Checker</v>
      </c>
      <c r="T17" s="9" t="str">
        <v>00394520 - Frida Akbar Rani</v>
      </c>
      <c r="U17" s="9" t="str">
        <v>"-"</v>
      </c>
      <c r="V17" s="12" t="s">
        <v>24</v>
      </c>
      <c r="W17" s="13">
        <v>46243</v>
      </c>
      <c r="X17" s="14" t="b">
        <f>[1]STR!$X17</f>
        <v>1</v>
      </c>
    </row>
    <row r="18" spans="1:25">
      <c r="A18" s="8">
        <v>46265</v>
      </c>
      <c r="B18" s="9" t="str">
        <v xml:space="preserve">PERANTARA IA AGING - DEBET              </v>
      </c>
      <c r="C18" s="9" t="str">
        <v>Z001331</v>
      </c>
      <c r="D18" s="9">
        <v>31801001443997</v>
      </c>
      <c r="E18" s="9" t="str">
        <v>SEDANG</v>
      </c>
      <c r="F18" s="9" t="str">
        <v>Tidak</v>
      </c>
      <c r="G18" s="9" t="str">
        <v>Tidak</v>
      </c>
      <c r="H18" s="9" t="str">
        <v>Tidak</v>
      </c>
      <c r="I18" s="9" t="str">
        <v>Narkotika/Psikotropika- Remark</v>
      </c>
      <c r="J18" s="9">
        <v>48</v>
      </c>
      <c r="K18" s="9">
        <v>9</v>
      </c>
      <c r="L18" s="9" t="str">
        <v>Narkotika/Psikotropika</v>
      </c>
      <c r="M18" s="9" t="str">
        <v xml:space="preserve">KC Arga Makmur                          </v>
      </c>
      <c r="N18" s="9" t="str">
        <v xml:space="preserve">KC Arga Makmur                          </v>
      </c>
      <c r="O18" s="9" t="str">
        <v xml:space="preserve">KANWIL BANDAR LAMPUNG                   </v>
      </c>
      <c r="P18" s="9">
        <v>0</v>
      </c>
      <c r="Q18" s="9" t="str">
        <v>Tidak</v>
      </c>
      <c r="R18" s="9" t="str">
        <v>Belum TL</v>
      </c>
      <c r="S18" s="9" t="str">
        <v>Pending Checker</v>
      </c>
      <c r="T18" s="9" t="str">
        <v>90171841 - Rifqi Aziz</v>
      </c>
      <c r="U18" s="9" t="str">
        <v>"-"</v>
      </c>
      <c r="V18" s="12" t="s">
        <v>24</v>
      </c>
      <c r="W18" s="13">
        <v>46243</v>
      </c>
      <c r="X18" s="14" t="b">
        <f>[1]STR!$X18</f>
        <v>1</v>
      </c>
    </row>
    <row r="19" spans="1:25">
      <c r="A19" s="8">
        <v>46265</v>
      </c>
      <c r="B19" s="9" t="str">
        <v xml:space="preserve">PERANTARA IA AGING - DEBET              </v>
      </c>
      <c r="C19" s="9" t="str">
        <v>Z001331</v>
      </c>
      <c r="D19" s="9">
        <v>35701001093994</v>
      </c>
      <c r="E19" s="9" t="str">
        <v>SEDANG</v>
      </c>
      <c r="F19" s="9" t="str">
        <v>Tidak</v>
      </c>
      <c r="G19" s="9" t="str">
        <v>Tidak</v>
      </c>
      <c r="H19" s="9" t="str">
        <v>Tidak</v>
      </c>
      <c r="I19" s="9" t="str">
        <v>Narkotika/Psikotropika- Remark</v>
      </c>
      <c r="J19" s="9">
        <v>50</v>
      </c>
      <c r="K19" s="9">
        <v>9</v>
      </c>
      <c r="L19" s="9" t="str">
        <v>Narkotika/Psikotropika</v>
      </c>
      <c r="M19" s="9" t="str">
        <v xml:space="preserve">KC Bandar Jaya                          </v>
      </c>
      <c r="N19" s="9" t="str">
        <v xml:space="preserve">KC Bandar Jaya                          </v>
      </c>
      <c r="O19" s="9" t="str">
        <v xml:space="preserve">KANWIL BANDAR LAMPUNG                   </v>
      </c>
      <c r="P19" s="9">
        <v>0</v>
      </c>
      <c r="Q19" s="9" t="str">
        <v>Tidak</v>
      </c>
      <c r="R19" s="9" t="str">
        <v>Belum TL</v>
      </c>
      <c r="S19" s="9" t="str">
        <v>Pending Checker</v>
      </c>
      <c r="T19" s="9" t="str">
        <v>90185537 - Moh.Khoerul Fajar Ar</v>
      </c>
      <c r="U19" s="9" t="str">
        <v>"-"</v>
      </c>
      <c r="V19" s="12" t="s">
        <v>24</v>
      </c>
      <c r="W19" s="13">
        <v>46243</v>
      </c>
      <c r="X19" s="14" t="b">
        <f>[1]STR!$X19</f>
        <v>1</v>
      </c>
    </row>
    <row r="20" spans="1:25">
      <c r="A20" s="8">
        <v>46265</v>
      </c>
      <c r="B20" s="9" t="str">
        <v xml:space="preserve">PERANTARA IA AGING - DEBET              </v>
      </c>
      <c r="C20" s="9" t="str">
        <v>Z001331</v>
      </c>
      <c r="D20" s="9">
        <v>10801001727994</v>
      </c>
      <c r="E20" s="9" t="str">
        <v>SEDANG</v>
      </c>
      <c r="F20" s="9" t="str">
        <v>Tidak</v>
      </c>
      <c r="G20" s="9" t="str">
        <v>Tidak</v>
      </c>
      <c r="H20" s="9" t="str">
        <v>Tidak</v>
      </c>
      <c r="I20" s="9" t="str">
        <v>Narkotika/Psikotropika- Remark</v>
      </c>
      <c r="J20" s="9">
        <v>53</v>
      </c>
      <c r="K20" s="9">
        <v>9</v>
      </c>
      <c r="L20" s="9" t="str">
        <v>Narkotika/Psikotropika</v>
      </c>
      <c r="M20" s="9" t="str">
        <v xml:space="preserve">KC Curup                                </v>
      </c>
      <c r="N20" s="9" t="str">
        <v xml:space="preserve">KC Curup                                </v>
      </c>
      <c r="O20" s="9" t="str">
        <v xml:space="preserve">KANWIL BANDAR LAMPUNG                   </v>
      </c>
      <c r="P20" s="9">
        <v>0</v>
      </c>
      <c r="Q20" s="9" t="str">
        <v>Tidak</v>
      </c>
      <c r="R20" s="9" t="str">
        <v>Belum TL</v>
      </c>
      <c r="S20" s="9" t="str">
        <v>Pending Checker</v>
      </c>
      <c r="T20" s="9" t="str">
        <v>90170665 - Mutiara Ayuningtyas</v>
      </c>
      <c r="U20" s="9" t="str">
        <v>"-"</v>
      </c>
      <c r="V20" s="12" t="s">
        <v>24</v>
      </c>
      <c r="W20" s="13">
        <v>46243</v>
      </c>
      <c r="X20" s="14" t="b">
        <f>[1]STR!$X20</f>
        <v>1</v>
      </c>
    </row>
    <row r="21" spans="1:25">
      <c r="A21" s="8">
        <v>46265</v>
      </c>
      <c r="B21" s="9" t="str">
        <v xml:space="preserve">ERIK ERLIYONO                           </v>
      </c>
      <c r="C21" s="9" t="str">
        <v>EFH4091</v>
      </c>
      <c r="D21" s="9">
        <v>356201048910539</v>
      </c>
      <c r="E21" s="9" t="str">
        <v>SEDANG</v>
      </c>
      <c r="F21" s="9" t="str">
        <v>Ya</v>
      </c>
      <c r="G21" s="9" t="str">
        <v>Tidak</v>
      </c>
      <c r="H21" s="9" t="str">
        <v>Ya</v>
      </c>
      <c r="I21" s="9" t="str">
        <v>Narkotika - Area Lapas</v>
      </c>
      <c r="J21" s="9">
        <v>50</v>
      </c>
      <c r="K21" s="9">
        <v>46</v>
      </c>
      <c r="L21" s="9" t="str">
        <v>Narkotika</v>
      </c>
      <c r="M21" s="9" t="str">
        <v>UNIT SIDOMULYO KALIANDA</v>
      </c>
      <c r="N21" s="9" t="str">
        <v>KC Kalianda</v>
      </c>
      <c r="O21" s="9" t="str">
        <v>KANWIL BANDAR LAMPUNG</v>
      </c>
      <c r="P21" s="9">
        <v>0</v>
      </c>
      <c r="Q21" s="9" t="str">
        <v>Tidak</v>
      </c>
      <c r="R21" s="9" t="str">
        <v>Belum TL</v>
      </c>
      <c r="S21" s="9" t="str">
        <v>Pending Checker</v>
      </c>
      <c r="T21" s="9" t="str">
        <v>00394521 - Muhammad Hibbanduta</v>
      </c>
      <c r="U21" s="9" t="str">
        <v>"-"</v>
      </c>
      <c r="V21" s="12" t="s">
        <v>24</v>
      </c>
      <c r="W21" s="13">
        <v>46212</v>
      </c>
      <c r="X21" s="14" t="b">
        <f>[1]STR!$X21</f>
        <v>1</v>
      </c>
    </row>
    <row r="22" spans="1:25">
      <c r="A22" s="8">
        <v>46265</v>
      </c>
      <c r="B22" s="9" t="str">
        <v xml:space="preserve">EKO TEGUH HARIYANTO                     </v>
      </c>
      <c r="C22" s="9" t="str">
        <v>EEF5772</v>
      </c>
      <c r="D22" s="9">
        <v>2201002080569</v>
      </c>
      <c r="E22" s="9" t="str">
        <v>SEDANG</v>
      </c>
      <c r="F22" s="9" t="str">
        <v>Tidak</v>
      </c>
      <c r="G22" s="9" t="str">
        <v>Tidak</v>
      </c>
      <c r="H22" s="9" t="str">
        <v>Tidak</v>
      </c>
      <c r="I22" s="9" t="str">
        <v>Perikanan dan Kelautan</v>
      </c>
      <c r="J22" s="9">
        <v>59</v>
      </c>
      <c r="K22" s="9">
        <v>101</v>
      </c>
      <c r="L22" s="9" t="str">
        <v>Perikanan dan Kelautan</v>
      </c>
      <c r="M22" s="9" t="str">
        <v xml:space="preserve">UNIT BANDAR BINTUAN MANNA               </v>
      </c>
      <c r="N22" s="9" t="str">
        <v xml:space="preserve">KC Manna                                </v>
      </c>
      <c r="O22" s="9" t="str">
        <v xml:space="preserve">KANWIL BANDAR LAMPUNG                   </v>
      </c>
      <c r="P22" s="9" t="str">
        <v>Tidak</v>
      </c>
      <c r="Q22" s="9" t="str">
        <v>Ya</v>
      </c>
      <c r="R22" s="9" t="str">
        <v>Done</v>
      </c>
      <c r="S22" s="9" t="str">
        <v>Approved</v>
      </c>
      <c r="T22" s="9" t="str">
        <v>00394521 - Muhammad Hibbanduta</v>
      </c>
      <c r="U22" s="9" t="str">
        <v>"-"</v>
      </c>
      <c r="V22" s="12"/>
      <c r="W22" s="12"/>
      <c r="X22" s="14" t="b">
        <f>[1]STR!$X22</f>
        <v>1</v>
      </c>
      <c r="Y22" t="s">
        <v>27</v>
      </c>
    </row>
    <row r="23" spans="1:25">
      <c r="A23" s="8">
        <v>46265</v>
      </c>
      <c r="B23" s="9" t="str">
        <v xml:space="preserve">INDOMARCO ADI PRIMA, PT.                </v>
      </c>
      <c r="C23" s="9" t="str">
        <v>I157190</v>
      </c>
      <c r="D23" s="9">
        <v>9801000412309</v>
      </c>
      <c r="E23" s="9" t="str">
        <v>SEDANG</v>
      </c>
      <c r="F23" s="9" t="str">
        <v>Tidak</v>
      </c>
      <c r="G23" s="9" t="str">
        <v>Tidak</v>
      </c>
      <c r="H23" s="9" t="str">
        <v>Tidak</v>
      </c>
      <c r="I23" s="9" t="str">
        <v>Narkotika - Area Lapas</v>
      </c>
      <c r="J23" s="9">
        <v>50</v>
      </c>
      <c r="K23" s="9">
        <v>46</v>
      </c>
      <c r="L23" s="9" t="str">
        <v>Narkotika</v>
      </c>
      <c r="M23" s="9" t="str">
        <v>KC Tanjung Karang</v>
      </c>
      <c r="N23" s="9" t="str">
        <v>KC Tanjung Karang</v>
      </c>
      <c r="O23" s="9" t="str">
        <v>KANWIL BANDAR LAMPUNG</v>
      </c>
      <c r="P23" s="9" t="str">
        <v>Tidak</v>
      </c>
      <c r="Q23" s="9" t="str">
        <v>Tidak</v>
      </c>
      <c r="R23" s="9" t="str">
        <v>Done</v>
      </c>
      <c r="S23" s="9" t="str">
        <v>Approved</v>
      </c>
      <c r="T23" s="9" t="str">
        <v>00394520 - Frida Akbar Rani</v>
      </c>
      <c r="U23" s="9" t="str">
        <v>"-"</v>
      </c>
      <c r="V23" s="12"/>
      <c r="W23" s="12"/>
      <c r="X23" s="14" t="b">
        <f>[1]STR!$X23</f>
        <v>1</v>
      </c>
      <c r="Y23" t="s">
        <v>27</v>
      </c>
    </row>
    <row r="24" spans="1:25">
      <c r="A24" s="8">
        <v>46265</v>
      </c>
      <c r="B24" s="9" t="str">
        <v xml:space="preserve">HERDIYANTO                              </v>
      </c>
      <c r="C24" s="9" t="str">
        <v>HAY4352</v>
      </c>
      <c r="D24" s="9">
        <v>207701011562507</v>
      </c>
      <c r="E24" s="9" t="str">
        <v>SEDANG</v>
      </c>
      <c r="F24" s="9" t="str">
        <v>Tidak</v>
      </c>
      <c r="G24" s="9" t="str">
        <v>Tidak</v>
      </c>
      <c r="H24" s="9" t="str">
        <v>Tidak</v>
      </c>
      <c r="I24" s="9" t="str">
        <v>Narkotika - Area Lapas</v>
      </c>
      <c r="J24" s="9">
        <v>50</v>
      </c>
      <c r="K24" s="9">
        <v>48</v>
      </c>
      <c r="L24" s="9" t="str">
        <v>Narkotika</v>
      </c>
      <c r="M24" s="9" t="str">
        <v>KCP KEMILING LAMPUNG</v>
      </c>
      <c r="N24" s="9" t="str">
        <v>KC Tanjung Karang</v>
      </c>
      <c r="O24" s="9" t="str">
        <v>KANWIL BANDAR LAMPUNG</v>
      </c>
      <c r="P24" s="9" t="str">
        <v>Tidak</v>
      </c>
      <c r="Q24" s="9" t="str">
        <v>Tidak</v>
      </c>
      <c r="R24" s="9" t="str">
        <v>Done</v>
      </c>
      <c r="S24" s="9" t="str">
        <v>Approved</v>
      </c>
      <c r="T24" s="9" t="str">
        <v>00394521 - Muhammad Hibbanduta</v>
      </c>
      <c r="U24" s="9" t="str">
        <v>"-"</v>
      </c>
      <c r="V24" s="12"/>
      <c r="W24" s="12"/>
      <c r="X24" s="14" t="b">
        <f>[1]STR!$X24</f>
        <v>1</v>
      </c>
      <c r="Y24" t="s">
        <v>27</v>
      </c>
    </row>
    <row r="25" spans="1:25">
      <c r="A25" s="8">
        <v>46265</v>
      </c>
      <c r="B25" s="9" t="str">
        <v xml:space="preserve">ARYANTO                                 </v>
      </c>
      <c r="C25" s="9" t="str">
        <v>AVV5438</v>
      </c>
      <c r="D25" s="9">
        <v>66001000478564</v>
      </c>
      <c r="E25" s="9" t="str">
        <v>SEDANG</v>
      </c>
      <c r="F25" s="9" t="str">
        <v>Tidak</v>
      </c>
      <c r="G25" s="9" t="str">
        <v>Tidak</v>
      </c>
      <c r="H25" s="9" t="str">
        <v>Tidak</v>
      </c>
      <c r="I25" s="9" t="str">
        <v>Narkotika - Area Lapas</v>
      </c>
      <c r="J25" s="9">
        <v>60</v>
      </c>
      <c r="K25" s="9">
        <v>47</v>
      </c>
      <c r="L25" s="9" t="str">
        <v>Narkotika</v>
      </c>
      <c r="M25" s="9" t="str">
        <v>KCP PASAR NATAR TJ KARANG</v>
      </c>
      <c r="N25" s="9" t="str">
        <v>KC Tanjung Karang</v>
      </c>
      <c r="O25" s="9" t="str">
        <v>KANWIL BANDAR LAMPUNG</v>
      </c>
      <c r="P25" s="9" t="str">
        <v>Tidak</v>
      </c>
      <c r="Q25" s="9" t="str">
        <v>Tidak</v>
      </c>
      <c r="R25" s="9" t="str">
        <v>Done</v>
      </c>
      <c r="S25" s="9" t="str">
        <v>Approved</v>
      </c>
      <c r="T25" s="9" t="str">
        <v>90186790 - Muhammad Alfin Farha</v>
      </c>
      <c r="U25" s="9" t="str">
        <v>"-"</v>
      </c>
      <c r="V25" s="12"/>
      <c r="W25" s="12"/>
      <c r="X25" s="14" t="b">
        <f>[1]STR!$X25</f>
        <v>1</v>
      </c>
      <c r="Y25" t="s">
        <v>27</v>
      </c>
    </row>
    <row r="26" spans="1:25">
      <c r="A26" s="8">
        <v>46265</v>
      </c>
      <c r="B26" s="9" t="str">
        <v xml:space="preserve">CV AKSA KARYA UTAMA                     </v>
      </c>
      <c r="C26" s="9" t="str">
        <v>CP63393</v>
      </c>
      <c r="D26" s="9">
        <v>11501004923304</v>
      </c>
      <c r="E26" s="9" t="str">
        <v>SEDANG</v>
      </c>
      <c r="F26" s="9" t="str">
        <v>Tidak</v>
      </c>
      <c r="G26" s="9" t="str">
        <v>Tidak</v>
      </c>
      <c r="H26" s="9" t="str">
        <v>Tidak</v>
      </c>
      <c r="I26" s="9" t="str">
        <v>Perpajakan</v>
      </c>
      <c r="J26" s="9">
        <v>48</v>
      </c>
      <c r="K26" s="9">
        <v>41</v>
      </c>
      <c r="L26" s="9" t="str">
        <v>Perpajakan</v>
      </c>
      <c r="M26" s="9" t="str">
        <v xml:space="preserve">KC Bengkulu                             </v>
      </c>
      <c r="N26" s="9" t="str">
        <v xml:space="preserve">KC Bengkulu                             </v>
      </c>
      <c r="O26" s="9" t="str">
        <v xml:space="preserve">KANWIL BANDAR LAMPUNG                   </v>
      </c>
      <c r="P26" s="9" t="str">
        <v>Tidak</v>
      </c>
      <c r="Q26" s="9" t="str">
        <v>Tidak</v>
      </c>
      <c r="R26" s="9" t="str">
        <v>Done</v>
      </c>
      <c r="S26" s="9" t="str">
        <v>Approved</v>
      </c>
      <c r="T26" s="9" t="str">
        <v>00394521 - Muhammad Hibbanduta</v>
      </c>
      <c r="U26" s="9" t="str">
        <v>"-"</v>
      </c>
      <c r="V26" s="12" t="s">
        <v>24</v>
      </c>
      <c r="W26" s="12" t="s">
        <v>28</v>
      </c>
      <c r="X26" s="14" t="b">
        <f>[1]STR!$X26</f>
        <v>1</v>
      </c>
    </row>
    <row r="27" spans="1:25">
      <c r="A27" s="8">
        <v>46265</v>
      </c>
      <c r="B27" s="9" t="str">
        <v xml:space="preserve">PERANTARA IA AGING - DEBET              </v>
      </c>
      <c r="C27" s="9" t="str">
        <v>Z001331</v>
      </c>
      <c r="D27" s="9">
        <v>110101000043998</v>
      </c>
      <c r="E27" s="9" t="str">
        <v>SEDANG</v>
      </c>
      <c r="F27" s="9" t="str">
        <v>Tidak</v>
      </c>
      <c r="G27" s="9" t="str">
        <v>Tidak</v>
      </c>
      <c r="H27" s="9" t="str">
        <v>Tidak</v>
      </c>
      <c r="I27" s="9" t="str">
        <v>Narkotika/Psikotropika- Remark</v>
      </c>
      <c r="J27" s="9">
        <v>48</v>
      </c>
      <c r="K27" s="9">
        <v>9</v>
      </c>
      <c r="L27" s="9" t="str">
        <v>Narkotika/Psikotropika</v>
      </c>
      <c r="M27" s="9" t="str">
        <v xml:space="preserve">KC Muko Muko                            </v>
      </c>
      <c r="N27" s="9" t="str">
        <v xml:space="preserve">KC Muko Muko                            </v>
      </c>
      <c r="O27" s="9" t="str">
        <v xml:space="preserve">KANWIL BANDAR LAMPUNG                   </v>
      </c>
      <c r="P27" s="9" t="str">
        <v>Tidak</v>
      </c>
      <c r="Q27" s="9" t="str">
        <v>Tidak</v>
      </c>
      <c r="R27" s="9" t="str">
        <v>Done</v>
      </c>
      <c r="S27" s="9" t="str">
        <v>Approved</v>
      </c>
      <c r="T27" s="9" t="str">
        <v>00394521 - Muhammad Hibbanduta</v>
      </c>
      <c r="U27" s="9" t="str">
        <v>"-"</v>
      </c>
      <c r="V27" s="12" t="s">
        <v>24</v>
      </c>
      <c r="W27" s="12" t="s">
        <v>29</v>
      </c>
      <c r="X27" s="14" t="b">
        <f>[1]STR!$X27</f>
        <v>1</v>
      </c>
    </row>
    <row r="28" spans="1:25">
      <c r="A28" s="8">
        <v>46265</v>
      </c>
      <c r="B28" s="9" t="str">
        <v xml:space="preserve">PERANTARA IA AGING - DEBET              </v>
      </c>
      <c r="C28" s="9" t="str">
        <v>Z001331</v>
      </c>
      <c r="D28" s="9">
        <v>15001000921996</v>
      </c>
      <c r="E28" s="9" t="str">
        <v>SEDANG</v>
      </c>
      <c r="F28" s="9" t="str">
        <v>Tidak</v>
      </c>
      <c r="G28" s="9" t="str">
        <v>Tidak</v>
      </c>
      <c r="H28" s="9" t="str">
        <v>Tidak</v>
      </c>
      <c r="I28" s="9" t="str">
        <v>Narkotika/Psikotropika- Remark</v>
      </c>
      <c r="J28" s="9">
        <v>50</v>
      </c>
      <c r="K28" s="9">
        <v>9</v>
      </c>
      <c r="L28" s="9" t="str">
        <v>Narkotika/Psikotropika</v>
      </c>
      <c r="M28" s="9" t="str">
        <v xml:space="preserve">KC Manna                                </v>
      </c>
      <c r="N28" s="9" t="str">
        <v xml:space="preserve">KC Manna                                </v>
      </c>
      <c r="O28" s="9" t="str">
        <v xml:space="preserve">KANWIL BANDAR LAMPUNG                   </v>
      </c>
      <c r="P28" s="9" t="str">
        <v>Tidak</v>
      </c>
      <c r="Q28" s="9" t="str">
        <v>Tidak</v>
      </c>
      <c r="R28" s="9" t="str">
        <v>Done</v>
      </c>
      <c r="S28" s="9" t="str">
        <v>Approved</v>
      </c>
      <c r="T28" s="9" t="str">
        <v>00394520 - Frida Akbar Rani</v>
      </c>
      <c r="U28" s="9" t="str">
        <v>"-"</v>
      </c>
      <c r="V28" s="12" t="s">
        <v>24</v>
      </c>
      <c r="W28" s="12" t="s">
        <v>29</v>
      </c>
      <c r="X28" s="14" t="b">
        <f>[1]STR!$X28</f>
        <v>1</v>
      </c>
    </row>
    <row r="29" spans="1:25">
      <c r="A29" s="8">
        <v>46265</v>
      </c>
      <c r="B29" s="9" t="str">
        <v xml:space="preserve">PERANTARA IA AGING - DEBET              </v>
      </c>
      <c r="C29" s="9" t="str">
        <v>Z001331</v>
      </c>
      <c r="D29" s="9">
        <v>28501000914996</v>
      </c>
      <c r="E29" s="9" t="str">
        <v>SEDANG</v>
      </c>
      <c r="F29" s="9" t="str">
        <v>Tidak</v>
      </c>
      <c r="G29" s="9" t="str">
        <v>Tidak</v>
      </c>
      <c r="H29" s="9" t="str">
        <v>Tidak</v>
      </c>
      <c r="I29" s="9" t="str">
        <v>Narkotika/Psikotropika- Remark</v>
      </c>
      <c r="J29" s="9">
        <v>50</v>
      </c>
      <c r="K29" s="9">
        <v>9</v>
      </c>
      <c r="L29" s="9" t="str">
        <v>Narkotika/Psikotropika</v>
      </c>
      <c r="M29" s="9" t="str">
        <v xml:space="preserve">KC Teluk Betung                         </v>
      </c>
      <c r="N29" s="9" t="str">
        <v xml:space="preserve">KC Teluk Betung                         </v>
      </c>
      <c r="O29" s="9" t="str">
        <v xml:space="preserve">KANWIL BANDAR LAMPUNG                   </v>
      </c>
      <c r="P29" s="9" t="str">
        <v>Tidak</v>
      </c>
      <c r="Q29" s="9" t="str">
        <v>Tidak</v>
      </c>
      <c r="R29" s="9" t="str">
        <v>Done</v>
      </c>
      <c r="S29" s="9" t="str">
        <v>Approved</v>
      </c>
      <c r="T29" s="9" t="str">
        <v>90150130 - Intan Aida Pratiwi</v>
      </c>
      <c r="U29" s="9" t="str">
        <v>"-"</v>
      </c>
      <c r="V29" s="12" t="s">
        <v>24</v>
      </c>
      <c r="W29" s="12" t="s">
        <v>29</v>
      </c>
      <c r="X29" s="14" t="b">
        <f>[1]STR!$X29</f>
        <v>1</v>
      </c>
    </row>
    <row r="30" spans="1:25">
      <c r="A30" s="8">
        <v>46265</v>
      </c>
      <c r="B30" s="9" t="str">
        <v xml:space="preserve">PERANTARA IA AGING - DEBET              </v>
      </c>
      <c r="C30" s="9" t="str">
        <v>Z001331</v>
      </c>
      <c r="D30" s="9">
        <v>557901000051994</v>
      </c>
      <c r="E30" s="9" t="str">
        <v>SEDANG</v>
      </c>
      <c r="F30" s="9" t="str">
        <v>Tidak</v>
      </c>
      <c r="G30" s="9" t="str">
        <v>Tidak</v>
      </c>
      <c r="H30" s="9" t="str">
        <v>Tidak</v>
      </c>
      <c r="I30" s="9" t="str">
        <v>Narkotika/Psikotropika- Remark</v>
      </c>
      <c r="J30" s="9">
        <v>48</v>
      </c>
      <c r="K30" s="9">
        <v>9</v>
      </c>
      <c r="L30" s="9" t="str">
        <v>Narkotika/Psikotropika</v>
      </c>
      <c r="M30" s="9" t="str">
        <v xml:space="preserve">UNIT IPUH MUKO MUKO                     </v>
      </c>
      <c r="N30" s="9" t="str">
        <v xml:space="preserve">KC Muko Muko                            </v>
      </c>
      <c r="O30" s="9" t="str">
        <v xml:space="preserve">KANWIL BANDAR LAMPUNG                   </v>
      </c>
      <c r="P30" s="9" t="str">
        <v>Tidak</v>
      </c>
      <c r="Q30" s="9" t="str">
        <v>Tidak</v>
      </c>
      <c r="R30" s="9" t="str">
        <v>Done</v>
      </c>
      <c r="S30" s="9" t="str">
        <v>Approved</v>
      </c>
      <c r="T30" s="9" t="str">
        <v>90185537 - Moh.Khoerul Fajar Ar</v>
      </c>
      <c r="U30" s="9" t="str">
        <v>"-"</v>
      </c>
      <c r="V30" s="12" t="s">
        <v>24</v>
      </c>
      <c r="W30" s="12" t="s">
        <v>29</v>
      </c>
      <c r="X30" s="14" t="b">
        <f>[1]STR!$X30</f>
        <v>1</v>
      </c>
    </row>
    <row r="31" spans="1:25">
      <c r="A31" s="8">
        <v>46265</v>
      </c>
      <c r="B31" s="9" t="str">
        <v xml:space="preserve">PERANTARA IA AGING - DEBET              </v>
      </c>
      <c r="C31" s="9" t="str">
        <v>Z001331</v>
      </c>
      <c r="D31" s="9">
        <v>569601000029999</v>
      </c>
      <c r="E31" s="9" t="str">
        <v>SEDANG</v>
      </c>
      <c r="F31" s="9" t="str">
        <v>Tidak</v>
      </c>
      <c r="G31" s="9" t="str">
        <v>Tidak</v>
      </c>
      <c r="H31" s="9" t="str">
        <v>Tidak</v>
      </c>
      <c r="I31" s="9" t="str">
        <v>Narkotika/Psikotropika- Remark</v>
      </c>
      <c r="J31" s="9">
        <v>48</v>
      </c>
      <c r="K31" s="9">
        <v>9</v>
      </c>
      <c r="L31" s="9" t="str">
        <v>Narkotika/Psikotropika</v>
      </c>
      <c r="M31" s="9" t="str">
        <v xml:space="preserve">UNIT TEDUNAN MANNA                      </v>
      </c>
      <c r="N31" s="9" t="str">
        <v xml:space="preserve">KC Manna                                </v>
      </c>
      <c r="O31" s="9" t="str">
        <v xml:space="preserve">KANWIL BANDAR LAMPUNG                   </v>
      </c>
      <c r="P31" s="9" t="str">
        <v>Tidak</v>
      </c>
      <c r="Q31" s="9" t="str">
        <v>Tidak</v>
      </c>
      <c r="R31" s="9" t="str">
        <v>Done</v>
      </c>
      <c r="S31" s="9" t="str">
        <v>Approved</v>
      </c>
      <c r="T31" s="9" t="str">
        <v>00394521 - Muhammad Hibbanduta</v>
      </c>
      <c r="U31" s="9" t="str">
        <v>"-"</v>
      </c>
      <c r="V31" s="12" t="s">
        <v>24</v>
      </c>
      <c r="W31" s="12" t="s">
        <v>29</v>
      </c>
      <c r="X31" s="14" t="b">
        <f>[1]STR!$X31</f>
        <v>1</v>
      </c>
    </row>
    <row r="32" spans="1:25">
      <c r="A32" s="8">
        <v>46265</v>
      </c>
      <c r="B32" s="9" t="str">
        <v xml:space="preserve">ZEE BEAUTY SKINCARE                     </v>
      </c>
      <c r="C32" s="9" t="str">
        <v>ZK78058</v>
      </c>
      <c r="D32" s="9">
        <v>60501002408567</v>
      </c>
      <c r="E32" s="9" t="str">
        <v>SEDANG</v>
      </c>
      <c r="F32" s="9" t="str">
        <v>Tidak</v>
      </c>
      <c r="G32" s="9" t="str">
        <v>Tidak</v>
      </c>
      <c r="H32" s="9" t="str">
        <v>Tidak</v>
      </c>
      <c r="I32" s="9" t="str">
        <v>Perpajakan</v>
      </c>
      <c r="J32" s="9">
        <v>48</v>
      </c>
      <c r="K32" s="9">
        <v>41</v>
      </c>
      <c r="L32" s="9" t="str">
        <v>Perpajakan</v>
      </c>
      <c r="M32" s="9" t="str">
        <v xml:space="preserve">KC Tulang Bawang                        </v>
      </c>
      <c r="N32" s="9" t="str">
        <v xml:space="preserve">KC Tulang Bawang                        </v>
      </c>
      <c r="O32" s="9" t="str">
        <v xml:space="preserve">KANWIL BANDAR LAMPUNG                   </v>
      </c>
      <c r="P32" s="9" t="str">
        <v>Tidak</v>
      </c>
      <c r="Q32" s="9" t="str">
        <v>Ya</v>
      </c>
      <c r="R32" s="9" t="str">
        <v>Done</v>
      </c>
      <c r="S32" s="9" t="str">
        <v>Approved</v>
      </c>
      <c r="T32" s="9" t="str">
        <v>00336949 - Mochammad Al Farabi</v>
      </c>
      <c r="U32" s="9" t="str">
        <v>"-"</v>
      </c>
      <c r="V32" s="12" t="s">
        <v>24</v>
      </c>
      <c r="W32" s="12" t="s">
        <v>30</v>
      </c>
      <c r="X32" s="14" t="b">
        <f>[1]STR!$X32</f>
        <v>1</v>
      </c>
    </row>
    <row r="33" spans="1:25">
      <c r="A33" s="8">
        <v>46265</v>
      </c>
      <c r="B33" s="9" t="str">
        <v xml:space="preserve">PERANTARA IA AGING - DEBET              </v>
      </c>
      <c r="C33" s="9" t="str">
        <v>Z001331</v>
      </c>
      <c r="D33" s="9">
        <v>805101000001992</v>
      </c>
      <c r="E33" s="9" t="str">
        <v>SEDANG</v>
      </c>
      <c r="F33" s="9" t="str">
        <v>Tidak</v>
      </c>
      <c r="G33" s="9" t="str">
        <v>Tidak</v>
      </c>
      <c r="H33" s="9" t="str">
        <v>Tidak</v>
      </c>
      <c r="I33" s="9" t="str">
        <v>Narkotika/Psikotropika- Remark</v>
      </c>
      <c r="J33" s="9">
        <v>48</v>
      </c>
      <c r="K33" s="9">
        <v>9</v>
      </c>
      <c r="L33" s="9" t="str">
        <v>Narkotika/Psikotropika</v>
      </c>
      <c r="M33" s="9" t="str">
        <v xml:space="preserve">UNIT PONDOK SUGUH MUKO MUKO             </v>
      </c>
      <c r="N33" s="9" t="str">
        <v xml:space="preserve">KC Muko Muko                            </v>
      </c>
      <c r="O33" s="9" t="str">
        <v xml:space="preserve">KANWIL BANDAR LAMPUNG                   </v>
      </c>
      <c r="P33" s="9" t="str">
        <v>Tidak</v>
      </c>
      <c r="Q33" s="9" t="str">
        <v>Tidak</v>
      </c>
      <c r="R33" s="9" t="str">
        <v>Done</v>
      </c>
      <c r="S33" s="9" t="str">
        <v>Approved</v>
      </c>
      <c r="T33" s="9" t="str">
        <v>90185538 - Muhammad Fahikal Auz</v>
      </c>
      <c r="U33" s="9" t="str">
        <v>"-"</v>
      </c>
      <c r="V33" s="12" t="s">
        <v>24</v>
      </c>
      <c r="W33" s="12" t="s">
        <v>29</v>
      </c>
      <c r="X33" s="14" t="b">
        <f>[1]STR!$X33</f>
        <v>1</v>
      </c>
    </row>
    <row r="34" spans="1:25">
      <c r="A34" s="8">
        <v>46265</v>
      </c>
      <c r="B34" s="9" t="str">
        <v xml:space="preserve">TRI KALIS SAWANTI                       </v>
      </c>
      <c r="C34" s="9" t="str">
        <v>TN51238</v>
      </c>
      <c r="D34" s="9">
        <v>726301010723534</v>
      </c>
      <c r="E34" s="9" t="str">
        <v>SEDANG</v>
      </c>
      <c r="F34" s="9" t="str">
        <v>Tidak</v>
      </c>
      <c r="G34" s="9" t="str">
        <v>Tidak</v>
      </c>
      <c r="H34" s="9" t="str">
        <v>Tidak</v>
      </c>
      <c r="I34" s="9" t="str">
        <v>Narkotika - Area Lapas</v>
      </c>
      <c r="J34" s="9">
        <v>50</v>
      </c>
      <c r="K34" s="9">
        <v>46</v>
      </c>
      <c r="L34" s="9" t="str">
        <v>Narkotika</v>
      </c>
      <c r="M34" s="9" t="str">
        <v>UNIT SUKADAMAI METRO</v>
      </c>
      <c r="N34" s="9" t="str">
        <v>KC Metro</v>
      </c>
      <c r="O34" s="9" t="str">
        <v>KANWIL BANDAR LAMPUNG</v>
      </c>
      <c r="P34" s="9" t="str">
        <v>Tidak</v>
      </c>
      <c r="Q34" s="9" t="str">
        <v>Tidak</v>
      </c>
      <c r="R34" s="9" t="str">
        <v>Done</v>
      </c>
      <c r="S34" s="9" t="str">
        <v>Approved</v>
      </c>
      <c r="T34" s="9" t="str">
        <v>90170665 - Mutiara Ayuningtyas</v>
      </c>
      <c r="U34" s="9" t="str">
        <v>"-"</v>
      </c>
      <c r="V34" s="12" t="s">
        <v>24</v>
      </c>
      <c r="W34" s="13">
        <v>46364</v>
      </c>
      <c r="X34" s="14" t="b">
        <f>[1]STR!$X34</f>
        <v>1</v>
      </c>
    </row>
    <row r="35" spans="1:25">
      <c r="A35" s="8">
        <v>46265</v>
      </c>
      <c r="B35" s="9" t="str">
        <v xml:space="preserve">SYAEKHONI                               </v>
      </c>
      <c r="C35" s="9" t="str">
        <v>SX23108</v>
      </c>
      <c r="D35" s="9">
        <v>13001001676564</v>
      </c>
      <c r="E35" s="9" t="str">
        <v>SEDANG</v>
      </c>
      <c r="F35" s="9" t="str">
        <v>Tidak</v>
      </c>
      <c r="G35" s="9" t="str">
        <v>Tidak</v>
      </c>
      <c r="H35" s="9" t="str">
        <v>Tidak</v>
      </c>
      <c r="I35" s="9" t="str">
        <v>Pencurian Rekening</v>
      </c>
      <c r="J35" s="9">
        <v>47</v>
      </c>
      <c r="K35" s="9">
        <v>59</v>
      </c>
      <c r="L35" s="9" t="str">
        <v>Perbankan</v>
      </c>
      <c r="M35" s="9" t="str">
        <v xml:space="preserve">KC Metro                                </v>
      </c>
      <c r="N35" s="9" t="str">
        <v xml:space="preserve">KC Metro                                </v>
      </c>
      <c r="O35" s="9" t="str">
        <v xml:space="preserve">KANWIL BANDAR LAMPUNG                   </v>
      </c>
      <c r="P35" s="9" t="str">
        <v>Tidak</v>
      </c>
      <c r="Q35" s="9" t="str">
        <v>Ya</v>
      </c>
      <c r="R35" s="9" t="str">
        <v>Done</v>
      </c>
      <c r="S35" s="9" t="str">
        <v>Approved</v>
      </c>
      <c r="T35" s="9" t="str">
        <v>00336949 - Mochammad Al Farabi</v>
      </c>
      <c r="U35" s="9" t="str">
        <v>"-"</v>
      </c>
      <c r="V35" s="12"/>
      <c r="W35" s="12"/>
      <c r="X35" s="14" t="b">
        <f>[1]STR!$X35</f>
        <v>1</v>
      </c>
      <c r="Y35" t="s">
        <v>27</v>
      </c>
    </row>
    <row r="36" spans="1:25">
      <c r="A36" s="8">
        <v>46265</v>
      </c>
      <c r="B36" s="9" t="str">
        <v xml:space="preserve">PT SUNGAI BUDI                          </v>
      </c>
      <c r="C36" s="9" t="str">
        <v>PLL6209</v>
      </c>
      <c r="D36" s="9">
        <v>28501002787303</v>
      </c>
      <c r="E36" s="9" t="str">
        <v>SEDANG</v>
      </c>
      <c r="F36" s="9" t="str">
        <v>Tidak</v>
      </c>
      <c r="G36" s="9" t="str">
        <v>Tidak</v>
      </c>
      <c r="H36" s="9" t="str">
        <v>Tidak</v>
      </c>
      <c r="I36" s="9" t="str">
        <v>Perpajakan</v>
      </c>
      <c r="J36" s="9">
        <v>48</v>
      </c>
      <c r="K36" s="9">
        <v>1.33</v>
      </c>
      <c r="L36" s="9" t="str">
        <v>Perpajakan</v>
      </c>
      <c r="M36" s="9" t="str">
        <v xml:space="preserve">KC Teluk Betung                         </v>
      </c>
      <c r="N36" s="9" t="str">
        <v xml:space="preserve">KC Teluk Betung                         </v>
      </c>
      <c r="O36" s="9" t="str">
        <v xml:space="preserve">KANWIL BANDAR LAMPUNG                   </v>
      </c>
      <c r="P36" s="9" t="str">
        <v>Ya</v>
      </c>
      <c r="Q36" s="9" t="str">
        <v>Tidak</v>
      </c>
      <c r="R36" s="9" t="str">
        <v>Done</v>
      </c>
      <c r="S36" s="9" t="str">
        <v>Approved</v>
      </c>
      <c r="T36" s="9" t="str">
        <v>00336949 - Mochammad Al Farabi</v>
      </c>
      <c r="U36" s="9" t="str">
        <v>"-"</v>
      </c>
      <c r="V36" s="12" t="s">
        <v>24</v>
      </c>
      <c r="W36" s="12" t="s">
        <v>31</v>
      </c>
      <c r="X36" s="14" t="b">
        <f>[1]STR!$X36</f>
        <v>1</v>
      </c>
    </row>
  </sheetData>
  <protectedRanges>
    <protectedRange sqref="V1:X36" name="Range2"/>
  </protectedRanges>
  <dataValidations count="1">
    <dataValidation type="list" allowBlank="1" showInputMessage="1" showErrorMessage="1" sqref="V2:V36" xr:uid="{58678E92-0320-4524-8F62-74F314B5E9E9}">
      <formula1>"Ferdi Setiawan"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 codeName="Sheet2">
    <tabColor theme="3" tint="0.499984740745262"/>
  </sheetPr>
  <dimension ref="A1:E16"/>
  <sheetViews>
    <sheetView workbookViewId="0">
      <selection activeCell="B17" sqref="B17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7.42578125" bestFit="1" customWidth="1"/>
    <col min="5" max="5" width="12.5703125" bestFit="1" customWidth="1"/>
  </cols>
  <sheetData>
    <row r="1" spans="1:5" ht="15">
      <c r="D1" s="41">
        <v>46280</v>
      </c>
      <c r="E1" s="41"/>
    </row>
    <row r="2" spans="1:5" ht="15">
      <c r="A2" s="4" t="s">
        <v>32</v>
      </c>
      <c r="B2" s="4" t="s">
        <v>33</v>
      </c>
      <c r="C2" s="4" t="s">
        <v>34</v>
      </c>
      <c r="D2" s="23" t="s">
        <v>35</v>
      </c>
      <c r="E2" s="18" t="s">
        <v>36</v>
      </c>
    </row>
    <row r="3" spans="1:5" ht="15">
      <c r="A3" s="3">
        <v>1</v>
      </c>
      <c r="B3" s="15" t="s">
        <v>37</v>
      </c>
      <c r="C3" s="3" t="s">
        <v>24</v>
      </c>
      <c r="D3" s="24">
        <f>_xlfn.XLOOKUP(B3, [2]PEP!$B:$B,[2]PEP!$G:$G)</f>
        <v>1</v>
      </c>
      <c r="E3" s="42">
        <f>AVERAGE(D3:D16)</f>
        <v>0.99309193258737405</v>
      </c>
    </row>
    <row r="4" spans="1:5" ht="15">
      <c r="A4" s="3">
        <v>2</v>
      </c>
      <c r="B4" s="16" t="s">
        <v>38</v>
      </c>
      <c r="C4" s="3" t="s">
        <v>24</v>
      </c>
      <c r="D4" s="24">
        <f>_xlfn.XLOOKUP(B4, [2]PEP!$B:$B,[2]PEP!$G:$G)</f>
        <v>1</v>
      </c>
      <c r="E4" s="43"/>
    </row>
    <row r="5" spans="1:5" ht="15">
      <c r="A5" s="3">
        <v>3</v>
      </c>
      <c r="B5" s="16" t="s">
        <v>39</v>
      </c>
      <c r="C5" s="3" t="s">
        <v>24</v>
      </c>
      <c r="D5" s="24">
        <f>_xlfn.XLOOKUP(B5, [2]PEP!$B:$B,[2]PEP!$G:$G)</f>
        <v>0.9916666666666667</v>
      </c>
      <c r="E5" s="43"/>
    </row>
    <row r="6" spans="1:5" ht="15">
      <c r="A6" s="3">
        <v>4</v>
      </c>
      <c r="B6" s="16" t="s">
        <v>40</v>
      </c>
      <c r="C6" s="3" t="s">
        <v>24</v>
      </c>
      <c r="D6" s="24">
        <f>_xlfn.XLOOKUP(B6, [2]PEP!$B:$B,[2]PEP!$G:$G)</f>
        <v>1</v>
      </c>
      <c r="E6" s="43"/>
    </row>
    <row r="7" spans="1:5" ht="15">
      <c r="A7" s="3">
        <v>5</v>
      </c>
      <c r="B7" s="16" t="s">
        <v>41</v>
      </c>
      <c r="C7" s="3" t="s">
        <v>24</v>
      </c>
      <c r="D7" s="24">
        <f>_xlfn.XLOOKUP(B7, [2]PEP!$B:$B,[2]PEP!$G:$G)</f>
        <v>1</v>
      </c>
      <c r="E7" s="43"/>
    </row>
    <row r="8" spans="1:5" ht="15">
      <c r="A8" s="3">
        <v>6</v>
      </c>
      <c r="B8" s="16" t="s">
        <v>42</v>
      </c>
      <c r="C8" s="3" t="s">
        <v>24</v>
      </c>
      <c r="D8" s="24">
        <f>_xlfn.XLOOKUP(B8, [2]PEP!$B:$B,[2]PEP!$G:$G)</f>
        <v>1</v>
      </c>
      <c r="E8" s="43"/>
    </row>
    <row r="9" spans="1:5" ht="15">
      <c r="A9" s="3">
        <v>7</v>
      </c>
      <c r="B9" s="16" t="s">
        <v>43</v>
      </c>
      <c r="C9" s="3" t="s">
        <v>24</v>
      </c>
      <c r="D9" s="24">
        <f>_xlfn.XLOOKUP(B9, [2]PEP!$B:$B,[2]PEP!$G:$G)</f>
        <v>1</v>
      </c>
      <c r="E9" s="43"/>
    </row>
    <row r="10" spans="1:5" ht="15">
      <c r="A10" s="3">
        <v>8</v>
      </c>
      <c r="B10" s="16" t="s">
        <v>44</v>
      </c>
      <c r="C10" s="3" t="s">
        <v>24</v>
      </c>
      <c r="D10" s="24">
        <f>_xlfn.XLOOKUP(B10, [2]PEP!$B:$B,[2]PEP!$G:$G)</f>
        <v>1</v>
      </c>
      <c r="E10" s="43"/>
    </row>
    <row r="11" spans="1:5" ht="15">
      <c r="A11" s="3">
        <v>9</v>
      </c>
      <c r="B11" s="16" t="s">
        <v>45</v>
      </c>
      <c r="C11" s="3" t="s">
        <v>24</v>
      </c>
      <c r="D11" s="24">
        <f>_xlfn.XLOOKUP(B11, [2]PEP!$B:$B,[2]PEP!$G:$G)</f>
        <v>0.98</v>
      </c>
      <c r="E11" s="43"/>
    </row>
    <row r="12" spans="1:5" ht="15">
      <c r="A12" s="3">
        <v>10</v>
      </c>
      <c r="B12" s="16" t="s">
        <v>46</v>
      </c>
      <c r="C12" s="3" t="s">
        <v>24</v>
      </c>
      <c r="D12" s="24">
        <f>_xlfn.XLOOKUP(B12, [2]PEP!$B:$B,[2]PEP!$G:$G)</f>
        <v>1</v>
      </c>
      <c r="E12" s="43"/>
    </row>
    <row r="13" spans="1:5" ht="15">
      <c r="A13" s="3">
        <v>11</v>
      </c>
      <c r="B13" s="16" t="s">
        <v>47</v>
      </c>
      <c r="C13" s="3" t="s">
        <v>24</v>
      </c>
      <c r="D13" s="24">
        <f>_xlfn.XLOOKUP(B13, [2]PEP!$B:$B,[2]PEP!$G:$G)</f>
        <v>1</v>
      </c>
      <c r="E13" s="43"/>
    </row>
    <row r="14" spans="1:5" ht="15">
      <c r="A14" s="3">
        <v>12</v>
      </c>
      <c r="B14" s="16" t="s">
        <v>48</v>
      </c>
      <c r="C14" s="3" t="s">
        <v>24</v>
      </c>
      <c r="D14" s="24">
        <f>_xlfn.XLOOKUP(B14, [2]PEP!$B:$B,[2]PEP!$G:$G)</f>
        <v>0.98425196850393704</v>
      </c>
      <c r="E14" s="43"/>
    </row>
    <row r="15" spans="1:5" ht="15">
      <c r="A15" s="3">
        <v>13</v>
      </c>
      <c r="B15" s="16" t="s">
        <v>49</v>
      </c>
      <c r="C15" s="3" t="s">
        <v>24</v>
      </c>
      <c r="D15" s="24">
        <f>_xlfn.XLOOKUP(B15, [2]PEP!$B:$B,[2]PEP!$G:$G)</f>
        <v>1</v>
      </c>
      <c r="E15" s="43"/>
    </row>
    <row r="16" spans="1:5" ht="15">
      <c r="A16" s="3">
        <v>14</v>
      </c>
      <c r="B16" s="17" t="s">
        <v>50</v>
      </c>
      <c r="C16" s="3" t="s">
        <v>24</v>
      </c>
      <c r="D16" s="24">
        <f>_xlfn.XLOOKUP(B16, [2]PEP!$B:$B,[2]PEP!$G:$G)</f>
        <v>0.94736842105263153</v>
      </c>
      <c r="E16" s="44"/>
    </row>
  </sheetData>
  <mergeCells count="2">
    <mergeCell ref="D1:E1"/>
    <mergeCell ref="E3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0102-1E14-4DB8-B569-BED22AB32A7F}">
  <sheetPr codeName="Sheet3">
    <tabColor theme="6" tint="-0.249977111117893"/>
  </sheetPr>
  <dimension ref="A1:E16"/>
  <sheetViews>
    <sheetView workbookViewId="0">
      <selection activeCell="B13" sqref="B1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6" bestFit="1" customWidth="1"/>
    <col min="5" max="5" width="15.28515625" bestFit="1" customWidth="1"/>
  </cols>
  <sheetData>
    <row r="1" spans="1:5" ht="14.45" customHeight="1">
      <c r="D1" s="41">
        <v>46280</v>
      </c>
      <c r="E1" s="41"/>
    </row>
    <row r="2" spans="1:5" ht="15">
      <c r="A2" s="4" t="s">
        <v>32</v>
      </c>
      <c r="B2" s="4" t="s">
        <v>33</v>
      </c>
      <c r="C2" s="4" t="s">
        <v>34</v>
      </c>
      <c r="D2" s="23" t="s">
        <v>51</v>
      </c>
      <c r="E2" s="18" t="s">
        <v>36</v>
      </c>
    </row>
    <row r="3" spans="1:5">
      <c r="A3" s="3">
        <v>1</v>
      </c>
      <c r="B3" s="1" t="s">
        <v>37</v>
      </c>
      <c r="C3" s="3" t="s">
        <v>24</v>
      </c>
      <c r="D3" s="3">
        <f>_xlfn.XLOOKUP(B3, '[2]Bad Data'!$B:$B, '[2]Bad Data'!$D:$D)</f>
        <v>1.91E-3</v>
      </c>
      <c r="E3" s="42">
        <f>AVERAGE(D3:D16)</f>
        <v>2.1949999999999999E-3</v>
      </c>
    </row>
    <row r="4" spans="1:5">
      <c r="A4" s="3">
        <v>2</v>
      </c>
      <c r="B4" s="1" t="s">
        <v>38</v>
      </c>
      <c r="C4" s="3" t="s">
        <v>24</v>
      </c>
      <c r="D4" s="3">
        <f>_xlfn.XLOOKUP(B4, '[2]Bad Data'!$B:$B, '[2]Bad Data'!$D:$D)</f>
        <v>3.16E-3</v>
      </c>
      <c r="E4" s="43"/>
    </row>
    <row r="5" spans="1:5">
      <c r="A5" s="3">
        <v>3</v>
      </c>
      <c r="B5" s="1" t="s">
        <v>39</v>
      </c>
      <c r="C5" s="3" t="s">
        <v>24</v>
      </c>
      <c r="D5" s="3">
        <f>_xlfn.XLOOKUP(B5, '[2]Bad Data'!$B:$B, '[2]Bad Data'!$D:$D)</f>
        <v>6.8999999999999997E-4</v>
      </c>
      <c r="E5" s="43"/>
    </row>
    <row r="6" spans="1:5">
      <c r="A6" s="3">
        <v>4</v>
      </c>
      <c r="B6" s="1" t="s">
        <v>40</v>
      </c>
      <c r="C6" s="3" t="s">
        <v>24</v>
      </c>
      <c r="D6" s="3">
        <f>_xlfn.XLOOKUP(B6, '[2]Bad Data'!$B:$B, '[2]Bad Data'!$D:$D)</f>
        <v>3.0899999999999999E-3</v>
      </c>
      <c r="E6" s="43"/>
    </row>
    <row r="7" spans="1:5">
      <c r="A7" s="3">
        <v>5</v>
      </c>
      <c r="B7" s="1" t="s">
        <v>41</v>
      </c>
      <c r="C7" s="3" t="s">
        <v>24</v>
      </c>
      <c r="D7" s="3">
        <f>_xlfn.XLOOKUP(B7, '[2]Bad Data'!$B:$B, '[2]Bad Data'!$D:$D)</f>
        <v>3.29E-3</v>
      </c>
      <c r="E7" s="43"/>
    </row>
    <row r="8" spans="1:5">
      <c r="A8" s="3">
        <v>6</v>
      </c>
      <c r="B8" s="1" t="s">
        <v>42</v>
      </c>
      <c r="C8" s="3" t="s">
        <v>24</v>
      </c>
      <c r="D8" s="3">
        <f>_xlfn.XLOOKUP(B8, '[2]Bad Data'!$B:$B, '[2]Bad Data'!$D:$D)</f>
        <v>2.4499999999999999E-3</v>
      </c>
      <c r="E8" s="43"/>
    </row>
    <row r="9" spans="1:5">
      <c r="A9" s="3">
        <v>7</v>
      </c>
      <c r="B9" s="1" t="s">
        <v>43</v>
      </c>
      <c r="C9" s="3" t="s">
        <v>24</v>
      </c>
      <c r="D9" s="3">
        <f>_xlfn.XLOOKUP(B9, '[2]Bad Data'!$B:$B, '[2]Bad Data'!$D:$D)</f>
        <v>9.8999999999999999E-4</v>
      </c>
      <c r="E9" s="43"/>
    </row>
    <row r="10" spans="1:5">
      <c r="A10" s="3">
        <v>8</v>
      </c>
      <c r="B10" s="1" t="s">
        <v>44</v>
      </c>
      <c r="C10" s="3" t="s">
        <v>24</v>
      </c>
      <c r="D10" s="3">
        <f>_xlfn.XLOOKUP(B10, '[2]Bad Data'!$B:$B, '[2]Bad Data'!$D:$D)</f>
        <v>3.9300000000000003E-3</v>
      </c>
      <c r="E10" s="43"/>
    </row>
    <row r="11" spans="1:5">
      <c r="A11" s="3">
        <v>9</v>
      </c>
      <c r="B11" s="1" t="s">
        <v>45</v>
      </c>
      <c r="C11" s="3" t="s">
        <v>24</v>
      </c>
      <c r="D11" s="3">
        <f>_xlfn.XLOOKUP(B11, '[2]Bad Data'!$B:$B, '[2]Bad Data'!$D:$D)</f>
        <v>1.2199999999999999E-3</v>
      </c>
      <c r="E11" s="43"/>
    </row>
    <row r="12" spans="1:5">
      <c r="A12" s="3">
        <v>10</v>
      </c>
      <c r="B12" s="1" t="s">
        <v>46</v>
      </c>
      <c r="C12" s="3" t="s">
        <v>24</v>
      </c>
      <c r="D12" s="3">
        <f>_xlfn.XLOOKUP(B12, '[2]Bad Data'!$B:$B, '[2]Bad Data'!$D:$D)</f>
        <v>5.9000000000000003E-4</v>
      </c>
      <c r="E12" s="43"/>
    </row>
    <row r="13" spans="1:5">
      <c r="A13" s="3">
        <v>11</v>
      </c>
      <c r="B13" s="1" t="s">
        <v>47</v>
      </c>
      <c r="C13" s="3" t="s">
        <v>24</v>
      </c>
      <c r="D13" s="3">
        <f>_xlfn.XLOOKUP(B13, '[2]Bad Data'!$B:$B, '[2]Bad Data'!$D:$D)</f>
        <v>2.81E-3</v>
      </c>
      <c r="E13" s="43"/>
    </row>
    <row r="14" spans="1:5">
      <c r="A14" s="3">
        <v>12</v>
      </c>
      <c r="B14" s="1" t="s">
        <v>48</v>
      </c>
      <c r="C14" s="3" t="s">
        <v>24</v>
      </c>
      <c r="D14" s="3">
        <f>_xlfn.XLOOKUP(B14, '[2]Bad Data'!$B:$B, '[2]Bad Data'!$D:$D)</f>
        <v>2.6099999999999999E-3</v>
      </c>
      <c r="E14" s="43"/>
    </row>
    <row r="15" spans="1:5">
      <c r="A15" s="3">
        <v>13</v>
      </c>
      <c r="B15" s="1" t="s">
        <v>49</v>
      </c>
      <c r="C15" s="3" t="s">
        <v>24</v>
      </c>
      <c r="D15" s="3">
        <f>_xlfn.XLOOKUP(B15, '[2]Bad Data'!$B:$B, '[2]Bad Data'!$D:$D)</f>
        <v>3.2299999999999998E-3</v>
      </c>
      <c r="E15" s="43"/>
    </row>
    <row r="16" spans="1:5">
      <c r="A16" s="3">
        <v>14</v>
      </c>
      <c r="B16" s="1" t="s">
        <v>50</v>
      </c>
      <c r="C16" s="3" t="s">
        <v>24</v>
      </c>
      <c r="D16" s="3">
        <f>_xlfn.XLOOKUP(B16, '[2]Bad Data'!$B:$B, '[2]Bad Data'!$D:$D)</f>
        <v>7.6000000000000004E-4</v>
      </c>
      <c r="E16" s="44"/>
    </row>
  </sheetData>
  <mergeCells count="2">
    <mergeCell ref="D1:E1"/>
    <mergeCell ref="E3:E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 codeName="Sheet4">
    <tabColor theme="6" tint="-0.249977111117893"/>
  </sheetPr>
  <dimension ref="A1:E16"/>
  <sheetViews>
    <sheetView workbookViewId="0">
      <selection activeCell="D8" sqref="D8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6" bestFit="1" customWidth="1"/>
    <col min="5" max="5" width="11.28515625" bestFit="1" customWidth="1"/>
  </cols>
  <sheetData>
    <row r="1" spans="1:5" ht="15">
      <c r="D1" s="41">
        <v>46280</v>
      </c>
      <c r="E1" s="41"/>
    </row>
    <row r="2" spans="1:5">
      <c r="A2" s="4" t="s">
        <v>32</v>
      </c>
      <c r="B2" s="4" t="s">
        <v>33</v>
      </c>
      <c r="C2" s="4" t="s">
        <v>34</v>
      </c>
      <c r="D2" s="23" t="s">
        <v>52</v>
      </c>
      <c r="E2" s="18" t="s">
        <v>36</v>
      </c>
    </row>
    <row r="3" spans="1:5">
      <c r="A3" s="3">
        <v>1</v>
      </c>
      <c r="B3" s="1" t="s">
        <v>37</v>
      </c>
      <c r="C3" s="3" t="s">
        <v>24</v>
      </c>
      <c r="D3" s="24">
        <f>_xlfn.XLOOKUP(B3,'[2]Pengkinian Data'!$B:$B,'[2]Pengkinian Data'!$E:$E)</f>
        <v>0.97150000000000003</v>
      </c>
      <c r="E3" s="42">
        <f>AVERAGE(D3:D16)</f>
        <v>0.98232857142857155</v>
      </c>
    </row>
    <row r="4" spans="1:5">
      <c r="A4" s="3">
        <v>2</v>
      </c>
      <c r="B4" s="1" t="s">
        <v>38</v>
      </c>
      <c r="C4" s="3" t="s">
        <v>24</v>
      </c>
      <c r="D4" s="24">
        <f>_xlfn.XLOOKUP(B4,'[2]Pengkinian Data'!$B:$B,'[2]Pengkinian Data'!$E:$E)</f>
        <v>0.9516</v>
      </c>
      <c r="E4" s="43"/>
    </row>
    <row r="5" spans="1:5">
      <c r="A5" s="3">
        <v>3</v>
      </c>
      <c r="B5" s="1" t="s">
        <v>39</v>
      </c>
      <c r="C5" s="3" t="s">
        <v>24</v>
      </c>
      <c r="D5" s="24">
        <f>_xlfn.XLOOKUP(B5,'[2]Pengkinian Data'!$B:$B,'[2]Pengkinian Data'!$E:$E)</f>
        <v>0.99980000000000002</v>
      </c>
      <c r="E5" s="43"/>
    </row>
    <row r="6" spans="1:5">
      <c r="A6" s="3">
        <v>4</v>
      </c>
      <c r="B6" s="1" t="s">
        <v>40</v>
      </c>
      <c r="C6" s="3" t="s">
        <v>24</v>
      </c>
      <c r="D6" s="24">
        <f>_xlfn.XLOOKUP(B6,'[2]Pengkinian Data'!$B:$B,'[2]Pengkinian Data'!$E:$E)</f>
        <v>0.97230000000000005</v>
      </c>
      <c r="E6" s="43"/>
    </row>
    <row r="7" spans="1:5">
      <c r="A7" s="3">
        <v>5</v>
      </c>
      <c r="B7" s="1" t="s">
        <v>41</v>
      </c>
      <c r="C7" s="3" t="s">
        <v>24</v>
      </c>
      <c r="D7" s="24">
        <f>_xlfn.XLOOKUP(B7,'[2]Pengkinian Data'!$B:$B,'[2]Pengkinian Data'!$E:$E)</f>
        <v>0.99429999999999996</v>
      </c>
      <c r="E7" s="43"/>
    </row>
    <row r="8" spans="1:5">
      <c r="A8" s="3">
        <v>6</v>
      </c>
      <c r="B8" s="1" t="s">
        <v>42</v>
      </c>
      <c r="C8" s="3" t="s">
        <v>24</v>
      </c>
      <c r="D8" s="24">
        <f>_xlfn.XLOOKUP(B8,'[2]Pengkinian Data'!$B:$B,'[2]Pengkinian Data'!$E:$E)</f>
        <v>0.96399999999999997</v>
      </c>
      <c r="E8" s="43"/>
    </row>
    <row r="9" spans="1:5">
      <c r="A9" s="3">
        <v>7</v>
      </c>
      <c r="B9" s="1" t="s">
        <v>43</v>
      </c>
      <c r="C9" s="3" t="s">
        <v>24</v>
      </c>
      <c r="D9" s="24">
        <f>_xlfn.XLOOKUP(B9,'[2]Pengkinian Data'!$B:$B,'[2]Pengkinian Data'!$E:$E)</f>
        <v>1</v>
      </c>
      <c r="E9" s="43"/>
    </row>
    <row r="10" spans="1:5">
      <c r="A10" s="3">
        <v>8</v>
      </c>
      <c r="B10" s="1" t="s">
        <v>44</v>
      </c>
      <c r="C10" s="3" t="s">
        <v>24</v>
      </c>
      <c r="D10" s="24">
        <f>_xlfn.XLOOKUP(B10,'[2]Pengkinian Data'!$B:$B,'[2]Pengkinian Data'!$E:$E)</f>
        <v>0.99580000000000002</v>
      </c>
      <c r="E10" s="43"/>
    </row>
    <row r="11" spans="1:5">
      <c r="A11" s="3">
        <v>9</v>
      </c>
      <c r="B11" s="1" t="s">
        <v>45</v>
      </c>
      <c r="C11" s="3" t="s">
        <v>24</v>
      </c>
      <c r="D11" s="24">
        <f>_xlfn.XLOOKUP(B11,'[2]Pengkinian Data'!$B:$B,'[2]Pengkinian Data'!$E:$E)</f>
        <v>0.99119999999999997</v>
      </c>
      <c r="E11" s="43"/>
    </row>
    <row r="12" spans="1:5">
      <c r="A12" s="3">
        <v>10</v>
      </c>
      <c r="B12" s="1" t="s">
        <v>46</v>
      </c>
      <c r="C12" s="3" t="s">
        <v>24</v>
      </c>
      <c r="D12" s="24">
        <f>_xlfn.XLOOKUP(B12,'[2]Pengkinian Data'!$B:$B,'[2]Pengkinian Data'!$E:$E)</f>
        <v>0.99960000000000004</v>
      </c>
      <c r="E12" s="43"/>
    </row>
    <row r="13" spans="1:5">
      <c r="A13" s="3">
        <v>11</v>
      </c>
      <c r="B13" s="1" t="s">
        <v>47</v>
      </c>
      <c r="C13" s="3" t="s">
        <v>24</v>
      </c>
      <c r="D13" s="24">
        <f>_xlfn.XLOOKUP(B13,'[2]Pengkinian Data'!$B:$B,'[2]Pengkinian Data'!$E:$E)</f>
        <v>0.96389999999999998</v>
      </c>
      <c r="E13" s="43"/>
    </row>
    <row r="14" spans="1:5">
      <c r="A14" s="3">
        <v>12</v>
      </c>
      <c r="B14" s="1" t="s">
        <v>48</v>
      </c>
      <c r="C14" s="3" t="s">
        <v>24</v>
      </c>
      <c r="D14" s="24">
        <f>_xlfn.XLOOKUP(B14,'[2]Pengkinian Data'!$B:$B,'[2]Pengkinian Data'!$E:$E)</f>
        <v>0.96860000000000002</v>
      </c>
      <c r="E14" s="43"/>
    </row>
    <row r="15" spans="1:5">
      <c r="A15" s="3">
        <v>13</v>
      </c>
      <c r="B15" s="1" t="s">
        <v>49</v>
      </c>
      <c r="C15" s="3" t="s">
        <v>24</v>
      </c>
      <c r="D15" s="24">
        <f>_xlfn.XLOOKUP(B15,'[2]Pengkinian Data'!$B:$B,'[2]Pengkinian Data'!$E:$E)</f>
        <v>0.98089999999999999</v>
      </c>
      <c r="E15" s="43"/>
    </row>
    <row r="16" spans="1:5">
      <c r="A16" s="3">
        <v>14</v>
      </c>
      <c r="B16" s="1" t="s">
        <v>50</v>
      </c>
      <c r="C16" s="3" t="s">
        <v>24</v>
      </c>
      <c r="D16" s="24">
        <f>_xlfn.XLOOKUP(B16,'[2]Pengkinian Data'!$B:$B,'[2]Pengkinian Data'!$E:$E)</f>
        <v>0.99909999999999999</v>
      </c>
      <c r="E16" s="44"/>
    </row>
  </sheetData>
  <mergeCells count="2">
    <mergeCell ref="D1:E1"/>
    <mergeCell ref="E3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sheetPr codeName="Sheet5"/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32</v>
      </c>
      <c r="B1" s="4" t="s">
        <v>33</v>
      </c>
      <c r="C1" s="4" t="s">
        <v>34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</row>
    <row r="2" spans="1:9">
      <c r="A2" s="3">
        <v>1</v>
      </c>
      <c r="B2" s="1" t="s">
        <v>59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60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61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62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63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64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65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66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67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68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69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70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71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72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73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74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75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76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77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78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79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80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81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82</v>
      </c>
      <c r="C25" s="3"/>
      <c r="D25" s="3"/>
      <c r="E25" s="3"/>
      <c r="F25" s="3"/>
      <c r="G25" s="3"/>
      <c r="H25" s="3"/>
      <c r="I25" s="3"/>
    </row>
    <row r="27" spans="1:9">
      <c r="B27" s="5" t="s">
        <v>83</v>
      </c>
    </row>
    <row r="28" spans="1:9">
      <c r="B28" s="5" t="s">
        <v>84</v>
      </c>
    </row>
    <row r="29" spans="1:9">
      <c r="B29" s="6" t="s">
        <v>85</v>
      </c>
    </row>
    <row r="31" spans="1:9">
      <c r="B31" t="s">
        <v>86</v>
      </c>
    </row>
    <row r="32" spans="1:9">
      <c r="B32" t="s">
        <v>87</v>
      </c>
    </row>
    <row r="33" spans="2:2">
      <c r="B33" t="s">
        <v>88</v>
      </c>
    </row>
    <row r="34" spans="2:2">
      <c r="B34" t="s">
        <v>89</v>
      </c>
    </row>
    <row r="35" spans="2:2">
      <c r="B35" t="s">
        <v>90</v>
      </c>
    </row>
    <row r="36" spans="2:2">
      <c r="B36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 codeName="Sheet6">
    <tabColor theme="8"/>
  </sheetPr>
  <dimension ref="A1:G39"/>
  <sheetViews>
    <sheetView workbookViewId="0">
      <selection activeCell="D3" sqref="D3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7" s="7" customFormat="1">
      <c r="A1" s="45" t="s">
        <v>32</v>
      </c>
      <c r="B1" s="45" t="s">
        <v>33</v>
      </c>
      <c r="C1" s="45" t="s">
        <v>34</v>
      </c>
      <c r="D1" s="45" t="s">
        <v>92</v>
      </c>
      <c r="E1" s="45" t="s">
        <v>55</v>
      </c>
      <c r="F1" s="45" t="s">
        <v>58</v>
      </c>
    </row>
    <row r="2" spans="1:7" s="7" customFormat="1">
      <c r="A2" s="46"/>
      <c r="B2" s="46"/>
      <c r="C2" s="46"/>
      <c r="D2" s="46"/>
      <c r="E2" s="46"/>
      <c r="F2" s="46"/>
    </row>
    <row r="3" spans="1:7">
      <c r="A3" s="3">
        <v>1</v>
      </c>
      <c r="B3" s="1" t="s">
        <v>93</v>
      </c>
      <c r="C3" s="3" t="s">
        <v>24</v>
      </c>
      <c r="D3" s="3"/>
      <c r="E3" s="3"/>
      <c r="F3" s="3"/>
      <c r="G3" t="s">
        <v>94</v>
      </c>
    </row>
    <row r="4" spans="1:7">
      <c r="A4" s="3"/>
      <c r="B4" s="1"/>
      <c r="C4" s="3"/>
      <c r="D4" s="3"/>
      <c r="E4" s="3"/>
      <c r="F4" s="3"/>
    </row>
    <row r="5" spans="1:7">
      <c r="A5" s="3"/>
      <c r="B5" s="1"/>
      <c r="C5" s="3"/>
      <c r="D5" s="3"/>
      <c r="E5" s="3"/>
      <c r="F5" s="3"/>
    </row>
    <row r="6" spans="1:7">
      <c r="A6" s="3"/>
      <c r="B6" s="1"/>
      <c r="C6" s="3"/>
      <c r="D6" s="3"/>
      <c r="E6" s="3"/>
      <c r="F6" s="3"/>
    </row>
    <row r="7" spans="1:7">
      <c r="A7" s="3"/>
      <c r="B7" s="1"/>
      <c r="C7" s="3"/>
      <c r="D7" s="3"/>
      <c r="E7" s="3"/>
      <c r="F7" s="3"/>
    </row>
    <row r="8" spans="1:7">
      <c r="A8" s="3"/>
      <c r="B8" s="1"/>
      <c r="C8" s="3"/>
      <c r="D8" s="3"/>
      <c r="E8" s="3"/>
      <c r="F8" s="3"/>
    </row>
    <row r="9" spans="1:7">
      <c r="A9" s="3"/>
      <c r="B9" s="1"/>
      <c r="C9" s="3"/>
      <c r="D9" s="3"/>
      <c r="E9" s="3"/>
      <c r="F9" s="3"/>
    </row>
    <row r="10" spans="1:7">
      <c r="A10" s="3"/>
      <c r="B10" s="1"/>
      <c r="C10" s="3"/>
      <c r="D10" s="3"/>
      <c r="E10" s="3"/>
      <c r="F10" s="3"/>
    </row>
    <row r="11" spans="1:7">
      <c r="A11" s="3"/>
      <c r="B11" s="1"/>
      <c r="C11" s="3"/>
      <c r="D11" s="3"/>
      <c r="E11" s="3"/>
      <c r="F11" s="3"/>
    </row>
    <row r="12" spans="1:7">
      <c r="A12" s="3"/>
      <c r="B12" s="1"/>
      <c r="C12" s="3"/>
      <c r="D12" s="3"/>
      <c r="E12" s="3"/>
      <c r="F12" s="3"/>
    </row>
    <row r="13" spans="1:7">
      <c r="A13" s="3"/>
      <c r="B13" s="1"/>
      <c r="C13" s="3"/>
      <c r="D13" s="3"/>
      <c r="E13" s="3"/>
      <c r="F13" s="3"/>
    </row>
    <row r="14" spans="1:7">
      <c r="A14" s="3"/>
      <c r="B14" s="1"/>
      <c r="C14" s="3"/>
      <c r="D14" s="3"/>
      <c r="E14" s="3"/>
      <c r="F14" s="3"/>
    </row>
    <row r="15" spans="1:7">
      <c r="A15" s="3"/>
      <c r="B15" s="1"/>
      <c r="C15" s="3"/>
      <c r="D15" s="3"/>
      <c r="E15" s="3"/>
      <c r="F15" s="3"/>
    </row>
    <row r="16" spans="1:7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83</v>
      </c>
    </row>
    <row r="30" spans="1:6">
      <c r="B30" s="5" t="s">
        <v>84</v>
      </c>
    </row>
    <row r="31" spans="1:6">
      <c r="B31" s="6" t="s">
        <v>95</v>
      </c>
    </row>
    <row r="34" spans="2:2">
      <c r="B34" t="s">
        <v>86</v>
      </c>
    </row>
    <row r="35" spans="2:2">
      <c r="B35" t="s">
        <v>87</v>
      </c>
    </row>
    <row r="36" spans="2:2">
      <c r="B36" t="s">
        <v>88</v>
      </c>
    </row>
    <row r="37" spans="2:2">
      <c r="B37" t="s">
        <v>89</v>
      </c>
    </row>
    <row r="38" spans="2:2">
      <c r="B38" t="s">
        <v>96</v>
      </c>
    </row>
    <row r="39" spans="2:2">
      <c r="B39" t="s">
        <v>97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2826-6605-40B8-BFEB-03E455A2EE78}">
  <sheetPr codeName="Sheet7"/>
  <dimension ref="A1:H15"/>
  <sheetViews>
    <sheetView workbookViewId="0">
      <selection activeCell="G2" sqref="G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>
      <c r="A1" s="4" t="s">
        <v>32</v>
      </c>
      <c r="B1" s="4" t="s">
        <v>33</v>
      </c>
      <c r="C1" s="4" t="s">
        <v>34</v>
      </c>
      <c r="D1" s="18" t="s">
        <v>98</v>
      </c>
      <c r="E1" s="18" t="s">
        <v>98</v>
      </c>
      <c r="F1" s="18" t="s">
        <v>99</v>
      </c>
    </row>
    <row r="2" spans="1:8">
      <c r="A2" s="3">
        <v>1</v>
      </c>
      <c r="B2" s="15" t="s">
        <v>37</v>
      </c>
      <c r="C2" s="3" t="s">
        <v>24</v>
      </c>
      <c r="D2" s="19">
        <v>8.5120000000000005</v>
      </c>
      <c r="E2" s="47">
        <f>AVERAGE(D2:D15)</f>
        <v>7.6315714285714282</v>
      </c>
      <c r="F2" s="50" t="s">
        <v>100</v>
      </c>
      <c r="G2" s="21"/>
      <c r="H2" s="21"/>
    </row>
    <row r="3" spans="1:8">
      <c r="A3" s="3">
        <v>2</v>
      </c>
      <c r="B3" s="16" t="s">
        <v>101</v>
      </c>
      <c r="C3" s="3" t="s">
        <v>24</v>
      </c>
      <c r="D3" s="19">
        <v>7.1920000000000002</v>
      </c>
      <c r="E3" s="48"/>
      <c r="F3" s="48"/>
      <c r="G3" s="21"/>
      <c r="H3" s="21"/>
    </row>
    <row r="4" spans="1:8">
      <c r="A4" s="3">
        <v>3</v>
      </c>
      <c r="B4" s="16" t="s">
        <v>39</v>
      </c>
      <c r="C4" s="3" t="s">
        <v>24</v>
      </c>
      <c r="D4" s="19">
        <v>7.4930000000000003</v>
      </c>
      <c r="E4" s="48"/>
      <c r="F4" s="48"/>
      <c r="G4" s="21"/>
      <c r="H4" s="21"/>
    </row>
    <row r="5" spans="1:8">
      <c r="A5" s="3">
        <v>4</v>
      </c>
      <c r="B5" s="16" t="s">
        <v>40</v>
      </c>
      <c r="C5" s="3" t="s">
        <v>24</v>
      </c>
      <c r="D5" s="19">
        <v>7.2919999999999998</v>
      </c>
      <c r="E5" s="48"/>
      <c r="F5" s="48"/>
      <c r="G5" s="21"/>
      <c r="H5" s="21"/>
    </row>
    <row r="6" spans="1:8">
      <c r="A6" s="3">
        <v>5</v>
      </c>
      <c r="B6" s="16" t="s">
        <v>41</v>
      </c>
      <c r="C6" s="3" t="s">
        <v>24</v>
      </c>
      <c r="D6" s="19">
        <v>7.42</v>
      </c>
      <c r="E6" s="48"/>
      <c r="F6" s="48"/>
      <c r="G6" s="21"/>
      <c r="H6" s="21"/>
    </row>
    <row r="7" spans="1:8">
      <c r="A7" s="3">
        <v>6</v>
      </c>
      <c r="B7" s="16" t="s">
        <v>42</v>
      </c>
      <c r="C7" s="3" t="s">
        <v>24</v>
      </c>
      <c r="D7" s="19">
        <v>9.3829999999999991</v>
      </c>
      <c r="E7" s="48"/>
      <c r="F7" s="48"/>
      <c r="G7" s="21"/>
      <c r="H7" s="21"/>
    </row>
    <row r="8" spans="1:8">
      <c r="A8" s="3">
        <v>7</v>
      </c>
      <c r="B8" s="16" t="s">
        <v>43</v>
      </c>
      <c r="C8" s="3" t="s">
        <v>24</v>
      </c>
      <c r="D8" s="19">
        <v>5.4550000000000001</v>
      </c>
      <c r="E8" s="48"/>
      <c r="F8" s="48"/>
      <c r="G8" s="21"/>
      <c r="H8" s="21"/>
    </row>
    <row r="9" spans="1:8">
      <c r="A9" s="3">
        <v>8</v>
      </c>
      <c r="B9" s="16" t="s">
        <v>44</v>
      </c>
      <c r="C9" s="3" t="s">
        <v>24</v>
      </c>
      <c r="D9" s="19">
        <v>8.4480000000000004</v>
      </c>
      <c r="E9" s="48"/>
      <c r="F9" s="48"/>
      <c r="G9" s="21"/>
      <c r="H9" s="21"/>
    </row>
    <row r="10" spans="1:8">
      <c r="A10" s="3">
        <v>9</v>
      </c>
      <c r="B10" s="16" t="s">
        <v>45</v>
      </c>
      <c r="C10" s="3" t="s">
        <v>24</v>
      </c>
      <c r="D10" s="19">
        <v>8.2370000000000001</v>
      </c>
      <c r="E10" s="48"/>
      <c r="F10" s="48"/>
      <c r="G10" s="21"/>
      <c r="H10" s="21"/>
    </row>
    <row r="11" spans="1:8">
      <c r="A11" s="3">
        <v>10</v>
      </c>
      <c r="B11" s="16" t="s">
        <v>102</v>
      </c>
      <c r="C11" s="3" t="s">
        <v>24</v>
      </c>
      <c r="D11" s="19">
        <v>8.0749999999999993</v>
      </c>
      <c r="E11" s="48"/>
      <c r="F11" s="48"/>
      <c r="G11" s="21"/>
      <c r="H11" s="21"/>
    </row>
    <row r="12" spans="1:8">
      <c r="A12" s="3">
        <v>11</v>
      </c>
      <c r="B12" s="16" t="s">
        <v>47</v>
      </c>
      <c r="C12" s="3" t="s">
        <v>24</v>
      </c>
      <c r="D12" s="19">
        <v>7.5880000000000001</v>
      </c>
      <c r="E12" s="48"/>
      <c r="F12" s="48"/>
      <c r="G12" s="21"/>
      <c r="H12" s="21"/>
    </row>
    <row r="13" spans="1:8">
      <c r="A13" s="3">
        <v>12</v>
      </c>
      <c r="B13" s="16" t="s">
        <v>48</v>
      </c>
      <c r="C13" s="3" t="s">
        <v>24</v>
      </c>
      <c r="D13" s="19">
        <v>6.9050000000000002</v>
      </c>
      <c r="E13" s="48"/>
      <c r="F13" s="48"/>
      <c r="G13" s="21"/>
      <c r="H13" s="21"/>
    </row>
    <row r="14" spans="1:8">
      <c r="A14" s="3">
        <v>13</v>
      </c>
      <c r="B14" s="16" t="s">
        <v>49</v>
      </c>
      <c r="C14" s="3" t="s">
        <v>24</v>
      </c>
      <c r="D14" s="19">
        <v>8.1010000000000009</v>
      </c>
      <c r="E14" s="48"/>
      <c r="F14" s="48"/>
      <c r="G14" s="21"/>
      <c r="H14" s="21"/>
    </row>
    <row r="15" spans="1:8">
      <c r="A15" s="3">
        <v>14</v>
      </c>
      <c r="B15" s="17" t="s">
        <v>50</v>
      </c>
      <c r="C15" s="3" t="s">
        <v>24</v>
      </c>
      <c r="D15" s="19">
        <v>6.7409999999999997</v>
      </c>
      <c r="E15" s="49"/>
      <c r="F15" s="49"/>
      <c r="G15" s="21"/>
      <c r="H15" s="21"/>
    </row>
  </sheetData>
  <autoFilter ref="A1:D1" xr:uid="{FD9A7B95-F124-4CE6-993C-88740F8340E7}">
    <sortState xmlns:xlrd2="http://schemas.microsoft.com/office/spreadsheetml/2017/richdata2" ref="A2:D25">
      <sortCondition ref="B1"/>
    </sortState>
  </autoFilter>
  <mergeCells count="2">
    <mergeCell ref="E2:E15"/>
    <mergeCell ref="F2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A4BF-E158-4573-9FE6-91518D44A3DA}">
  <sheetPr codeName="Sheet8"/>
  <dimension ref="A1:H15"/>
  <sheetViews>
    <sheetView workbookViewId="0">
      <selection activeCell="F2" sqref="F2:F15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4" t="s">
        <v>32</v>
      </c>
      <c r="B1" s="4" t="s">
        <v>33</v>
      </c>
      <c r="C1" s="4" t="s">
        <v>34</v>
      </c>
      <c r="D1" s="18" t="s">
        <v>103</v>
      </c>
      <c r="E1" s="18" t="s">
        <v>104</v>
      </c>
      <c r="F1" s="18" t="s">
        <v>105</v>
      </c>
    </row>
    <row r="2" spans="1:8">
      <c r="A2" s="3">
        <v>1</v>
      </c>
      <c r="B2" s="15" t="s">
        <v>37</v>
      </c>
      <c r="C2" s="22" t="s">
        <v>24</v>
      </c>
      <c r="D2" s="19">
        <v>5.9790000000000001</v>
      </c>
      <c r="E2" s="47">
        <f>AVERAGE(D2:D15)</f>
        <v>5.5730714285714287</v>
      </c>
      <c r="F2" s="47" t="s">
        <v>106</v>
      </c>
      <c r="G2" s="21"/>
      <c r="H2" s="21"/>
    </row>
    <row r="3" spans="1:8">
      <c r="A3" s="3">
        <v>2</v>
      </c>
      <c r="B3" s="16" t="s">
        <v>101</v>
      </c>
      <c r="C3" s="22" t="s">
        <v>24</v>
      </c>
      <c r="D3" s="19">
        <v>6.1239999999999997</v>
      </c>
      <c r="E3" s="48"/>
      <c r="F3" s="48"/>
      <c r="G3" s="21"/>
      <c r="H3" s="21"/>
    </row>
    <row r="4" spans="1:8">
      <c r="A4" s="3">
        <v>3</v>
      </c>
      <c r="B4" s="16" t="s">
        <v>39</v>
      </c>
      <c r="C4" s="22" t="s">
        <v>24</v>
      </c>
      <c r="D4" s="19">
        <v>4.7430000000000003</v>
      </c>
      <c r="E4" s="48"/>
      <c r="F4" s="48"/>
      <c r="G4" s="21"/>
      <c r="H4" s="21"/>
    </row>
    <row r="5" spans="1:8">
      <c r="A5" s="3">
        <v>4</v>
      </c>
      <c r="B5" s="16" t="s">
        <v>40</v>
      </c>
      <c r="C5" s="22" t="s">
        <v>24</v>
      </c>
      <c r="D5" s="19">
        <v>5.7009999999999996</v>
      </c>
      <c r="E5" s="48"/>
      <c r="F5" s="48"/>
      <c r="G5" s="21"/>
      <c r="H5" s="21"/>
    </row>
    <row r="6" spans="1:8">
      <c r="A6" s="3">
        <v>5</v>
      </c>
      <c r="B6" s="16" t="s">
        <v>41</v>
      </c>
      <c r="C6" s="22" t="s">
        <v>24</v>
      </c>
      <c r="D6" s="19">
        <v>4.7430000000000003</v>
      </c>
      <c r="E6" s="48"/>
      <c r="F6" s="48"/>
      <c r="G6" s="21"/>
      <c r="H6" s="21"/>
    </row>
    <row r="7" spans="1:8">
      <c r="A7" s="3">
        <v>6</v>
      </c>
      <c r="B7" s="16" t="s">
        <v>42</v>
      </c>
      <c r="C7" s="22" t="s">
        <v>24</v>
      </c>
      <c r="D7" s="19">
        <v>5.7009999999999996</v>
      </c>
      <c r="E7" s="48"/>
      <c r="F7" s="48"/>
      <c r="G7" s="21"/>
      <c r="H7" s="21"/>
    </row>
    <row r="8" spans="1:8">
      <c r="A8" s="3">
        <v>7</v>
      </c>
      <c r="B8" s="16" t="s">
        <v>43</v>
      </c>
      <c r="C8" s="22" t="s">
        <v>24</v>
      </c>
      <c r="D8" s="19">
        <v>6.2050000000000001</v>
      </c>
      <c r="E8" s="48"/>
      <c r="F8" s="48"/>
      <c r="G8" s="21"/>
      <c r="H8" s="21"/>
    </row>
    <row r="9" spans="1:8">
      <c r="A9" s="3">
        <v>8</v>
      </c>
      <c r="B9" s="16" t="s">
        <v>44</v>
      </c>
      <c r="C9" s="22" t="s">
        <v>24</v>
      </c>
      <c r="D9" s="19">
        <v>5.2439999999999998</v>
      </c>
      <c r="E9" s="48"/>
      <c r="F9" s="48"/>
      <c r="G9" s="21"/>
      <c r="H9" s="21"/>
    </row>
    <row r="10" spans="1:8">
      <c r="A10" s="3">
        <v>9</v>
      </c>
      <c r="B10" s="16" t="s">
        <v>45</v>
      </c>
      <c r="C10" s="22" t="s">
        <v>24</v>
      </c>
      <c r="D10" s="19">
        <v>5.7009999999999996</v>
      </c>
      <c r="E10" s="48"/>
      <c r="F10" s="48"/>
      <c r="G10" s="21"/>
      <c r="H10" s="21"/>
    </row>
    <row r="11" spans="1:8">
      <c r="A11" s="3">
        <v>10</v>
      </c>
      <c r="B11" s="16" t="s">
        <v>102</v>
      </c>
      <c r="C11" s="22" t="s">
        <v>24</v>
      </c>
      <c r="D11" s="19">
        <v>6.2050000000000001</v>
      </c>
      <c r="E11" s="48"/>
      <c r="F11" s="48"/>
      <c r="G11" s="21"/>
      <c r="H11" s="21"/>
    </row>
    <row r="12" spans="1:8">
      <c r="A12" s="3">
        <v>11</v>
      </c>
      <c r="B12" s="16" t="s">
        <v>47</v>
      </c>
      <c r="C12" s="22" t="s">
        <v>24</v>
      </c>
      <c r="D12" s="19">
        <v>5.6120000000000001</v>
      </c>
      <c r="E12" s="48"/>
      <c r="F12" s="48"/>
      <c r="G12" s="21"/>
      <c r="H12" s="21"/>
    </row>
    <row r="13" spans="1:8">
      <c r="A13" s="3">
        <v>12</v>
      </c>
      <c r="B13" s="16" t="s">
        <v>48</v>
      </c>
      <c r="C13" s="22" t="s">
        <v>24</v>
      </c>
      <c r="D13" s="19">
        <v>4.7430000000000003</v>
      </c>
      <c r="E13" s="48"/>
      <c r="F13" s="48"/>
      <c r="G13" s="21"/>
      <c r="H13" s="21"/>
    </row>
    <row r="14" spans="1:8">
      <c r="A14" s="3">
        <v>13</v>
      </c>
      <c r="B14" s="16" t="s">
        <v>49</v>
      </c>
      <c r="C14" s="22" t="s">
        <v>24</v>
      </c>
      <c r="D14" s="19">
        <v>4.899</v>
      </c>
      <c r="E14" s="48"/>
      <c r="F14" s="48"/>
      <c r="G14" s="21"/>
      <c r="H14" s="21"/>
    </row>
    <row r="15" spans="1:8">
      <c r="A15" s="3">
        <v>14</v>
      </c>
      <c r="B15" s="17" t="s">
        <v>50</v>
      </c>
      <c r="C15" s="22" t="s">
        <v>24</v>
      </c>
      <c r="D15" s="19">
        <v>6.423</v>
      </c>
      <c r="E15" s="49"/>
      <c r="F15" s="49"/>
      <c r="G15" s="21"/>
      <c r="H15" s="21"/>
    </row>
  </sheetData>
  <autoFilter ref="A1:D1" xr:uid="{F294EAD7-2207-4EA2-A633-F6E085B1F34F}">
    <sortState xmlns:xlrd2="http://schemas.microsoft.com/office/spreadsheetml/2017/richdata2" ref="A2:D25">
      <sortCondition ref="B1"/>
    </sortState>
  </autoFilter>
  <mergeCells count="2">
    <mergeCell ref="E2:E15"/>
    <mergeCell ref="F2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BB9E-9EB2-4640-A176-CC8FFC981AA9}">
  <sheetPr codeName="Sheet9"/>
  <dimension ref="A1:H15"/>
  <sheetViews>
    <sheetView workbookViewId="0">
      <selection activeCell="C8" sqref="C8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4" t="s">
        <v>32</v>
      </c>
      <c r="B1" s="4" t="s">
        <v>33</v>
      </c>
      <c r="C1" s="4" t="s">
        <v>34</v>
      </c>
      <c r="D1" s="4" t="s">
        <v>107</v>
      </c>
      <c r="E1" s="4" t="s">
        <v>108</v>
      </c>
      <c r="F1" s="4" t="s">
        <v>109</v>
      </c>
    </row>
    <row r="2" spans="1:8">
      <c r="A2" s="3">
        <v>1</v>
      </c>
      <c r="B2" s="15" t="s">
        <v>37</v>
      </c>
      <c r="C2" s="3" t="s">
        <v>24</v>
      </c>
      <c r="D2" s="20">
        <v>8.875</v>
      </c>
      <c r="E2" s="47">
        <f>AVERAGE(D2:D15)</f>
        <v>8.875</v>
      </c>
      <c r="F2" s="47" t="s">
        <v>110</v>
      </c>
      <c r="G2" s="21"/>
      <c r="H2" s="21"/>
    </row>
    <row r="3" spans="1:8">
      <c r="A3" s="3">
        <v>2</v>
      </c>
      <c r="B3" s="16" t="s">
        <v>101</v>
      </c>
      <c r="C3" s="3" t="s">
        <v>24</v>
      </c>
      <c r="D3" s="20">
        <v>8.875</v>
      </c>
      <c r="E3" s="48"/>
      <c r="F3" s="48"/>
      <c r="G3" s="21"/>
      <c r="H3" s="21"/>
    </row>
    <row r="4" spans="1:8">
      <c r="A4" s="3">
        <v>3</v>
      </c>
      <c r="B4" s="16" t="s">
        <v>39</v>
      </c>
      <c r="C4" s="3" t="s">
        <v>24</v>
      </c>
      <c r="D4" s="20">
        <v>8.875</v>
      </c>
      <c r="E4" s="48"/>
      <c r="F4" s="48"/>
      <c r="G4" s="21"/>
      <c r="H4" s="21"/>
    </row>
    <row r="5" spans="1:8">
      <c r="A5" s="3">
        <v>4</v>
      </c>
      <c r="B5" s="16" t="s">
        <v>40</v>
      </c>
      <c r="C5" s="3" t="s">
        <v>24</v>
      </c>
      <c r="D5" s="20">
        <v>8.875</v>
      </c>
      <c r="E5" s="48"/>
      <c r="F5" s="48"/>
      <c r="G5" s="21"/>
      <c r="H5" s="21"/>
    </row>
    <row r="6" spans="1:8">
      <c r="A6" s="3">
        <v>5</v>
      </c>
      <c r="B6" s="16" t="s">
        <v>41</v>
      </c>
      <c r="C6" s="3" t="s">
        <v>24</v>
      </c>
      <c r="D6" s="20">
        <v>8.875</v>
      </c>
      <c r="E6" s="48"/>
      <c r="F6" s="48"/>
      <c r="G6" s="21"/>
      <c r="H6" s="21"/>
    </row>
    <row r="7" spans="1:8">
      <c r="A7" s="3">
        <v>6</v>
      </c>
      <c r="B7" s="16" t="s">
        <v>42</v>
      </c>
      <c r="C7" s="3" t="s">
        <v>24</v>
      </c>
      <c r="D7" s="20">
        <v>8.875</v>
      </c>
      <c r="E7" s="48"/>
      <c r="F7" s="48"/>
      <c r="G7" s="21"/>
      <c r="H7" s="21"/>
    </row>
    <row r="8" spans="1:8">
      <c r="A8" s="3">
        <v>7</v>
      </c>
      <c r="B8" s="16" t="s">
        <v>43</v>
      </c>
      <c r="C8" s="3" t="s">
        <v>24</v>
      </c>
      <c r="D8" s="20">
        <v>8.875</v>
      </c>
      <c r="E8" s="48"/>
      <c r="F8" s="48"/>
      <c r="G8" s="21"/>
      <c r="H8" s="21"/>
    </row>
    <row r="9" spans="1:8">
      <c r="A9" s="3">
        <v>8</v>
      </c>
      <c r="B9" s="16" t="s">
        <v>44</v>
      </c>
      <c r="C9" s="3" t="s">
        <v>24</v>
      </c>
      <c r="D9" s="20">
        <v>8.875</v>
      </c>
      <c r="E9" s="48"/>
      <c r="F9" s="48"/>
      <c r="G9" s="21"/>
      <c r="H9" s="21"/>
    </row>
    <row r="10" spans="1:8">
      <c r="A10" s="3">
        <v>9</v>
      </c>
      <c r="B10" s="16" t="s">
        <v>45</v>
      </c>
      <c r="C10" s="3" t="s">
        <v>24</v>
      </c>
      <c r="D10" s="20">
        <v>8.875</v>
      </c>
      <c r="E10" s="48"/>
      <c r="F10" s="48"/>
      <c r="G10" s="21"/>
      <c r="H10" s="21"/>
    </row>
    <row r="11" spans="1:8">
      <c r="A11" s="3">
        <v>10</v>
      </c>
      <c r="B11" s="16" t="s">
        <v>102</v>
      </c>
      <c r="C11" s="3" t="s">
        <v>24</v>
      </c>
      <c r="D11" s="20">
        <v>8.875</v>
      </c>
      <c r="E11" s="48"/>
      <c r="F11" s="48"/>
      <c r="G11" s="21"/>
      <c r="H11" s="21"/>
    </row>
    <row r="12" spans="1:8">
      <c r="A12" s="3">
        <v>11</v>
      </c>
      <c r="B12" s="16" t="s">
        <v>47</v>
      </c>
      <c r="C12" s="3" t="s">
        <v>24</v>
      </c>
      <c r="D12" s="20">
        <v>8.875</v>
      </c>
      <c r="E12" s="48"/>
      <c r="F12" s="48"/>
      <c r="G12" s="21"/>
      <c r="H12" s="21"/>
    </row>
    <row r="13" spans="1:8">
      <c r="A13" s="3">
        <v>12</v>
      </c>
      <c r="B13" s="16" t="s">
        <v>48</v>
      </c>
      <c r="C13" s="3" t="s">
        <v>24</v>
      </c>
      <c r="D13" s="20">
        <v>8.875</v>
      </c>
      <c r="E13" s="48"/>
      <c r="F13" s="48"/>
      <c r="G13" s="21"/>
      <c r="H13" s="21"/>
    </row>
    <row r="14" spans="1:8">
      <c r="A14" s="3">
        <v>13</v>
      </c>
      <c r="B14" s="16" t="s">
        <v>49</v>
      </c>
      <c r="C14" s="3" t="s">
        <v>24</v>
      </c>
      <c r="D14" s="20">
        <v>8.875</v>
      </c>
      <c r="E14" s="48"/>
      <c r="F14" s="48"/>
      <c r="G14" s="21"/>
      <c r="H14" s="21"/>
    </row>
    <row r="15" spans="1:8">
      <c r="A15" s="3">
        <v>14</v>
      </c>
      <c r="B15" s="17" t="s">
        <v>50</v>
      </c>
      <c r="C15" s="3" t="s">
        <v>24</v>
      </c>
      <c r="D15" s="20">
        <v>8.875</v>
      </c>
      <c r="E15" s="49"/>
      <c r="F15" s="49"/>
      <c r="G15" s="21"/>
      <c r="H15" s="21"/>
    </row>
  </sheetData>
  <autoFilter ref="A1:D1" xr:uid="{6981F627-9C8A-440F-9117-C65AEBF04DD7}">
    <sortState xmlns:xlrd2="http://schemas.microsoft.com/office/spreadsheetml/2017/richdata2" ref="A2:D25">
      <sortCondition ref="B1"/>
    </sortState>
  </autoFilter>
  <mergeCells count="2">
    <mergeCell ref="E2:E15"/>
    <mergeCell ref="F2:F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FE06-BB2D-403C-A3F2-584F1C36A767}">
  <dimension ref="A2:L15"/>
  <sheetViews>
    <sheetView tabSelected="1"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39" t="s">
        <v>111</v>
      </c>
      <c r="B2" s="39" t="s">
        <v>112</v>
      </c>
      <c r="C2" s="40" t="s">
        <v>24</v>
      </c>
      <c r="D2" s="40"/>
      <c r="E2" s="40"/>
    </row>
    <row r="3" spans="1:12">
      <c r="A3" s="39"/>
      <c r="B3" s="39"/>
      <c r="C3" s="25" t="s">
        <v>113</v>
      </c>
      <c r="D3" s="25" t="s">
        <v>114</v>
      </c>
      <c r="E3" s="25" t="s">
        <v>115</v>
      </c>
    </row>
    <row r="4" spans="1:12">
      <c r="A4" s="26">
        <v>1</v>
      </c>
      <c r="B4" s="27" t="s">
        <v>116</v>
      </c>
      <c r="C4" s="28">
        <f>IFERROR(COUNTIFS(STR!$V:$V, Overview!C$2, STR!$X:$X, "TRUE")/COUNTIFS(STR!$V:$V, Overview!C2), 0)</f>
        <v>0.96666666666666667</v>
      </c>
      <c r="D4" s="29">
        <v>0.15</v>
      </c>
      <c r="E4" s="28">
        <f>D4*C4</f>
        <v>0.14499999999999999</v>
      </c>
    </row>
    <row r="5" spans="1:12">
      <c r="A5" s="26">
        <v>2</v>
      </c>
      <c r="B5" s="27" t="s">
        <v>117</v>
      </c>
      <c r="C5" s="28">
        <f>1-AVERAGEIF('Bad Data'!$C:$C, Overview!C$2, 'Bad Data'!$D:$D)</f>
        <v>0.99780500000000005</v>
      </c>
      <c r="D5" s="29">
        <v>0.1</v>
      </c>
      <c r="E5" s="28">
        <f t="shared" ref="E5:E14" si="0">D5*C5</f>
        <v>9.9780500000000008E-2</v>
      </c>
    </row>
    <row r="6" spans="1:12">
      <c r="A6" s="26">
        <v>3</v>
      </c>
      <c r="B6" s="27" t="s">
        <v>118</v>
      </c>
      <c r="C6" s="28">
        <f>AVERAGEIF('Pengkinian Data'!$C:$C, Overview!C$2, 'Pengkinian Data'!$D:$D)</f>
        <v>0.98232857142857155</v>
      </c>
      <c r="D6" s="29">
        <v>0.1</v>
      </c>
      <c r="E6" s="28">
        <f t="shared" si="0"/>
        <v>9.8232857142857163E-2</v>
      </c>
      <c r="L6" t="s">
        <v>26</v>
      </c>
    </row>
    <row r="7" spans="1:12">
      <c r="A7" s="26">
        <v>4</v>
      </c>
      <c r="B7" s="27" t="s">
        <v>119</v>
      </c>
      <c r="C7" s="28" cm="1">
        <f t="array" ref="C7">IFERROR(SUMPRODUCT(--('[1]Uji Petik'!$E$3:$E$73&lt;&gt;""), --('[1]Uji Petik'!$C$3:$C$73=C2)) / SUMPRODUCT(--('[1]Uji Petik'!$C$3:$C$73=C2)), 0)</f>
        <v>0</v>
      </c>
      <c r="D7" s="29">
        <v>0</v>
      </c>
      <c r="E7" s="28">
        <f t="shared" si="0"/>
        <v>0</v>
      </c>
    </row>
    <row r="8" spans="1:12">
      <c r="A8" s="26">
        <v>5</v>
      </c>
      <c r="B8" s="27" t="s">
        <v>120</v>
      </c>
      <c r="C8" s="30" cm="1">
        <f t="array" ref="C8">IFERROR(AVERAGE(IF([2]Sosialisasi!$C$1:$C$10000=C2, [2]Sosialisasi!$D$1:$D$10000)), 0)</f>
        <v>0.5714285714285714</v>
      </c>
      <c r="D8" s="29">
        <v>0.15</v>
      </c>
      <c r="E8" s="28">
        <f t="shared" si="0"/>
        <v>8.5714285714285701E-2</v>
      </c>
    </row>
    <row r="9" spans="1:12">
      <c r="A9" s="26">
        <v>6</v>
      </c>
      <c r="B9" s="27" t="s">
        <v>121</v>
      </c>
      <c r="C9" s="28">
        <f>AVERAGEIF('EDD PEP PPATK'!$C:$C, Overview!C$2, 'EDD PEP PPATK'!$D:$D)</f>
        <v>0.99309193258737405</v>
      </c>
      <c r="D9" s="29">
        <v>0.1</v>
      </c>
      <c r="E9" s="28">
        <f t="shared" si="0"/>
        <v>9.930919325873741E-2</v>
      </c>
    </row>
    <row r="10" spans="1:12">
      <c r="A10" s="26">
        <v>7</v>
      </c>
      <c r="B10" s="27" t="s">
        <v>122</v>
      </c>
      <c r="C10" s="28" cm="1">
        <f t="array" ref="C10">IF(IFERROR(AVERAGE(IF('[2]Sheet2 (2)'!$C$1:$C$10000=C$2, '[2]Sheet2 (2)'!$D$1:$D$10000)), 0)&gt;0.9, 1, IFERROR(AVERAGE(IF('[2]Sheet2 (2)'!$C$1:$C$10000=C$2, '[2]Sheet2 (2)'!$D$1:$D$10000)), 0))</f>
        <v>1</v>
      </c>
      <c r="D10" s="29">
        <v>0.05</v>
      </c>
      <c r="E10" s="28">
        <f t="shared" si="0"/>
        <v>0.05</v>
      </c>
    </row>
    <row r="11" spans="1:12">
      <c r="A11" s="26">
        <v>8</v>
      </c>
      <c r="B11" s="27" t="s">
        <v>123</v>
      </c>
      <c r="C11" s="28" cm="1">
        <f t="array" ref="C11">IF(IFERROR(AVERAGE(IF('[2]Sheet2 (3)'!$C$1:$C$10000=C2, '[2]Sheet2 (3)'!$D$1:$D$10000)), 0)&gt;90, 1, IFERROR(AVERAGE(IF('[2]Sheet2 (3)'!$C$1:$C$10000=C2, '[2]Sheet2 (3)'!$D$1:$D$10000)), 0)/90)</f>
        <v>1</v>
      </c>
      <c r="D11" s="29">
        <v>0.05</v>
      </c>
      <c r="E11" s="28">
        <f t="shared" si="0"/>
        <v>0.05</v>
      </c>
    </row>
    <row r="12" spans="1:12">
      <c r="A12" s="26">
        <v>9</v>
      </c>
      <c r="B12" s="27" t="s">
        <v>124</v>
      </c>
      <c r="C12" s="28">
        <f>IF(AVERAGEIF('Nilai Maturitas'!$C:$C, Overview!C2, 'Nilai Maturitas'!$D:$D) &gt; 8, 110%, AVERAGEIF('Nilai Maturitas'!$C:$C, Overview!C2, 'Nilai Maturitas'!$D:$D)/8*100%)</f>
        <v>0.95394642857142853</v>
      </c>
      <c r="D12" s="29">
        <v>0.1</v>
      </c>
      <c r="E12" s="28">
        <f t="shared" si="0"/>
        <v>9.5394642857142858E-2</v>
      </c>
    </row>
    <row r="13" spans="1:12">
      <c r="A13" s="26">
        <v>10</v>
      </c>
      <c r="B13" s="27" t="s">
        <v>125</v>
      </c>
      <c r="C13" s="28">
        <f>IF(AVERAGEIF('Maturitas Dashboard'!$C:$C, Overview!C$2, 'Maturitas Dashboard'!$D:$D) &gt; 8, 110%, AVERAGEIF('Maturitas Dashboard'!$C:$C, Overview!C$2, 'Maturitas Dashboard'!$D:$D)/8*100%)</f>
        <v>1.1000000000000001</v>
      </c>
      <c r="D13" s="29">
        <v>0.1</v>
      </c>
      <c r="E13" s="28">
        <f t="shared" si="0"/>
        <v>0.11000000000000001</v>
      </c>
    </row>
    <row r="14" spans="1:12">
      <c r="A14" s="31">
        <v>11</v>
      </c>
      <c r="B14" s="32" t="s">
        <v>126</v>
      </c>
      <c r="C14" s="33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34">
        <v>0.1</v>
      </c>
      <c r="E14" s="33">
        <f t="shared" si="0"/>
        <v>0.11000000000000001</v>
      </c>
    </row>
    <row r="15" spans="1:12">
      <c r="A15" s="35"/>
      <c r="B15" s="35"/>
      <c r="C15" s="37" t="s">
        <v>127</v>
      </c>
      <c r="D15" s="38"/>
      <c r="E15" s="36">
        <f>SUM(E4:E14)</f>
        <v>0.94343147897302315</v>
      </c>
    </row>
  </sheetData>
  <mergeCells count="4">
    <mergeCell ref="C15:D15"/>
    <mergeCell ref="A2:A3"/>
    <mergeCell ref="B2:B3"/>
    <mergeCell ref="C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28E0-EDEA-4CBC-83C3-15B55CBEB046}">
  <dimension ref="A2:L15"/>
  <sheetViews>
    <sheetView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39" t="s">
        <v>111</v>
      </c>
      <c r="B2" s="39" t="s">
        <v>112</v>
      </c>
      <c r="C2" s="40" t="s">
        <v>24</v>
      </c>
      <c r="D2" s="40"/>
      <c r="E2" s="40"/>
    </row>
    <row r="3" spans="1:12">
      <c r="A3" s="39"/>
      <c r="B3" s="39"/>
      <c r="C3" s="25" t="s">
        <v>113</v>
      </c>
      <c r="D3" s="25" t="s">
        <v>114</v>
      </c>
      <c r="E3" s="25" t="s">
        <v>115</v>
      </c>
    </row>
    <row r="4" spans="1:12">
      <c r="A4" s="26">
        <v>1</v>
      </c>
      <c r="B4" s="27" t="s">
        <v>116</v>
      </c>
      <c r="C4" s="28">
        <f>IFERROR(COUNTIFS(STR!$V:$V, 'Overview tanpa KPI'!C$2, STR!$X:$X, "TRUE")/COUNTIFS(STR!$V:$V, 'Overview tanpa KPI'!C2), 0)</f>
        <v>0.96666666666666667</v>
      </c>
      <c r="D4" s="29">
        <v>0.15</v>
      </c>
      <c r="E4" s="28">
        <f>D4*C4</f>
        <v>0.14499999999999999</v>
      </c>
    </row>
    <row r="5" spans="1:12">
      <c r="A5" s="26">
        <v>2</v>
      </c>
      <c r="B5" s="27" t="s">
        <v>117</v>
      </c>
      <c r="C5" s="28">
        <f>1-AVERAGEIF('Bad Data'!$C:$C, 'Overview tanpa KPI'!C$2, 'Bad Data'!$D:$D)</f>
        <v>0.99780500000000005</v>
      </c>
      <c r="D5" s="29">
        <v>0.1</v>
      </c>
      <c r="E5" s="28">
        <f t="shared" ref="E5:E14" si="0">D5*C5</f>
        <v>9.9780500000000008E-2</v>
      </c>
    </row>
    <row r="6" spans="1:12">
      <c r="A6" s="26">
        <v>3</v>
      </c>
      <c r="B6" s="27" t="s">
        <v>118</v>
      </c>
      <c r="C6" s="28">
        <f>AVERAGEIF('Pengkinian Data'!$C:$C, 'Overview tanpa KPI'!C$2, 'Pengkinian Data'!$D:$D)</f>
        <v>0.98232857142857155</v>
      </c>
      <c r="D6" s="29">
        <v>0.1</v>
      </c>
      <c r="E6" s="28">
        <f t="shared" si="0"/>
        <v>9.8232857142857163E-2</v>
      </c>
      <c r="L6" t="s">
        <v>26</v>
      </c>
    </row>
    <row r="7" spans="1:12">
      <c r="A7" s="26">
        <v>4</v>
      </c>
      <c r="B7" s="27" t="s">
        <v>119</v>
      </c>
      <c r="C7" s="28" cm="1">
        <f t="array" ref="C7">IFERROR(SUMPRODUCT(--('[1]Uji Petik'!$E$3:$E$73&lt;&gt;""), --('[1]Uji Petik'!$C$3:$C$73=C2)) / SUMPRODUCT(--('[1]Uji Petik'!$C$3:$C$73=C2)), 0)</f>
        <v>0</v>
      </c>
      <c r="D7" s="29">
        <v>0</v>
      </c>
      <c r="E7" s="28">
        <f t="shared" si="0"/>
        <v>0</v>
      </c>
    </row>
    <row r="8" spans="1:12">
      <c r="A8" s="26">
        <v>5</v>
      </c>
      <c r="B8" s="27" t="s">
        <v>120</v>
      </c>
      <c r="C8" s="30" cm="1">
        <f t="array" ref="C8">IFERROR(AVERAGE(IF([2]Sosialisasi!$C$1:$C$10000=C2, [2]Sosialisasi!$D$1:$D$10000)), 0)</f>
        <v>0.5714285714285714</v>
      </c>
      <c r="D8" s="29">
        <v>0.15</v>
      </c>
      <c r="E8" s="28">
        <f t="shared" si="0"/>
        <v>8.5714285714285701E-2</v>
      </c>
    </row>
    <row r="9" spans="1:12">
      <c r="A9" s="26">
        <v>6</v>
      </c>
      <c r="B9" s="27" t="s">
        <v>121</v>
      </c>
      <c r="C9" s="28">
        <f>AVERAGEIF('EDD PEP PPATK'!$C:$C, 'Overview tanpa KPI'!C$2, 'EDD PEP PPATK'!$D:$D)</f>
        <v>0.99309193258737405</v>
      </c>
      <c r="D9" s="29">
        <v>0.1</v>
      </c>
      <c r="E9" s="28">
        <f t="shared" si="0"/>
        <v>9.930919325873741E-2</v>
      </c>
    </row>
    <row r="10" spans="1:12">
      <c r="A10" s="26">
        <v>7</v>
      </c>
      <c r="B10" s="27" t="s">
        <v>122</v>
      </c>
      <c r="C10" s="28" cm="1">
        <f t="array" ref="C10">IFERROR(AVERAGE(IF('[2]Sheet2 (2)'!$C$1:$C$10000=C$2, '[2]Sheet2 (2)'!$D$1:$D$10000)), 0)</f>
        <v>0.99425329049079902</v>
      </c>
      <c r="D10" s="29">
        <v>0.05</v>
      </c>
      <c r="E10" s="28">
        <f t="shared" si="0"/>
        <v>4.9712664524539957E-2</v>
      </c>
    </row>
    <row r="11" spans="1:12">
      <c r="A11" s="26">
        <v>8</v>
      </c>
      <c r="B11" s="27" t="s">
        <v>123</v>
      </c>
      <c r="C11" s="28" cm="1">
        <f t="array" ref="C11">IFERROR(AVERAGE(IF('[2]Sheet2 (3)'!$C$1:$C$10000=C2, '[2]Sheet2 (3)'!$D$1:$D$10000)), 0)</f>
        <v>97.392064936428568</v>
      </c>
      <c r="D11" s="29">
        <v>0.05</v>
      </c>
      <c r="E11" s="28">
        <f t="shared" si="0"/>
        <v>4.8696032468214288</v>
      </c>
    </row>
    <row r="12" spans="1:12">
      <c r="A12" s="26">
        <v>9</v>
      </c>
      <c r="B12" s="27" t="s">
        <v>124</v>
      </c>
      <c r="C12" s="28">
        <f>AVERAGEIF('Nilai Maturitas'!$C:$C, 'Overview tanpa KPI'!C2, 'Nilai Maturitas'!$D:$D)</f>
        <v>7.6315714285714282</v>
      </c>
      <c r="D12" s="29">
        <v>0.1</v>
      </c>
      <c r="E12" s="28">
        <f t="shared" si="0"/>
        <v>0.76315714285714287</v>
      </c>
    </row>
    <row r="13" spans="1:12">
      <c r="A13" s="26">
        <v>10</v>
      </c>
      <c r="B13" s="27" t="s">
        <v>125</v>
      </c>
      <c r="C13" s="28">
        <f>AVERAGEIF('Maturitas Dashboard'!$C:$C, 'Overview tanpa KPI'!C$2, 'Maturitas Dashboard'!$D:$D)</f>
        <v>8.875</v>
      </c>
      <c r="D13" s="29">
        <v>0.1</v>
      </c>
      <c r="E13" s="28">
        <f t="shared" si="0"/>
        <v>0.88750000000000007</v>
      </c>
    </row>
    <row r="14" spans="1:12">
      <c r="A14" s="31">
        <v>11</v>
      </c>
      <c r="B14" s="32" t="s">
        <v>126</v>
      </c>
      <c r="C14" s="33">
        <f>AVERAGEIF('Penilaian Resiko'!$C:$C, 'Overview tanpa KPI'!C$2, 'Penilaian Resiko'!$D:$D)</f>
        <v>5.5730714285714287</v>
      </c>
      <c r="D14" s="34">
        <v>0.1</v>
      </c>
      <c r="E14" s="33">
        <f t="shared" si="0"/>
        <v>0.55730714285714289</v>
      </c>
    </row>
    <row r="15" spans="1:12">
      <c r="A15" s="35"/>
      <c r="B15" s="35"/>
      <c r="C15" s="37" t="s">
        <v>127</v>
      </c>
      <c r="D15" s="38"/>
      <c r="E15" s="36">
        <f>SUM(E4:E14)</f>
        <v>7.6553170331761349</v>
      </c>
    </row>
  </sheetData>
  <mergeCells count="4">
    <mergeCell ref="A2:A3"/>
    <mergeCell ref="B2:B3"/>
    <mergeCell ref="C2:E2"/>
    <mergeCell ref="C15:D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2026-09-29T02:44:21Z</dcterms:modified>
  <cp:category/>
  <cp:contentStatus/>
</cp:coreProperties>
</file>