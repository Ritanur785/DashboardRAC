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600" documentId="8_{CBB978E0-DA6C-437E-96CC-89A4C9D131CC}" xr6:coauthVersionLast="47" xr6:coauthVersionMax="47" xr10:uidLastSave="{BD934487-BAFB-4BA7-99B3-A94DAE030A78}"/>
  <bookViews>
    <workbookView xWindow="-108" yWindow="-108" windowWidth="23256" windowHeight="12456" firstSheet="1" activeTab="9" xr2:uid="{28B6D053-1D7F-4EEF-8978-633F77751EF4}"/>
  </bookViews>
  <sheets>
    <sheet name="STR" sheetId="5" r:id="rId1"/>
    <sheet name="EDD PEP PPATK" sheetId="1" r:id="rId2"/>
    <sheet name="Bad Data" sheetId="9" r:id="rId3"/>
    <sheet name="Pengkinian Data" sheetId="2" r:id="rId4"/>
    <sheet name="Sosialisasi" sheetId="3" state="hidden" r:id="rId5"/>
    <sheet name="Uji Petik" sheetId="4" r:id="rId6"/>
    <sheet name="Nilai Maturitas" sheetId="6" r:id="rId7"/>
    <sheet name="Penilaian Resiko" sheetId="7" r:id="rId8"/>
    <sheet name="Maturitas Dashboard" sheetId="8" r:id="rId9"/>
    <sheet name="Overview" sheetId="10" r:id="rId10"/>
    <sheet name="Overview KPI" sheetId="12" r:id="rId11"/>
    <sheet name="Overview tanpa KPI" sheetId="11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2" hidden="1">'Bad Data'!$B$2:$D$2</definedName>
    <definedName name="_xlnm._FilterDatabase" localSheetId="1" hidden="1">'EDD PEP PPATK'!$A$2:$D$2</definedName>
    <definedName name="_xlnm._FilterDatabase" localSheetId="6" hidden="1">'Nilai Maturitas'!$A$1:$D$1</definedName>
    <definedName name="_xlnm._FilterDatabase" localSheetId="0" hidden="1">STR!$A$1:$Z$25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7" i="11" l="1" a="1"/>
  <c r="I7" i="11" s="1"/>
  <c r="F7" i="11" a="1"/>
  <c r="F7" i="11" s="1"/>
  <c r="C7" i="11" a="1"/>
  <c r="C7" i="11" s="1"/>
  <c r="I8" i="12" a="1"/>
  <c r="I8" i="12" s="1"/>
  <c r="F8" i="12" a="1"/>
  <c r="F8" i="12" s="1"/>
  <c r="C8" i="12" a="1"/>
  <c r="C8" i="12" s="1"/>
  <c r="C7" i="10" a="1"/>
  <c r="C7" i="10"/>
  <c r="I7" i="10" a="1"/>
  <c r="I7" i="10"/>
  <c r="F7" i="10" a="1"/>
  <c r="F7" i="10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X2" i="5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" i="9"/>
  <c r="D3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I15" i="12"/>
  <c r="K15" i="12" s="1"/>
  <c r="F15" i="12"/>
  <c r="H15" i="12" s="1"/>
  <c r="C15" i="12"/>
  <c r="E15" i="12" s="1"/>
  <c r="I14" i="12"/>
  <c r="K14" i="12" s="1"/>
  <c r="F14" i="12"/>
  <c r="H14" i="12" s="1"/>
  <c r="C14" i="12"/>
  <c r="E14" i="12" s="1"/>
  <c r="I13" i="12"/>
  <c r="K13" i="12" s="1"/>
  <c r="F13" i="12"/>
  <c r="H13" i="12" s="1"/>
  <c r="C13" i="12"/>
  <c r="E13" i="12" s="1"/>
  <c r="I12" i="12" a="1"/>
  <c r="I12" i="12" s="1"/>
  <c r="K12" i="12" s="1"/>
  <c r="F12" i="12" a="1"/>
  <c r="F12" i="12" s="1"/>
  <c r="H12" i="12" s="1"/>
  <c r="C12" i="12" a="1"/>
  <c r="C12" i="12" s="1"/>
  <c r="E12" i="12" s="1"/>
  <c r="I11" i="12" a="1"/>
  <c r="I11" i="12" s="1"/>
  <c r="K11" i="12" s="1"/>
  <c r="F11" i="12" a="1"/>
  <c r="F11" i="12" s="1"/>
  <c r="H11" i="12" s="1"/>
  <c r="C11" i="12" a="1"/>
  <c r="C11" i="12" s="1"/>
  <c r="E11" i="12" s="1"/>
  <c r="F10" i="12"/>
  <c r="H10" i="12" s="1"/>
  <c r="C10" i="12"/>
  <c r="E10" i="12" s="1"/>
  <c r="I9" i="12" a="1"/>
  <c r="I9" i="12" s="1"/>
  <c r="K9" i="12" s="1"/>
  <c r="F9" i="12" a="1"/>
  <c r="F9" i="12" s="1"/>
  <c r="H9" i="12" s="1"/>
  <c r="C9" i="12" a="1"/>
  <c r="C9" i="12" s="1"/>
  <c r="E9" i="12" s="1"/>
  <c r="E8" i="12"/>
  <c r="F7" i="12"/>
  <c r="H7" i="12" s="1"/>
  <c r="C7" i="12"/>
  <c r="E7" i="12" s="1"/>
  <c r="I6" i="12"/>
  <c r="K6" i="12" s="1"/>
  <c r="F6" i="12"/>
  <c r="H6" i="12" s="1"/>
  <c r="K8" i="12" s="1"/>
  <c r="C6" i="12"/>
  <c r="E6" i="12" s="1"/>
  <c r="H8" i="12" s="1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F4" i="12"/>
  <c r="H4" i="12" s="1"/>
  <c r="I14" i="11"/>
  <c r="I13" i="11"/>
  <c r="I12" i="11"/>
  <c r="I11" i="11" a="1"/>
  <c r="I11" i="11" s="1"/>
  <c r="I10" i="11" a="1"/>
  <c r="I10" i="11" s="1"/>
  <c r="I9" i="11"/>
  <c r="I8" i="11" a="1"/>
  <c r="I8" i="11" s="1"/>
  <c r="I5" i="11"/>
  <c r="K5" i="11" s="1"/>
  <c r="I4" i="11"/>
  <c r="F14" i="11"/>
  <c r="F13" i="11"/>
  <c r="F12" i="11"/>
  <c r="F11" i="11" a="1"/>
  <c r="F11" i="11" s="1"/>
  <c r="H11" i="11" s="1"/>
  <c r="F10" i="11" a="1"/>
  <c r="F10" i="11" s="1"/>
  <c r="F9" i="11"/>
  <c r="H9" i="11" s="1"/>
  <c r="F8" i="11" a="1"/>
  <c r="F8" i="11" s="1"/>
  <c r="H8" i="11" s="1"/>
  <c r="F6" i="11"/>
  <c r="H6" i="11" s="1"/>
  <c r="F5" i="11"/>
  <c r="H5" i="11" s="1"/>
  <c r="F4" i="11"/>
  <c r="C11" i="11" a="1"/>
  <c r="C11" i="11"/>
  <c r="E11" i="11" s="1"/>
  <c r="C14" i="11"/>
  <c r="C10" i="11" a="1"/>
  <c r="C10" i="11"/>
  <c r="E10" i="11" s="1"/>
  <c r="C13" i="11"/>
  <c r="C12" i="11"/>
  <c r="K14" i="11"/>
  <c r="H14" i="11"/>
  <c r="E14" i="11"/>
  <c r="K13" i="11"/>
  <c r="H13" i="11"/>
  <c r="E13" i="11"/>
  <c r="K12" i="11"/>
  <c r="H12" i="11"/>
  <c r="E12" i="11"/>
  <c r="K11" i="11"/>
  <c r="K10" i="11"/>
  <c r="H10" i="11"/>
  <c r="K9" i="11"/>
  <c r="C9" i="11"/>
  <c r="E9" i="11" s="1"/>
  <c r="K8" i="11"/>
  <c r="C8" i="11" a="1"/>
  <c r="C8" i="11" s="1"/>
  <c r="E8" i="11" s="1"/>
  <c r="E7" i="11"/>
  <c r="C6" i="11"/>
  <c r="E6" i="11" s="1"/>
  <c r="C5" i="11"/>
  <c r="E5" i="11" s="1"/>
  <c r="K4" i="11"/>
  <c r="H4" i="11"/>
  <c r="C4" i="11"/>
  <c r="E4" i="11" s="1"/>
  <c r="I4" i="10"/>
  <c r="K4" i="10"/>
  <c r="I5" i="10"/>
  <c r="K5" i="10" s="1"/>
  <c r="I6" i="10"/>
  <c r="K6" i="10" s="1"/>
  <c r="I8" i="10" a="1"/>
  <c r="I8" i="10" s="1"/>
  <c r="K8" i="10" s="1"/>
  <c r="I10" i="10" a="1"/>
  <c r="I10" i="10" s="1"/>
  <c r="K10" i="10" s="1"/>
  <c r="I11" i="10" a="1"/>
  <c r="I11" i="10" s="1"/>
  <c r="K11" i="10" s="1"/>
  <c r="I12" i="10"/>
  <c r="K12" i="10"/>
  <c r="I13" i="10"/>
  <c r="K13" i="10"/>
  <c r="I14" i="10"/>
  <c r="K14" i="10"/>
  <c r="C8" i="10" a="1"/>
  <c r="C8" i="10" s="1"/>
  <c r="E8" i="10" s="1"/>
  <c r="C4" i="10"/>
  <c r="F4" i="10"/>
  <c r="C5" i="10"/>
  <c r="E5" i="10" s="1"/>
  <c r="H7" i="10" s="1"/>
  <c r="F5" i="10"/>
  <c r="H5" i="10" s="1"/>
  <c r="K7" i="10" s="1"/>
  <c r="C6" i="10"/>
  <c r="E6" i="10" s="1"/>
  <c r="F6" i="10"/>
  <c r="H6" i="10" s="1"/>
  <c r="C9" i="10"/>
  <c r="F9" i="10"/>
  <c r="H9" i="10" s="1"/>
  <c r="C12" i="10"/>
  <c r="F12" i="10"/>
  <c r="C13" i="10"/>
  <c r="F13" i="10"/>
  <c r="C14" i="10"/>
  <c r="F14" i="10"/>
  <c r="H14" i="10"/>
  <c r="E14" i="10"/>
  <c r="H13" i="10"/>
  <c r="E13" i="10"/>
  <c r="H12" i="10"/>
  <c r="E12" i="10"/>
  <c r="F11" i="10" a="1"/>
  <c r="F11" i="10" s="1"/>
  <c r="H11" i="10" s="1"/>
  <c r="C11" i="10" a="1"/>
  <c r="C11" i="10" s="1"/>
  <c r="E11" i="10" s="1"/>
  <c r="F10" i="10" a="1"/>
  <c r="F10" i="10" s="1"/>
  <c r="H10" i="10" s="1"/>
  <c r="C10" i="10" a="1"/>
  <c r="C10" i="10" s="1"/>
  <c r="E10" i="10" s="1"/>
  <c r="E9" i="10"/>
  <c r="F8" i="10" a="1"/>
  <c r="F8" i="10" s="1"/>
  <c r="H8" i="10" s="1"/>
  <c r="E7" i="10"/>
  <c r="H4" i="10"/>
  <c r="E4" i="10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11" i="9"/>
  <c r="C7" i="9"/>
  <c r="C8" i="9"/>
  <c r="C3" i="9"/>
  <c r="C6" i="9"/>
  <c r="C12" i="9"/>
  <c r="C13" i="9"/>
  <c r="C4" i="9"/>
  <c r="C9" i="9"/>
  <c r="C10" i="9"/>
  <c r="C5" i="9"/>
  <c r="C14" i="9"/>
  <c r="C18" i="9"/>
  <c r="C19" i="9"/>
  <c r="C15" i="9"/>
  <c r="C20" i="9"/>
  <c r="C24" i="9"/>
  <c r="C25" i="9"/>
  <c r="C21" i="9"/>
  <c r="C16" i="9"/>
  <c r="C26" i="9"/>
  <c r="C17" i="9"/>
  <c r="C22" i="9"/>
  <c r="C23" i="9"/>
  <c r="C33" i="9"/>
  <c r="C30" i="9"/>
  <c r="C31" i="9"/>
  <c r="C27" i="9"/>
  <c r="C32" i="9"/>
  <c r="C28" i="9"/>
  <c r="C29" i="9"/>
  <c r="C34" i="9"/>
  <c r="E27" i="9"/>
  <c r="E14" i="2"/>
  <c r="E3" i="2"/>
  <c r="E26" i="8"/>
  <c r="E13" i="8"/>
  <c r="E2" i="8"/>
  <c r="E26" i="7"/>
  <c r="E13" i="7"/>
  <c r="E2" i="7"/>
  <c r="E26" i="6"/>
  <c r="E13" i="6"/>
  <c r="E2" i="6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" i="4"/>
  <c r="B34" i="4"/>
  <c r="B33" i="4"/>
  <c r="B28" i="4"/>
  <c r="B29" i="4"/>
  <c r="B30" i="4"/>
  <c r="B31" i="4"/>
  <c r="B32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3" i="4"/>
  <c r="A2" i="5" a="1"/>
  <c r="I10" i="12" l="1"/>
  <c r="K10" i="12" s="1"/>
  <c r="I9" i="10"/>
  <c r="K9" i="10" s="1"/>
  <c r="K15" i="10" s="1"/>
  <c r="H7" i="11"/>
  <c r="H15" i="11" s="1"/>
  <c r="E15" i="11"/>
  <c r="I7" i="12"/>
  <c r="K7" i="12" s="1"/>
  <c r="I6" i="11"/>
  <c r="K6" i="11" s="1"/>
  <c r="E27" i="2"/>
  <c r="Y20" i="5"/>
  <c r="Y21" i="5"/>
  <c r="Y22" i="5"/>
  <c r="Y23" i="5"/>
  <c r="Y24" i="5"/>
  <c r="Y25" i="5"/>
  <c r="Y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I4" i="12"/>
  <c r="K4" i="12" s="1"/>
  <c r="C4" i="12"/>
  <c r="E4" i="12" s="1"/>
  <c r="K7" i="11"/>
  <c r="H15" i="10"/>
  <c r="E15" i="10"/>
  <c r="E27" i="1"/>
  <c r="E14" i="1"/>
  <c r="E3" i="1"/>
  <c r="E14" i="9"/>
  <c r="E3" i="9"/>
  <c r="A2" i="5"/>
  <c r="I5" i="12" l="1"/>
  <c r="K5" i="12" s="1"/>
  <c r="K16" i="12" s="1"/>
  <c r="F5" i="12"/>
  <c r="H5" i="12" s="1"/>
  <c r="H16" i="12" s="1"/>
  <c r="C5" i="12"/>
  <c r="E5" i="12" s="1"/>
  <c r="E16" i="12" s="1"/>
  <c r="K15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<sst xmlns="http://schemas.openxmlformats.org/spreadsheetml/2006/main" count="556" uniqueCount="172">
  <si>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</si>
  <si>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</si>
  <si>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</si>
  <si>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</si>
  <si>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</si>
  <si>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</si>
  <si>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</si>
  <si>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</si>
  <si>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</si>
  <si>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</si>
  <si>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</si>
  <si>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</si>
  <si>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</si>
  <si>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</si>
  <si>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</si>
  <si>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</si>
  <si>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</si>
  <si>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</si>
  <si>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</si>
  <si>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</si>
  <si>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</si>
  <si>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</si>
  <si>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</si>
  <si>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</si>
  <si>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I Made Budiartha</t>
  </si>
  <si>
    <t>Dewa Nyoman Wedana</t>
  </si>
  <si>
    <t>.</t>
  </si>
  <si>
    <t>Ida Bagus Pidada Manuaba</t>
  </si>
  <si>
    <t>No.</t>
  </si>
  <si>
    <t>Unit Kerja</t>
  </si>
  <si>
    <t>PIC RAC</t>
  </si>
  <si>
    <t>%PEP TL Done</t>
  </si>
  <si>
    <t>Average</t>
  </si>
  <si>
    <t>KC Bangli</t>
  </si>
  <si>
    <t>KC Dompu</t>
  </si>
  <si>
    <t>KC Kalabahi</t>
  </si>
  <si>
    <t>KC Kefamenanu</t>
  </si>
  <si>
    <t>KC Labuan Bajo</t>
  </si>
  <si>
    <t>KC Praya</t>
  </si>
  <si>
    <t>KC Ruteng</t>
  </si>
  <si>
    <t>KC Tabanan</t>
  </si>
  <si>
    <t>KC Denpasar Ubud</t>
  </si>
  <si>
    <t>KC Waikabubak</t>
  </si>
  <si>
    <t>KC Denpasar Gajah Mada</t>
  </si>
  <si>
    <t>KC Atambua</t>
  </si>
  <si>
    <t>KC Bajawa</t>
  </si>
  <si>
    <t>KC Ende</t>
  </si>
  <si>
    <t>KC Gianyar</t>
  </si>
  <si>
    <t>KC Kupang</t>
  </si>
  <si>
    <t>KC Kuta</t>
  </si>
  <si>
    <t>KC Larantuka</t>
  </si>
  <si>
    <t>KC Negara</t>
  </si>
  <si>
    <t>KC Selong</t>
  </si>
  <si>
    <t>KC Semarapura</t>
  </si>
  <si>
    <t>KC Soe</t>
  </si>
  <si>
    <t>KC Sumbawa Besar</t>
  </si>
  <si>
    <t>KC Tabanan Kediri</t>
  </si>
  <si>
    <t>KC Amlapura</t>
  </si>
  <si>
    <t>KC Denpasar Gatot Subroto</t>
  </si>
  <si>
    <t>KC Denpasar Renon</t>
  </si>
  <si>
    <t>KC Mataram</t>
  </si>
  <si>
    <t>KC Maumere</t>
  </si>
  <si>
    <t>KC Raba Bima</t>
  </si>
  <si>
    <t>KC Singaraja</t>
  </si>
  <si>
    <t>KC Waingapu</t>
  </si>
  <si>
    <t>%Bad Data</t>
  </si>
  <si>
    <t>%Pengkinian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</si>
  <si>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</si>
  <si>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</si>
  <si>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</si>
  <si>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</si>
  <si>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</si>
  <si>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</si>
  <si>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</si>
  <si>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</si>
  <si>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</si>
  <si>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</si>
  <si>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</si>
  <si>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</si>
  <si>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</si>
  <si>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</si>
  <si>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</si>
  <si>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</si>
  <si>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</si>
  <si>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</si>
  <si>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</si>
  <si>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</si>
  <si>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</si>
  <si>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</si>
  <si>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</si>
  <si>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</si>
  <si>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</si>
  <si>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</si>
  <si>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</si>
  <si>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</si>
  <si>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</si>
  <si>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</si>
  <si>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</si>
  <si>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</si>
  <si>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</si>
  <si>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</si>
  <si>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</si>
  <si>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</si>
  <si>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</si>
  <si>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</si>
  <si>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</si>
  <si>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</si>
  <si>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**https://bri2-my.sharepoint.com/:f:/g/personal/00136153_hq_bri_co_id/IgCVH86XOXLlRqmBmCLe7YBRAXEe0byOs2w2tf2USoA7RBc?e=hKgU6W</t>
  </si>
  <si>
    <t>4.Kertas Kerja</t>
  </si>
  <si>
    <t>5. Laporan Uji Petik</t>
  </si>
  <si>
    <t>Nilai maturitas</t>
  </si>
  <si>
    <t>Rating maturitas</t>
  </si>
  <si>
    <t>BO Bangli</t>
  </si>
  <si>
    <t>AB</t>
  </si>
  <si>
    <t>BO Dompu</t>
  </si>
  <si>
    <t>BO Kalabahi</t>
  </si>
  <si>
    <t>BO Kefamenanu</t>
  </si>
  <si>
    <t>BO Praya</t>
  </si>
  <si>
    <t>BO Ruteng</t>
  </si>
  <si>
    <t>BO Tabanan</t>
  </si>
  <si>
    <t>BO Ubud</t>
  </si>
  <si>
    <t>BO Waikabubak</t>
  </si>
  <si>
    <t>BO Labuan Bajo</t>
  </si>
  <si>
    <t>BO Denpasar Gajah Mada</t>
  </si>
  <si>
    <t>Dewa Nyoman Werdana</t>
  </si>
  <si>
    <t>BO Atambua</t>
  </si>
  <si>
    <t>BO Bajawa</t>
  </si>
  <si>
    <t>BO Ende</t>
  </si>
  <si>
    <t>BO Gianyar</t>
  </si>
  <si>
    <t>BO Kupang</t>
  </si>
  <si>
    <t>BO Kuta</t>
  </si>
  <si>
    <t>BO Larantuka</t>
  </si>
  <si>
    <t>BO Negara</t>
  </si>
  <si>
    <t>BO Selong</t>
  </si>
  <si>
    <t>BO Semarapura</t>
  </si>
  <si>
    <t>BO Soe</t>
  </si>
  <si>
    <t>BO Sumbawa Besar</t>
  </si>
  <si>
    <t>BO Tabanan Kediri</t>
  </si>
  <si>
    <t>BO Amlapura</t>
  </si>
  <si>
    <t>BO Denpasar Gatot Subroto</t>
  </si>
  <si>
    <t>BO Denpasar Renon</t>
  </si>
  <si>
    <t>BO Mataram</t>
  </si>
  <si>
    <t>BO Maumere</t>
  </si>
  <si>
    <t>BO Raba Bima</t>
  </si>
  <si>
    <t>BO Singaraja</t>
  </si>
  <si>
    <t>BO Waingapu</t>
  </si>
  <si>
    <t>Nilai Risiko</t>
  </si>
  <si>
    <t>Nilai Risiko PIC</t>
  </si>
  <si>
    <t>Rating Risiko PIC</t>
  </si>
  <si>
    <t>Medium</t>
  </si>
  <si>
    <t>Nilai Maturitas</t>
  </si>
  <si>
    <t>Nilai Maturitas PIC</t>
  </si>
  <si>
    <t>Rating Maturitas PIC</t>
  </si>
  <si>
    <t>Baik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</si>
  <si>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</si>
  <si>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</si>
  <si>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</si>
  <si>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</si>
  <si>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</si>
  <si>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</si>
  <si>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</si>
  <si>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</si>
  <si>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</si>
  <si>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</si>
  <si>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</si>
  <si>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</si>
  <si>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</si>
  <si>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</si>
  <si>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</si>
  <si>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</si>
  <si>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</si>
  <si>
    <t>Kualitas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</si>
</sst>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64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3" fillId="0" borderId="3" xfId="0" applyNumberFormat="1" applyFont="1" applyBorder="1" applyAlignment="1">
      <alignment horizontal="left" vertical="center"/>
    </xf>
    <xf numFmtId="0" fontId="0" fillId="0" borderId="4" xfId="0" applyBorder="1"/>
    <xf numFmtId="1" fontId="3" fillId="0" borderId="5" xfId="0" applyNumberFormat="1" applyFont="1" applyBorder="1" applyAlignment="1">
      <alignment horizontal="left" vertical="center"/>
    </xf>
    <xf numFmtId="0" fontId="0" fillId="0" borderId="5" xfId="0" applyBorder="1"/>
    <xf numFmtId="1" fontId="3" fillId="0" borderId="4" xfId="0" applyNumberFormat="1" applyFont="1" applyBorder="1" applyAlignment="1">
      <alignment horizontal="left" vertical="center"/>
    </xf>
    <xf numFmtId="1" fontId="3" fillId="0" borderId="6" xfId="0" applyNumberFormat="1" applyFont="1" applyBorder="1" applyAlignment="1">
      <alignment horizontal="left" vertical="center"/>
    </xf>
    <xf numFmtId="1" fontId="3" fillId="0" borderId="7" xfId="0" applyNumberFormat="1" applyFont="1" applyBorder="1" applyAlignment="1">
      <alignment horizontal="left" vertical="center"/>
    </xf>
    <xf numFmtId="0" fontId="0" fillId="0" borderId="7" xfId="0" applyBorder="1"/>
    <xf numFmtId="0" fontId="1" fillId="2" borderId="3" xfId="0" applyFont="1" applyFill="1" applyBorder="1" applyAlignment="1">
      <alignment horizontal="center"/>
    </xf>
    <xf numFmtId="0" fontId="6" fillId="5" borderId="3" xfId="0" applyFont="1" applyFill="1" applyBorder="1"/>
    <xf numFmtId="0" fontId="7" fillId="0" borderId="0" xfId="0" applyFont="1"/>
    <xf numFmtId="0" fontId="6" fillId="0" borderId="3" xfId="0" applyFont="1" applyBorder="1"/>
    <xf numFmtId="164" fontId="8" fillId="0" borderId="3" xfId="0" applyNumberFormat="1" applyFont="1" applyBorder="1"/>
    <xf numFmtId="0" fontId="7" fillId="0" borderId="7" xfId="0" applyFont="1" applyBorder="1"/>
    <xf numFmtId="0" fontId="1" fillId="2" borderId="8" xfId="0" applyFont="1" applyFill="1" applyBorder="1" applyAlignment="1">
      <alignment horizontal="center"/>
    </xf>
    <xf numFmtId="15" fontId="1" fillId="2" borderId="4" xfId="0" applyNumberFormat="1" applyFont="1" applyFill="1" applyBorder="1"/>
    <xf numFmtId="15" fontId="1" fillId="2" borderId="9" xfId="0" applyNumberFormat="1" applyFont="1" applyFill="1" applyBorder="1"/>
    <xf numFmtId="10" fontId="8" fillId="0" borderId="3" xfId="0" applyNumberFormat="1" applyFont="1" applyBorder="1" applyAlignment="1">
      <alignment vertical="center"/>
    </xf>
    <xf numFmtId="10" fontId="8" fillId="0" borderId="3" xfId="1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0" fillId="6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164" fontId="10" fillId="0" borderId="3" xfId="0" applyNumberFormat="1" applyFont="1" applyBorder="1" applyAlignment="1">
      <alignment horizontal="center"/>
    </xf>
    <xf numFmtId="9" fontId="10" fillId="0" borderId="3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left" vertical="center"/>
    </xf>
    <xf numFmtId="164" fontId="10" fillId="0" borderId="8" xfId="0" applyNumberFormat="1" applyFont="1" applyBorder="1" applyAlignment="1">
      <alignment horizontal="center"/>
    </xf>
    <xf numFmtId="9" fontId="10" fillId="0" borderId="8" xfId="0" applyNumberFormat="1" applyFont="1" applyBorder="1" applyAlignment="1">
      <alignment horizontal="center"/>
    </xf>
    <xf numFmtId="2" fontId="10" fillId="0" borderId="8" xfId="0" applyNumberFormat="1" applyFont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10" fontId="11" fillId="7" borderId="3" xfId="0" applyNumberFormat="1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/>
    </xf>
    <xf numFmtId="165" fontId="10" fillId="0" borderId="8" xfId="0" applyNumberFormat="1" applyFont="1" applyBorder="1" applyAlignment="1">
      <alignment horizontal="center"/>
    </xf>
    <xf numFmtId="15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0" fontId="8" fillId="0" borderId="3" xfId="1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</cellXfs>
  <cellStyles count="3">
    <cellStyle name="Normal" xfId="0" builtinId="0"/>
    <cellStyle name="Percent" xfId="1" builtinId="5"/>
    <cellStyle name="Percent 2" xfId="2" xr:uid="{7FCD0F5F-5210-4456-9C3C-F317300CD1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microsoft.com/office/2022/11/relationships/FeaturePropertyBag" Target="featurePropertyBag/featurePropertyBag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17%20-%20Denpasar/Data%20Evaluasi%20Denpasar.xlsx" TargetMode="External"/><Relationship Id="rId2" Type="http://schemas.openxmlformats.org/officeDocument/2006/relationships/externalLinkPath" Target="https://bri2-my.sharepoint.com/personal/00136153_hq_bri_co_id/Documents/Assurance%20Team/RAC%20Team/Moneva/Region%2017%20-%20Denpasar/Data%20Evaluasi%20Denpasar.xlsx" TargetMode="External"/><Relationship Id="rId1" Type="http://schemas.openxmlformats.org/officeDocument/2006/relationships/externalLinkPath" Target="/personal/00136153_hq_bri_co_id/Documents/Assurance%20Team/RAC%20Team/Moneva/Region%2017%20-%20Denpasar/Data%20Evaluasi%20Denpasa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TKM/17.%20Penilaian%20Region%2017%20Denpasar.xlsx" TargetMode="External"/><Relationship Id="rId2" Type="http://schemas.openxmlformats.org/officeDocument/2006/relationships/externalLinkPath" Target="https://bri2-my.sharepoint.com/personal/00136153_hq_bri_co_id/Documents/Assurance%20Team/00%20-%20Data%20RAC/LTKM/17.%20Penilaian%20Region%2017%20Denpasar.xlsx" TargetMode="External"/><Relationship Id="rId1" Type="http://schemas.openxmlformats.org/officeDocument/2006/relationships/externalLinkPath" Target="/personal/00136153_hq_bri_co_id/Documents/Assurance%20Team/00%20-%20Data%20RAC/LTKM/17.%20Penilaian%20Region%2017%20Denpasa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AC%20Team/Moneva/Region%2017%20-%20Denpasar/Data%20Evaluasi%20Denspasar.xlsx" TargetMode="External"/><Relationship Id="rId1" Type="http://schemas.openxmlformats.org/officeDocument/2006/relationships/externalLinkPath" Target="/personal/00136153_hq_bri_co_id/Documents/Assurance%20Team/RAC%20Team/Moneva/Region%2017%20-%20Denpasar/Data%20Evaluasi%20Denspas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0.95714285714285718</v>
          </cell>
        </row>
        <row r="5">
          <cell r="B5" t="str">
            <v>KC Abunjani Sipin</v>
          </cell>
          <cell r="G5">
            <v>0.99371069182389937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0.99019607843137258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0.95652173913043481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0.96153846153846156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0.81818181818181823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0.98058252427184467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0.93939393939393945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0.94117647058823528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0.94871794871794868</v>
          </cell>
        </row>
        <row r="37">
          <cell r="B37" t="str">
            <v>KC Banjarmasin</v>
          </cell>
          <cell r="G37">
            <v>0.96666666666666667</v>
          </cell>
        </row>
        <row r="38">
          <cell r="B38" t="str">
            <v>KC Banjarmasin 2</v>
          </cell>
          <cell r="G38">
            <v>0.93023255813953487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0.94117647058823528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0.88888888888888884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0.95714285714285718</v>
          </cell>
        </row>
        <row r="53">
          <cell r="B53" t="str">
            <v>KC Bekasi</v>
          </cell>
          <cell r="G53">
            <v>0.95757575757575752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0.9916666666666667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0.97959183673469385</v>
          </cell>
        </row>
        <row r="61">
          <cell r="B61" t="str">
            <v>KC Bintaro</v>
          </cell>
          <cell r="G61">
            <v>0.97368421052631582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0.97368421052631582</v>
          </cell>
        </row>
        <row r="66">
          <cell r="B66" t="str">
            <v>KC Bogor</v>
          </cell>
          <cell r="G66">
            <v>0.89940828402366868</v>
          </cell>
        </row>
        <row r="67">
          <cell r="B67" t="str">
            <v>KC Bogor Pajajaran</v>
          </cell>
          <cell r="G67">
            <v>0.97826086956521741</v>
          </cell>
        </row>
        <row r="68">
          <cell r="B68" t="str">
            <v>KC Bojonegoro</v>
          </cell>
          <cell r="G68">
            <v>0.95652173913043481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0.81481481481481477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0.93684210526315792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0.98666666666666669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0.97368421052631582</v>
          </cell>
        </row>
        <row r="84">
          <cell r="B84" t="str">
            <v>KC Cibadak</v>
          </cell>
          <cell r="G84">
            <v>0.9285714285714286</v>
          </cell>
        </row>
        <row r="85">
          <cell r="B85" t="str">
            <v>KC Cibinong</v>
          </cell>
          <cell r="G85">
            <v>0.93939393939393945</v>
          </cell>
        </row>
        <row r="86">
          <cell r="B86" t="str">
            <v>KC Cibubur</v>
          </cell>
          <cell r="G86">
            <v>0.98360655737704916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0.9555555555555556</v>
          </cell>
        </row>
        <row r="92">
          <cell r="B92" t="str">
            <v>KC Cimanggis</v>
          </cell>
          <cell r="G92">
            <v>0.9555555555555556</v>
          </cell>
        </row>
        <row r="93">
          <cell r="B93" t="str">
            <v>KC Ciputat</v>
          </cell>
          <cell r="G93">
            <v>0.8970588235294118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0.91428571428571426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0.96666666666666667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0.96638655462184875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0.97142857142857142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0.91818181818181821</v>
          </cell>
        </row>
        <row r="111">
          <cell r="B111" t="str">
            <v>KC Garut</v>
          </cell>
          <cell r="G111">
            <v>0.98076923076923073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0.9642857142857143</v>
          </cell>
        </row>
        <row r="121">
          <cell r="B121" t="str">
            <v>KC Jakarta Cut Mutiah</v>
          </cell>
          <cell r="G121">
            <v>0.88059701492537312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0.96551724137931039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0.97674418604651159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0.93939393939393945</v>
          </cell>
        </row>
        <row r="129">
          <cell r="B129" t="str">
            <v>KC Jakarta Jelambar</v>
          </cell>
          <cell r="G129">
            <v>0.88235294117647056</v>
          </cell>
        </row>
        <row r="130">
          <cell r="B130" t="str">
            <v>KC Jakarta Joglo</v>
          </cell>
          <cell r="G130">
            <v>0.91666666666666663</v>
          </cell>
        </row>
        <row r="131">
          <cell r="B131" t="str">
            <v>KC Jakarta Kalideres</v>
          </cell>
          <cell r="G131">
            <v>0.79487179487179482</v>
          </cell>
        </row>
        <row r="132">
          <cell r="B132" t="str">
            <v>KC JAKARTA KALIMALANG</v>
          </cell>
          <cell r="G132">
            <v>0.97413793103448276</v>
          </cell>
        </row>
        <row r="133">
          <cell r="B133" t="str">
            <v>KC Jakarta Kebayoran Baru</v>
          </cell>
          <cell r="G133">
            <v>0.96969696969696972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0.96153846153846156</v>
          </cell>
        </row>
        <row r="139">
          <cell r="B139" t="str">
            <v>KC Jakarta Kramat Jati</v>
          </cell>
          <cell r="G139">
            <v>0.95721925133689845</v>
          </cell>
        </row>
        <row r="140">
          <cell r="B140" t="str">
            <v>KC Jakarta Krekot</v>
          </cell>
          <cell r="G140">
            <v>0.96551724137931039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0.83333333333333337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0.9285714285714286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0.87096774193548387</v>
          </cell>
        </row>
        <row r="150">
          <cell r="B150" t="str">
            <v>KC Jakarta Pluit</v>
          </cell>
          <cell r="G150">
            <v>0.80952380952380953</v>
          </cell>
        </row>
        <row r="151">
          <cell r="B151" t="str">
            <v>KC Jakarta Pondok Indah</v>
          </cell>
          <cell r="G151">
            <v>0.97435897435897434</v>
          </cell>
        </row>
        <row r="152">
          <cell r="B152" t="str">
            <v>KC Jakarta Puri Niaga</v>
          </cell>
          <cell r="G152">
            <v>0.76923076923076927</v>
          </cell>
        </row>
        <row r="153">
          <cell r="B153" t="str">
            <v>KC Jakarta Radio Dalam</v>
          </cell>
          <cell r="G153">
            <v>0.9642857142857143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0.91228070175438591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0.93181818181818177</v>
          </cell>
        </row>
        <row r="162">
          <cell r="B162" t="str">
            <v>KC Jakarta Tangerang</v>
          </cell>
          <cell r="G162">
            <v>0.88235294117647056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0.88888888888888884</v>
          </cell>
        </row>
        <row r="170">
          <cell r="B170" t="str">
            <v>KC Jayapura</v>
          </cell>
          <cell r="G170">
            <v>0.94594594594594594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0.96666666666666667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0.97222222222222221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0.93333333333333335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0.97872340425531912</v>
          </cell>
        </row>
        <row r="188">
          <cell r="B188" t="str">
            <v>KC Kendari Samratulangi</v>
          </cell>
          <cell r="G188">
            <v>0.98529411764705888</v>
          </cell>
        </row>
        <row r="189">
          <cell r="B189" t="str">
            <v>KC Kepanjen</v>
          </cell>
          <cell r="G189">
            <v>0.95238095238095233</v>
          </cell>
        </row>
        <row r="190">
          <cell r="B190" t="str">
            <v>KC Ketapang</v>
          </cell>
          <cell r="G190">
            <v>0.98245614035087714</v>
          </cell>
        </row>
        <row r="191">
          <cell r="B191" t="str">
            <v>KC Khatib Sulaiman</v>
          </cell>
          <cell r="G191">
            <v>0.98830409356725146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0.96153846153846156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0.94594594594594594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0.95454545454545459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0.66666666666666663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0.94339622641509435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0.99408284023668636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0.93333333333333335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0.98076923076923073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0.97752808988764039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0.9285714285714286</v>
          </cell>
        </row>
        <row r="241">
          <cell r="B241" t="str">
            <v>KC Marabahan</v>
          </cell>
          <cell r="G241">
            <v>0.76470588235294112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0.99479166666666663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0.98773006134969321</v>
          </cell>
        </row>
        <row r="251">
          <cell r="B251" t="str">
            <v>KC Medan Putri Hijau</v>
          </cell>
          <cell r="G251">
            <v>0.96153846153846156</v>
          </cell>
        </row>
        <row r="252">
          <cell r="B252" t="str">
            <v>KC Medan Sisingamangaraja</v>
          </cell>
          <cell r="G252">
            <v>0.96363636363636362</v>
          </cell>
        </row>
        <row r="253">
          <cell r="B253" t="str">
            <v>KC Medan Thamrin</v>
          </cell>
          <cell r="G253">
            <v>0.98461538461538467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0.93548387096774188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0.71666666666666667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0.98461538461538467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0.98550724637681164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0.94117647058823528</v>
          </cell>
        </row>
        <row r="278">
          <cell r="B278" t="str">
            <v>KC Palangkaraya</v>
          </cell>
          <cell r="G278">
            <v>0.97222222222222221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0.97222222222222221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0.96666666666666667</v>
          </cell>
        </row>
        <row r="285">
          <cell r="B285" t="str">
            <v>KC Pamulang</v>
          </cell>
          <cell r="G285">
            <v>0.98734177215189878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0.81818181818181823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0.9850746268656716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0.89473684210526316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0.97142857142857142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0.95454545454545459</v>
          </cell>
        </row>
        <row r="301">
          <cell r="B301" t="str">
            <v>KC Payakumbuh</v>
          </cell>
          <cell r="G301">
            <v>0.98148148148148151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0.88235294117647056</v>
          </cell>
        </row>
        <row r="304">
          <cell r="B304" t="str">
            <v>KC Pekanbaru Sudirman</v>
          </cell>
          <cell r="G304">
            <v>0.9726027397260274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0.98888888888888893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0.88235294117647056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0.98098859315589348</v>
          </cell>
        </row>
        <row r="317">
          <cell r="B317" t="str">
            <v>KC Pontianak Gajah Mada</v>
          </cell>
          <cell r="G317">
            <v>0.94736842105263153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0.96666666666666667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0.96153846153846156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0.93333333333333335</v>
          </cell>
        </row>
        <row r="341">
          <cell r="B341" t="str">
            <v>KC SAMARINDA GAJAH MADA</v>
          </cell>
          <cell r="G341">
            <v>0.95161290322580649</v>
          </cell>
        </row>
        <row r="342">
          <cell r="B342" t="str">
            <v>KC SAMARINDA PELITA</v>
          </cell>
          <cell r="G342">
            <v>0.92307692307692313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0.98181818181818181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0.98780487804878048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0.97872340425531912</v>
          </cell>
        </row>
        <row r="352">
          <cell r="B352" t="str">
            <v>KC Semarang A. Yani</v>
          </cell>
          <cell r="G352">
            <v>0.98947368421052628</v>
          </cell>
        </row>
        <row r="353">
          <cell r="B353" t="str">
            <v>KC Semarang Pandanaran</v>
          </cell>
          <cell r="G353">
            <v>0.9850746268656716</v>
          </cell>
        </row>
        <row r="354">
          <cell r="B354" t="str">
            <v>KC Semarang Patimura</v>
          </cell>
          <cell r="G354">
            <v>0.94285714285714284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0.91666666666666663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0.97058823529411764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0.96296296296296291</v>
          </cell>
        </row>
        <row r="365">
          <cell r="B365" t="str">
            <v>KC Sidoarjo</v>
          </cell>
          <cell r="G365">
            <v>0.95833333333333337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0.97058823529411764</v>
          </cell>
        </row>
        <row r="368">
          <cell r="B368" t="str">
            <v>KC Simpang Empat</v>
          </cell>
          <cell r="G368">
            <v>0.98305084745762716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0.97142857142857142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0.97222222222222221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0.98630136986301364</v>
          </cell>
        </row>
        <row r="383">
          <cell r="B383" t="str">
            <v>KC Solok</v>
          </cell>
          <cell r="G383">
            <v>0.9838709677419355</v>
          </cell>
        </row>
        <row r="384">
          <cell r="B384" t="str">
            <v>KC Soreang</v>
          </cell>
          <cell r="G384">
            <v>0.90476190476190477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0.98039215686274506</v>
          </cell>
        </row>
        <row r="388">
          <cell r="B388" t="str">
            <v>KC Subang</v>
          </cell>
          <cell r="G388">
            <v>0.97058823529411764</v>
          </cell>
        </row>
        <row r="389">
          <cell r="B389" t="str">
            <v>KC SUDIRMAN SEMANGGI</v>
          </cell>
          <cell r="G389">
            <v>0.91176470588235292</v>
          </cell>
        </row>
        <row r="390">
          <cell r="B390" t="str">
            <v>KC Sukabumi</v>
          </cell>
          <cell r="G390">
            <v>0.97674418604651159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0.97142857142857142</v>
          </cell>
        </row>
        <row r="397">
          <cell r="B397" t="str">
            <v>KC Sungguminasa</v>
          </cell>
          <cell r="G397">
            <v>0.98863636363636365</v>
          </cell>
        </row>
        <row r="398">
          <cell r="B398" t="str">
            <v>KC Surabaya Diponegoro</v>
          </cell>
          <cell r="G398">
            <v>0.97435897435897434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0.9642857142857143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0.98076923076923073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0.94594594594594594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0.97546012269938653</v>
          </cell>
        </row>
        <row r="412">
          <cell r="B412" t="str">
            <v>KC Tambun</v>
          </cell>
          <cell r="G412">
            <v>0.98734177215189878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0.94594594594594594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0.98666666666666669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0.99568965517241381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0.9555555555555556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0.9821428571428571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0.92307692307692313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0.88888888888888884</v>
          </cell>
        </row>
        <row r="433">
          <cell r="B433" t="str">
            <v>KC Tenggarong</v>
          </cell>
          <cell r="G433">
            <v>0.96491228070175439</v>
          </cell>
        </row>
        <row r="434">
          <cell r="B434" t="str">
            <v>KC Ternate</v>
          </cell>
          <cell r="G434">
            <v>0.97727272727272729</v>
          </cell>
        </row>
        <row r="435">
          <cell r="B435" t="str">
            <v>KC Timika</v>
          </cell>
          <cell r="G435">
            <v>0.95652173913043481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0.90909090909090906</v>
          </cell>
        </row>
        <row r="441">
          <cell r="B441" t="str">
            <v>KC Tulang Bawang</v>
          </cell>
          <cell r="G441">
            <v>0.94736842105263153</v>
          </cell>
        </row>
        <row r="442">
          <cell r="B442" t="str">
            <v>KC Tulungagung</v>
          </cell>
          <cell r="G442">
            <v>0.94444444444444442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0.99337748344370858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0.99285714285714288</v>
          </cell>
        </row>
        <row r="456">
          <cell r="B456" t="str">
            <v>KC Yogyakarta Cik Ditiro</v>
          </cell>
          <cell r="G456">
            <v>0.99333333333333329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0.90909090909090906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0.69230769230769229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0.98484848484848486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0.99236641221374045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0.93939393939393945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0.94736842105263153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0.90476190476190477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0.97142857142857142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0.63043478260869568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0.92307692307692313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0.95867768595041325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0.96551724137931039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0.95652173913043481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0.98076923076923073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0.77777777777777779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0.8666666666666667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0.9555555555555556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0.95454545454545459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0.91666666666666663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0.97435897435897434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0.95454545454545459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0.83333333333333337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0.95918367346938771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0.98245614035087714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0.98684210526315785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0.95238095238095233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0.94117647058823528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0.93333333333333335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0.95454545454545459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0.90476190476190477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0.86363636363636365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0.9196428571428571</v>
          </cell>
        </row>
        <row r="675">
          <cell r="B675" t="str">
            <v xml:space="preserve">KC SAMARINDA PELITA                     </v>
          </cell>
          <cell r="G675">
            <v>0.92307692307692313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0.97959183673469385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0.98550724637681164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0.97727272727272729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0.91304347826086951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0.89320388349514568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0.8571428571428571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0.96666666666666667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0.94736842105263153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0.94339622641509435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0.96153846153846156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0.95454545454545459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0.97872340425531912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0.97619047619047616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0.94444444444444442</v>
          </cell>
        </row>
        <row r="768">
          <cell r="B768" t="str">
            <v xml:space="preserve">KC SUDIRMAN SEMANGGI                    </v>
          </cell>
          <cell r="G768">
            <v>0.91176470588235292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0.9642857142857143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0.96296296296296291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0.95833333333333337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0.96153846153846156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0.97619047619047616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0.92592592592592593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0.96666666666666667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0.98148148148148151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0.99333333333333329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0.95454545454545459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0.93939393939393945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0.89130434782608692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0.94117647058823528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0.96666666666666667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0.93939393939393945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0.83333333333333337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0.9285714285714286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0.88888888888888884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0.99038461538461542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0.95238095238095233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0.90909090909090906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0.97058823529411764</v>
          </cell>
        </row>
      </sheetData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TNOUNROCFTNE3O27DCQTYJYGH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X2" t="b">
            <v>1</v>
          </cell>
        </row>
        <row r="3">
          <cell r="X3" t="b">
            <v>1</v>
          </cell>
        </row>
        <row r="4">
          <cell r="X4" t="b">
            <v>1</v>
          </cell>
        </row>
        <row r="5">
          <cell r="X5" t="b">
            <v>0</v>
          </cell>
        </row>
        <row r="6">
          <cell r="X6" t="b">
            <v>0</v>
          </cell>
        </row>
        <row r="7">
          <cell r="X7" t="b">
            <v>1</v>
          </cell>
        </row>
        <row r="8">
          <cell r="X8" t="b">
            <v>1</v>
          </cell>
        </row>
        <row r="9">
          <cell r="X9" t="b">
            <v>1</v>
          </cell>
        </row>
        <row r="10">
          <cell r="X10" t="b">
            <v>0</v>
          </cell>
        </row>
        <row r="11">
          <cell r="X11" t="b">
            <v>0</v>
          </cell>
        </row>
        <row r="12">
          <cell r="X12" t="b">
            <v>1</v>
          </cell>
        </row>
        <row r="13">
          <cell r="X13" t="b">
            <v>1</v>
          </cell>
        </row>
        <row r="14">
          <cell r="X14" t="b">
            <v>1</v>
          </cell>
        </row>
        <row r="15">
          <cell r="X15" t="b">
            <v>0</v>
          </cell>
        </row>
        <row r="16">
          <cell r="X16" t="b">
            <v>1</v>
          </cell>
        </row>
        <row r="17">
          <cell r="X17" t="b">
            <v>1</v>
          </cell>
        </row>
        <row r="18">
          <cell r="X18" t="b">
            <v>0</v>
          </cell>
        </row>
        <row r="19">
          <cell r="X19" t="b">
            <v>1</v>
          </cell>
        </row>
        <row r="20">
          <cell r="X20" t="b">
            <v>0</v>
          </cell>
        </row>
        <row r="21">
          <cell r="X21" t="b">
            <v>0</v>
          </cell>
        </row>
        <row r="22">
          <cell r="X22" t="b">
            <v>1</v>
          </cell>
        </row>
        <row r="23">
          <cell r="X23" t="b">
            <v>1</v>
          </cell>
        </row>
        <row r="24">
          <cell r="X24" t="b">
            <v>1</v>
          </cell>
        </row>
        <row r="25">
          <cell r="X25" t="b">
            <v>1</v>
          </cell>
        </row>
      </sheetData>
      <sheetData sheetId="1"/>
      <sheetData sheetId="2"/>
      <sheetData sheetId="3"/>
      <sheetData sheetId="4">
        <row r="3">
          <cell r="C3" t="str">
            <v>Ida Bagus Pidada Manuaba</v>
          </cell>
          <cell r="E3"/>
        </row>
        <row r="4">
          <cell r="C4" t="str">
            <v>I Made Budiartha</v>
          </cell>
          <cell r="E4"/>
        </row>
        <row r="5">
          <cell r="C5" t="str">
            <v>I Made Budiartha</v>
          </cell>
          <cell r="E5"/>
        </row>
        <row r="6">
          <cell r="C6" t="str">
            <v>Dewa Nyoman Wedana</v>
          </cell>
          <cell r="E6"/>
        </row>
        <row r="7">
          <cell r="C7" t="str">
            <v>Dewa Nyoman Werdana</v>
          </cell>
          <cell r="E7"/>
        </row>
        <row r="8">
          <cell r="C8" t="str">
            <v>Ida Bagus Pidada Manuaba</v>
          </cell>
          <cell r="E8"/>
        </row>
        <row r="9">
          <cell r="C9" t="str">
            <v>Ida Bagus Pidada Manuaba</v>
          </cell>
          <cell r="E9"/>
        </row>
        <row r="10">
          <cell r="C10" t="str">
            <v>Dewa Nyoman Wedana</v>
          </cell>
          <cell r="E10"/>
        </row>
        <row r="11">
          <cell r="C11" t="str">
            <v>I Made Budiartha</v>
          </cell>
          <cell r="E11"/>
        </row>
        <row r="12">
          <cell r="C12" t="str">
            <v>I Made Budiartha</v>
          </cell>
          <cell r="E12"/>
        </row>
        <row r="13">
          <cell r="C13" t="str">
            <v>Dewa Nyoman Wedana</v>
          </cell>
          <cell r="E13"/>
        </row>
        <row r="14">
          <cell r="C14" t="str">
            <v>Dewa Nyoman Wedana</v>
          </cell>
          <cell r="E14"/>
        </row>
        <row r="15">
          <cell r="C15" t="str">
            <v>I Made Budiartha</v>
          </cell>
          <cell r="E15"/>
        </row>
        <row r="16">
          <cell r="C16" t="str">
            <v>I Made Budiartha</v>
          </cell>
          <cell r="E16"/>
        </row>
        <row r="17">
          <cell r="C17" t="str">
            <v>I Made Budiartha</v>
          </cell>
          <cell r="E17"/>
        </row>
        <row r="18">
          <cell r="C18" t="str">
            <v>Ida Bagus Pidada Manuaba</v>
          </cell>
          <cell r="E18"/>
        </row>
        <row r="19">
          <cell r="C19" t="str">
            <v>Ida Bagus Pidada Manuaba</v>
          </cell>
          <cell r="E19"/>
        </row>
        <row r="20">
          <cell r="C20" t="str">
            <v>I Made Budiartha</v>
          </cell>
          <cell r="E20"/>
        </row>
        <row r="21">
          <cell r="C21" t="str">
            <v>Dewa Nyoman Wedana</v>
          </cell>
          <cell r="E21"/>
        </row>
        <row r="22">
          <cell r="C22" t="str">
            <v>Ida Bagus Pidada Manuaba</v>
          </cell>
          <cell r="E22"/>
        </row>
        <row r="23">
          <cell r="C23" t="str">
            <v>Dewa Nyoman Wedana</v>
          </cell>
          <cell r="E23"/>
        </row>
        <row r="24">
          <cell r="C24" t="str">
            <v>I Made Budiartha</v>
          </cell>
          <cell r="E24"/>
        </row>
        <row r="25">
          <cell r="C25" t="str">
            <v>I Made Budiartha</v>
          </cell>
          <cell r="E25"/>
        </row>
        <row r="26">
          <cell r="C26" t="str">
            <v>Ida Bagus Pidada Manuaba</v>
          </cell>
          <cell r="E26"/>
        </row>
        <row r="27">
          <cell r="C27" t="str">
            <v>I Made Budiartha</v>
          </cell>
        </row>
        <row r="28">
          <cell r="C28" t="str">
            <v>I Made Budiartha</v>
          </cell>
        </row>
        <row r="29">
          <cell r="C29" t="str">
            <v>Dewa Nyoman Wedana</v>
          </cell>
        </row>
        <row r="30">
          <cell r="C30" t="str">
            <v>I Made Budiartha</v>
          </cell>
        </row>
        <row r="31">
          <cell r="C31" t="str">
            <v>Dewa Nyoman Wedana</v>
          </cell>
        </row>
        <row r="32">
          <cell r="C32" t="str">
            <v>Dewa Nyoman Wedana</v>
          </cell>
        </row>
        <row r="33">
          <cell r="C33" t="str">
            <v>Ida Bagus Pidada Manuaba</v>
          </cell>
        </row>
        <row r="34">
          <cell r="C34" t="str">
            <v>Dewa Nyoman Wedana</v>
          </cell>
        </row>
        <row r="35">
          <cell r="C35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ILNUTUQY4R5CJPCIGFAYMDF4W">
      <xxl21:absoluteUrl r:id="rId2"/>
      <xxl21:relativeUrl r:id="rId3"/>
    </xxl21:alternateUrls>
    <sheetNames>
      <sheetName val="STR"/>
      <sheetName val="BUKAN STR"/>
      <sheetName val="penilaian_STR"/>
    </sheetNames>
    <sheetDataSet>
      <sheetData sheetId="0">
        <row r="2">
          <cell r="A2" t="str">
            <v>Nama Nasabah</v>
          </cell>
          <cell r="B2"/>
          <cell r="C2"/>
          <cell r="D2"/>
          <cell r="E2" t="str">
            <v>PT Sumbawa Bangkit Sejahtera</v>
          </cell>
          <cell r="F2" t="str">
            <v>POPPY HERIYANTI SARAGIH</v>
          </cell>
          <cell r="G2" t="str">
            <v>BUKIT MATAHARI ABADI</v>
          </cell>
          <cell r="H2" t="str">
            <v>CV CRYSTAL</v>
          </cell>
          <cell r="J2"/>
          <cell r="K2" t="str">
            <v>pake ai</v>
          </cell>
        </row>
        <row r="44">
          <cell r="B44"/>
          <cell r="E44">
            <v>3.0687499999999996</v>
          </cell>
          <cell r="F44">
            <v>2.5223214285714288</v>
          </cell>
          <cell r="G44">
            <v>2.4553571428571432</v>
          </cell>
          <cell r="H44">
            <v>2.03125</v>
          </cell>
          <cell r="I44">
            <v>2.5194196428571431</v>
          </cell>
          <cell r="J44">
            <v>2.5194196428571431</v>
          </cell>
          <cell r="K44" t="str">
            <v>CUKUP BAIK (CB)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ji Petik"/>
    </sheetNames>
    <sheetDataSet>
      <sheetData sheetId="0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Z25"/>
  <sheetViews>
    <sheetView topLeftCell="B1" workbookViewId="0">
      <selection activeCell="N29" sqref="N29"/>
    </sheetView>
  </sheetViews>
  <sheetFormatPr defaultRowHeight="15"/>
  <cols>
    <col min="1" max="1" width="10.140625" bestFit="1" customWidth="1"/>
    <col min="2" max="2" width="41.7109375" bestFit="1" customWidth="1"/>
    <col min="3" max="3" width="10.140625" bestFit="1" customWidth="1"/>
    <col min="4" max="4" width="19.42578125" bestFit="1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15.28515625" bestFit="1" customWidth="1"/>
  </cols>
  <sheetData>
    <row r="1" spans="1:2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6">
      <c r="A2" s="8" cm="1">
        <f t="array" ref="A2:U25">_xlfn._xlws.FILTER('[2]STR-2026-8-2026-8'!$A:$U, ISNUMBER(SEARCH("Denpasar", '[2]STR-2026-8-2026-8'!$O:$O)), "")</f>
        <v>46265</v>
      </c>
      <c r="B2" s="9" t="str">
        <v xml:space="preserve">DARMA PRATAMA                           </v>
      </c>
      <c r="C2" s="9" t="str">
        <v>DSF1267</v>
      </c>
      <c r="D2" s="9">
        <v>12401001582302</v>
      </c>
      <c r="E2" s="9" t="str">
        <v>SEDANG</v>
      </c>
      <c r="F2" s="9" t="str">
        <v>Tidak</v>
      </c>
      <c r="G2" s="9" t="str">
        <v>Tidak</v>
      </c>
      <c r="H2" s="9" t="str">
        <v>Tidak</v>
      </c>
      <c r="I2" s="9" t="str">
        <v>Narkotika - Area Lapas</v>
      </c>
      <c r="J2" s="9">
        <v>49</v>
      </c>
      <c r="K2" s="9">
        <v>47</v>
      </c>
      <c r="L2" s="9" t="str">
        <v>Narkotika</v>
      </c>
      <c r="M2" s="9" t="str">
        <v>KC Tabanan</v>
      </c>
      <c r="N2" s="9" t="str">
        <v>KC Tabanan</v>
      </c>
      <c r="O2" s="9" t="str">
        <v>Denpasar</v>
      </c>
      <c r="P2" s="9">
        <v>0</v>
      </c>
      <c r="Q2" s="9">
        <v>0</v>
      </c>
      <c r="R2" s="9" t="str">
        <v>Belum TL</v>
      </c>
      <c r="S2" s="9" t="str">
        <v>Belum TL</v>
      </c>
      <c r="T2" s="9" t="str">
        <v>90185538 - Muhammad Fahikal Auz</v>
      </c>
      <c r="U2" s="9" t="str">
        <v>"-"</v>
      </c>
      <c r="V2" s="12" t="s">
        <v>24</v>
      </c>
      <c r="W2" s="13"/>
      <c r="X2" s="14" t="b">
        <f>[3]STR!$X2</f>
        <v>1</v>
      </c>
      <c r="Y2" t="str">
        <f>_xlfn.XLOOKUP(TRIM(B2), [4]STR!$2:$2, [4]STR!$44:$44, "")</f>
        <v/>
      </c>
    </row>
    <row r="3" spans="1:26">
      <c r="A3" s="8">
        <v>46265</v>
      </c>
      <c r="B3" s="9" t="str">
        <v xml:space="preserve">I WAYAN NURADA                          </v>
      </c>
      <c r="C3" s="9" t="str">
        <v>IC77659</v>
      </c>
      <c r="D3" s="9">
        <v>11401000793305</v>
      </c>
      <c r="E3" s="9" t="str">
        <v>SEDANG</v>
      </c>
      <c r="F3" s="9" t="str">
        <v>Tidak</v>
      </c>
      <c r="G3" s="9" t="str">
        <v>Tidak</v>
      </c>
      <c r="H3" s="9" t="str">
        <v>Tidak</v>
      </c>
      <c r="I3" s="9" t="str">
        <v>Perpajakan</v>
      </c>
      <c r="J3" s="9">
        <v>58</v>
      </c>
      <c r="K3" s="9">
        <v>1.33</v>
      </c>
      <c r="L3" s="9" t="str">
        <v>Perpajakan</v>
      </c>
      <c r="M3" s="9" t="str">
        <v xml:space="preserve">KC Semarapura                           </v>
      </c>
      <c r="N3" s="9" t="str">
        <v xml:space="preserve">KC Semarapura                           </v>
      </c>
      <c r="O3" s="9" t="str">
        <v xml:space="preserve">Denpasar                                </v>
      </c>
      <c r="P3" s="9">
        <v>0</v>
      </c>
      <c r="Q3" s="9">
        <v>0</v>
      </c>
      <c r="R3" s="9" t="str">
        <v>Belum TL</v>
      </c>
      <c r="S3" s="9" t="str">
        <v>Belum TL</v>
      </c>
      <c r="T3" s="9" t="str">
        <v>90186796 - Devito Arya Wiradila</v>
      </c>
      <c r="U3" s="9" t="str">
        <v>"-"</v>
      </c>
      <c r="V3" s="12" t="s">
        <v>24</v>
      </c>
      <c r="W3" s="12"/>
      <c r="X3" s="14" t="b">
        <f>[3]STR!$X3</f>
        <v>1</v>
      </c>
      <c r="Y3" t="str">
        <f>_xlfn.XLOOKUP(TRIM(B3), [4]STR!$2:$2, [4]STR!$44:$44, "")</f>
        <v/>
      </c>
    </row>
    <row r="4" spans="1:26">
      <c r="A4" s="8">
        <v>46265</v>
      </c>
      <c r="B4" s="9" t="str">
        <v xml:space="preserve">I WAYAN SUARSANA                        </v>
      </c>
      <c r="C4" s="9" t="str">
        <v>IKH1218</v>
      </c>
      <c r="D4" s="9">
        <v>462601009015533</v>
      </c>
      <c r="E4" s="9" t="str">
        <v>SEDANG</v>
      </c>
      <c r="F4" s="9" t="str">
        <v>Tidak</v>
      </c>
      <c r="G4" s="9" t="str">
        <v>Tidak</v>
      </c>
      <c r="H4" s="9" t="str">
        <v>Tidak</v>
      </c>
      <c r="I4" s="9" t="str">
        <v>Narkotika - Area Lapas</v>
      </c>
      <c r="J4" s="9">
        <v>48</v>
      </c>
      <c r="K4" s="9">
        <v>47</v>
      </c>
      <c r="L4" s="9" t="str">
        <v>Narkotika</v>
      </c>
      <c r="M4" s="9" t="str">
        <v>UNIT KAYUAMBA BANGLI</v>
      </c>
      <c r="N4" s="9" t="str">
        <v>KC Bangli</v>
      </c>
      <c r="O4" s="9" t="str">
        <v>Denpasar</v>
      </c>
      <c r="P4" s="9">
        <v>0</v>
      </c>
      <c r="Q4" s="9">
        <v>0</v>
      </c>
      <c r="R4" s="9" t="str">
        <v>Belum TL</v>
      </c>
      <c r="S4" s="9" t="str">
        <v>Belum TL</v>
      </c>
      <c r="T4" s="9" t="str">
        <v>00336949 - Mochammad Al Farabi</v>
      </c>
      <c r="U4" s="9" t="str">
        <v>"-"</v>
      </c>
      <c r="V4" s="12" t="s">
        <v>25</v>
      </c>
      <c r="W4" s="12"/>
      <c r="X4" s="14" t="b">
        <f>[3]STR!$X4</f>
        <v>1</v>
      </c>
      <c r="Y4" t="str">
        <f>_xlfn.XLOOKUP(TRIM(B4), [4]STR!$2:$2, [4]STR!$44:$44, "")</f>
        <v/>
      </c>
    </row>
    <row r="5" spans="1:26">
      <c r="A5" s="8">
        <v>46265</v>
      </c>
      <c r="B5" s="9" t="str">
        <v xml:space="preserve">INDRIANI                                </v>
      </c>
      <c r="C5" s="9" t="str">
        <v>IWX4574</v>
      </c>
      <c r="D5" s="9">
        <v>470901080261533</v>
      </c>
      <c r="E5" s="9" t="str">
        <v>RENDAH</v>
      </c>
      <c r="F5" s="9" t="str">
        <v>Tidak</v>
      </c>
      <c r="G5" s="9" t="str">
        <v>Tidak</v>
      </c>
      <c r="H5" s="9" t="str">
        <v>Tidak</v>
      </c>
      <c r="I5" s="9" t="str">
        <v>Narkotika - Area Lapas</v>
      </c>
      <c r="J5" s="9">
        <v>35</v>
      </c>
      <c r="K5" s="9">
        <v>46</v>
      </c>
      <c r="L5" s="9" t="str">
        <v>Narkotika</v>
      </c>
      <c r="M5" s="9" t="str">
        <v>UNIT SENGKOL PRAYA</v>
      </c>
      <c r="N5" s="9" t="str">
        <v>KC Praya</v>
      </c>
      <c r="O5" s="9" t="str">
        <v>Denpasar</v>
      </c>
      <c r="P5" s="9">
        <v>0</v>
      </c>
      <c r="Q5" s="9">
        <v>0</v>
      </c>
      <c r="R5" s="9" t="str">
        <v>Belum TL</v>
      </c>
      <c r="S5" s="9" t="str">
        <v>Belum TL</v>
      </c>
      <c r="T5" s="9" t="str">
        <v>00394521 - Muhammad Hibbanduta</v>
      </c>
      <c r="U5" s="9" t="str">
        <v>"-"</v>
      </c>
      <c r="V5" s="12" t="s">
        <v>25</v>
      </c>
      <c r="W5" s="12"/>
      <c r="X5" s="14" t="b">
        <f>[3]STR!$X5</f>
        <v>0</v>
      </c>
      <c r="Y5" t="str">
        <f>_xlfn.XLOOKUP(TRIM(B5), [4]STR!$2:$2, [4]STR!$44:$44, "")</f>
        <v/>
      </c>
      <c r="Z5" t="s">
        <v>26</v>
      </c>
    </row>
    <row r="6" spans="1:26">
      <c r="A6" s="8">
        <v>46265</v>
      </c>
      <c r="B6" s="9" t="str">
        <v xml:space="preserve">NURUL MUCHAIMIN                         </v>
      </c>
      <c r="C6" s="9" t="str">
        <v>NJUF980</v>
      </c>
      <c r="D6" s="9">
        <v>59101005949531</v>
      </c>
      <c r="E6" s="9">
        <v>0</v>
      </c>
      <c r="F6" s="9" t="str">
        <v>Tidak</v>
      </c>
      <c r="G6" s="9" t="str">
        <v>Tidak</v>
      </c>
      <c r="H6" s="9">
        <v>0</v>
      </c>
      <c r="I6" s="9" t="str">
        <v>Jual Beli Rekening - E channel Trx</v>
      </c>
      <c r="J6" s="9">
        <v>33</v>
      </c>
      <c r="K6" s="9">
        <v>113</v>
      </c>
      <c r="L6" s="9" t="str">
        <v>Narkotika/Judi Online/Penipuan</v>
      </c>
      <c r="M6" s="9" t="str">
        <v xml:space="preserve">KCP Undiknas                            </v>
      </c>
      <c r="N6" s="9" t="str">
        <v xml:space="preserve">KC Denpasar Renon                       </v>
      </c>
      <c r="O6" s="9" t="str">
        <v xml:space="preserve">Denpasar                                </v>
      </c>
      <c r="P6" s="9">
        <v>0</v>
      </c>
      <c r="Q6" s="9">
        <v>0</v>
      </c>
      <c r="R6" s="9" t="str">
        <v>Belum TL</v>
      </c>
      <c r="S6" s="9" t="str">
        <v>Belum TL</v>
      </c>
      <c r="T6" s="9">
        <v>0</v>
      </c>
      <c r="U6" s="9" t="str">
        <v>"-"</v>
      </c>
      <c r="V6" s="12" t="s">
        <v>27</v>
      </c>
      <c r="W6" s="12"/>
      <c r="X6" s="14" t="b">
        <f>[3]STR!$X6</f>
        <v>0</v>
      </c>
      <c r="Y6" t="str">
        <f>_xlfn.XLOOKUP(TRIM(B6), [4]STR!$2:$2, [4]STR!$44:$44, "")</f>
        <v/>
      </c>
    </row>
    <row r="7" spans="1:26">
      <c r="A7" s="8">
        <v>46265</v>
      </c>
      <c r="B7" s="9" t="str">
        <v xml:space="preserve">NI KETUT MANIS                          </v>
      </c>
      <c r="C7" s="9" t="str">
        <v>NSB2993</v>
      </c>
      <c r="D7" s="9">
        <v>468801079393535</v>
      </c>
      <c r="E7" s="9" t="str">
        <v>SEDANG</v>
      </c>
      <c r="F7" s="9" t="str">
        <v>Tidak</v>
      </c>
      <c r="G7" s="9" t="str">
        <v>Tidak</v>
      </c>
      <c r="H7" s="9" t="str">
        <v>Tidak</v>
      </c>
      <c r="I7" s="9" t="str">
        <v>Narkotika - Area Lapas</v>
      </c>
      <c r="J7" s="9">
        <v>50</v>
      </c>
      <c r="K7" s="9">
        <v>46</v>
      </c>
      <c r="L7" s="9" t="str">
        <v>Narkotika</v>
      </c>
      <c r="M7" s="9" t="str">
        <v>UNIT NARMADA MATARAM</v>
      </c>
      <c r="N7" s="9" t="str">
        <v>KC Mataram</v>
      </c>
      <c r="O7" s="9" t="str">
        <v>Denpasar</v>
      </c>
      <c r="P7" s="9">
        <v>0</v>
      </c>
      <c r="Q7" s="9">
        <v>0</v>
      </c>
      <c r="R7" s="9" t="str">
        <v>Belum TL</v>
      </c>
      <c r="S7" s="9" t="str">
        <v>Belum TL</v>
      </c>
      <c r="T7" s="9" t="str">
        <v>90150130 - Intan Aida Pratiwi</v>
      </c>
      <c r="U7" s="9" t="str">
        <v>"-"</v>
      </c>
      <c r="V7" s="12" t="s">
        <v>27</v>
      </c>
      <c r="W7" s="12"/>
      <c r="X7" s="14" t="b">
        <f>[3]STR!$X7</f>
        <v>1</v>
      </c>
      <c r="Y7" t="str">
        <f>_xlfn.XLOOKUP(TRIM(B7), [4]STR!$2:$2, [4]STR!$44:$44, "")</f>
        <v/>
      </c>
    </row>
    <row r="8" spans="1:26">
      <c r="A8" s="8">
        <v>46265</v>
      </c>
      <c r="B8" s="9" t="str">
        <v xml:space="preserve">BALI PAWIWAHAN                          </v>
      </c>
      <c r="C8" s="9" t="str">
        <v>PM59472</v>
      </c>
      <c r="D8" s="9">
        <v>55601000980302</v>
      </c>
      <c r="E8" s="9" t="str">
        <v>TINGGI</v>
      </c>
      <c r="F8" s="9" t="str">
        <v>Tidak</v>
      </c>
      <c r="G8" s="9" t="str">
        <v>Tidak</v>
      </c>
      <c r="H8" s="9" t="str">
        <v>Tidak</v>
      </c>
      <c r="I8" s="9" t="str">
        <v>Perpajakan</v>
      </c>
      <c r="J8" s="9">
        <v>65</v>
      </c>
      <c r="K8" s="9">
        <v>1.33</v>
      </c>
      <c r="L8" s="9" t="str">
        <v>Perpajakan</v>
      </c>
      <c r="M8" s="9" t="str">
        <v xml:space="preserve">KC Kuta                                 </v>
      </c>
      <c r="N8" s="9" t="str">
        <v xml:space="preserve">KC Kuta                                 </v>
      </c>
      <c r="O8" s="9" t="str">
        <v xml:space="preserve">Denpasar                                </v>
      </c>
      <c r="P8" s="9">
        <v>0</v>
      </c>
      <c r="Q8" s="9">
        <v>0</v>
      </c>
      <c r="R8" s="9" t="str">
        <v>Belum TL</v>
      </c>
      <c r="S8" s="9" t="str">
        <v>Belum TL</v>
      </c>
      <c r="T8" s="9" t="str">
        <v>90150130 - Intan Aida Pratiwi</v>
      </c>
      <c r="U8" s="9" t="str">
        <v>"-"</v>
      </c>
      <c r="V8" s="12" t="s">
        <v>24</v>
      </c>
      <c r="W8" s="12"/>
      <c r="X8" s="14" t="b">
        <f>[3]STR!$X8</f>
        <v>1</v>
      </c>
      <c r="Y8" t="str">
        <f>_xlfn.XLOOKUP(TRIM(B8), [4]STR!$2:$2, [4]STR!$44:$44, "")</f>
        <v/>
      </c>
    </row>
    <row r="9" spans="1:26">
      <c r="A9" s="8">
        <v>46265</v>
      </c>
      <c r="B9" s="9" t="str">
        <v xml:space="preserve">YE USMAN AL QADRI                       </v>
      </c>
      <c r="C9" s="9" t="str">
        <v>YS42499</v>
      </c>
      <c r="D9" s="9">
        <v>473801017922537</v>
      </c>
      <c r="E9" s="9" t="str">
        <v>SEDANG</v>
      </c>
      <c r="F9" s="9" t="str">
        <v>Ya</v>
      </c>
      <c r="G9" s="9" t="str">
        <v>Tidak</v>
      </c>
      <c r="H9" s="9" t="str">
        <v>Tidak</v>
      </c>
      <c r="I9" s="9" t="str">
        <v>Narkotika - Area Lapas</v>
      </c>
      <c r="J9" s="9">
        <v>50</v>
      </c>
      <c r="K9" s="9">
        <v>46</v>
      </c>
      <c r="L9" s="9" t="str">
        <v>Narkotika</v>
      </c>
      <c r="M9" s="9" t="str">
        <v>UNIT SIKUR SELONG</v>
      </c>
      <c r="N9" s="9" t="str">
        <v>KC Selong</v>
      </c>
      <c r="O9" s="9" t="str">
        <v>Denpasar</v>
      </c>
      <c r="P9" s="9">
        <v>0</v>
      </c>
      <c r="Q9" s="9">
        <v>0</v>
      </c>
      <c r="R9" s="9" t="str">
        <v>Belum TL</v>
      </c>
      <c r="S9" s="9" t="str">
        <v>Belum TL</v>
      </c>
      <c r="T9" s="9" t="str">
        <v>90150130 - Intan Aida Pratiwi</v>
      </c>
      <c r="U9" s="9" t="str">
        <v>"-"</v>
      </c>
      <c r="V9" s="12" t="s">
        <v>24</v>
      </c>
      <c r="W9" s="12"/>
      <c r="X9" s="14" t="b">
        <f>[3]STR!$X9</f>
        <v>1</v>
      </c>
      <c r="Y9" t="str">
        <f>_xlfn.XLOOKUP(TRIM(B9), [4]STR!$2:$2, [4]STR!$44:$44, "")</f>
        <v/>
      </c>
    </row>
    <row r="10" spans="1:26">
      <c r="A10" s="8">
        <v>46265</v>
      </c>
      <c r="B10" s="9" t="str">
        <v xml:space="preserve">PT HAMENGKU KARYA                       </v>
      </c>
      <c r="C10" s="9" t="str">
        <v>PDY8497</v>
      </c>
      <c r="D10" s="9">
        <v>1701003069301</v>
      </c>
      <c r="E10" s="9" t="str">
        <v>SEDANG</v>
      </c>
      <c r="F10" s="9" t="str">
        <v>Tidak</v>
      </c>
      <c r="G10" s="9" t="str">
        <v>Tidak</v>
      </c>
      <c r="H10" s="9" t="str">
        <v>Tidak</v>
      </c>
      <c r="I10" s="9" t="str">
        <v>Perpajakan</v>
      </c>
      <c r="J10" s="9">
        <v>48</v>
      </c>
      <c r="K10" s="9">
        <v>41</v>
      </c>
      <c r="L10" s="9" t="str">
        <v>Perpajakan</v>
      </c>
      <c r="M10" s="9" t="str">
        <v xml:space="preserve">KC Denpasar Gajah Mada                  </v>
      </c>
      <c r="N10" s="9" t="str">
        <v xml:space="preserve">KC Denpasar Gajah Mada                  </v>
      </c>
      <c r="O10" s="9" t="str">
        <v xml:space="preserve">Denpasar                                </v>
      </c>
      <c r="P10" s="9" t="str">
        <v>Tidak</v>
      </c>
      <c r="Q10" s="9">
        <v>0</v>
      </c>
      <c r="R10" s="9" t="str">
        <v>Pending Approver</v>
      </c>
      <c r="S10" s="9" t="str">
        <v>Belum TL</v>
      </c>
      <c r="T10" s="9" t="str">
        <v>90185537 - Moh.Khoerul Fajar Ar</v>
      </c>
      <c r="U10" s="9" t="str">
        <v>"-"</v>
      </c>
      <c r="V10" s="12" t="s">
        <v>25</v>
      </c>
      <c r="W10" s="12"/>
      <c r="X10" s="14" t="b">
        <f>[3]STR!$X10</f>
        <v>0</v>
      </c>
      <c r="Y10" t="str">
        <f>_xlfn.XLOOKUP(TRIM(B10), [4]STR!$2:$2, [4]STR!$44:$44, "")</f>
        <v/>
      </c>
    </row>
    <row r="11" spans="1:26">
      <c r="A11" s="8">
        <v>46265</v>
      </c>
      <c r="B11" s="9" t="str">
        <v xml:space="preserve">DANA MAS MULIA                          </v>
      </c>
      <c r="C11" s="9" t="str">
        <v>DEQV783</v>
      </c>
      <c r="D11" s="9">
        <v>1701004963304</v>
      </c>
      <c r="E11" s="9" t="str">
        <v>SEDANG</v>
      </c>
      <c r="F11" s="9" t="str">
        <v>Tidak</v>
      </c>
      <c r="G11" s="9" t="str">
        <v>Tidak</v>
      </c>
      <c r="H11" s="9" t="str">
        <v>Tidak</v>
      </c>
      <c r="I11" s="9" t="str">
        <v>Perpajakan</v>
      </c>
      <c r="J11" s="9">
        <v>48</v>
      </c>
      <c r="K11" s="9">
        <v>41</v>
      </c>
      <c r="L11" s="9" t="str">
        <v>Perpajakan</v>
      </c>
      <c r="M11" s="9" t="str">
        <v xml:space="preserve">KC Denpasar Gajah Mada                  </v>
      </c>
      <c r="N11" s="9" t="str">
        <v xml:space="preserve">KC Denpasar Gajah Mada                  </v>
      </c>
      <c r="O11" s="9" t="str">
        <v xml:space="preserve">Denpasar                                </v>
      </c>
      <c r="P11" s="9" t="str">
        <v>Tidak</v>
      </c>
      <c r="Q11" s="9">
        <v>0</v>
      </c>
      <c r="R11" s="9" t="str">
        <v>Pending Approver</v>
      </c>
      <c r="S11" s="9" t="str">
        <v>Belum TL</v>
      </c>
      <c r="T11" s="9" t="str">
        <v>90150130 - Intan Aida Pratiwi</v>
      </c>
      <c r="U11" s="9" t="str">
        <v>"-"</v>
      </c>
      <c r="V11" s="12" t="s">
        <v>25</v>
      </c>
      <c r="W11" s="12"/>
      <c r="X11" s="14" t="b">
        <f>[3]STR!$X11</f>
        <v>0</v>
      </c>
      <c r="Y11" t="str">
        <f>_xlfn.XLOOKUP(TRIM(B11), [4]STR!$2:$2, [4]STR!$44:$44, "")</f>
        <v/>
      </c>
    </row>
    <row r="12" spans="1:26">
      <c r="A12" s="8">
        <v>46265</v>
      </c>
      <c r="B12" s="9" t="str">
        <v xml:space="preserve">I MADE TULUS                            </v>
      </c>
      <c r="C12" s="9" t="str">
        <v>IJP9716</v>
      </c>
      <c r="D12" s="9">
        <v>476101011852531</v>
      </c>
      <c r="E12" s="9" t="str">
        <v>SEDANG</v>
      </c>
      <c r="F12" s="9" t="str">
        <v>Tidak</v>
      </c>
      <c r="G12" s="9" t="str">
        <v>Tidak</v>
      </c>
      <c r="H12" s="9" t="str">
        <v>Tidak</v>
      </c>
      <c r="I12" s="9" t="str">
        <v>Pencurian Rekening</v>
      </c>
      <c r="J12" s="9">
        <v>46</v>
      </c>
      <c r="K12" s="9">
        <v>59</v>
      </c>
      <c r="L12" s="9" t="str">
        <v>Perbankan</v>
      </c>
      <c r="M12" s="9" t="str">
        <v xml:space="preserve">UNIT BUSUNGBIU SINGARAJA                </v>
      </c>
      <c r="N12" s="9" t="str">
        <v xml:space="preserve">KC Singaraja                            </v>
      </c>
      <c r="O12" s="9" t="str">
        <v xml:space="preserve">Denpasar                                </v>
      </c>
      <c r="P12" s="9" t="str">
        <v>Tidak</v>
      </c>
      <c r="Q12" s="9">
        <v>0</v>
      </c>
      <c r="R12" s="9" t="str">
        <v>Done</v>
      </c>
      <c r="S12" s="9" t="str">
        <v>Belum TL</v>
      </c>
      <c r="T12" s="9" t="str">
        <v>90186796 - Devito Arya Wiradila</v>
      </c>
      <c r="U12" s="9" t="str">
        <v>"-"</v>
      </c>
      <c r="V12" s="12" t="s">
        <v>27</v>
      </c>
      <c r="W12" s="12"/>
      <c r="X12" s="14" t="b">
        <f>[3]STR!$X12</f>
        <v>1</v>
      </c>
      <c r="Y12" t="str">
        <f>_xlfn.XLOOKUP(TRIM(B12), [4]STR!$2:$2, [4]STR!$44:$44, "")</f>
        <v/>
      </c>
    </row>
    <row r="13" spans="1:26">
      <c r="A13" s="8">
        <v>46265</v>
      </c>
      <c r="B13" s="9" t="str">
        <v xml:space="preserve">HP OPBM DIVRE NTB (HPM-OPBM DIVRE NTB)  </v>
      </c>
      <c r="C13" s="9" t="str">
        <v>HLG9297</v>
      </c>
      <c r="D13" s="9">
        <v>5201002301304</v>
      </c>
      <c r="E13" s="9" t="str">
        <v>SEDANG</v>
      </c>
      <c r="F13" s="9" t="str">
        <v>Tidak</v>
      </c>
      <c r="G13" s="9" t="str">
        <v>Tidak</v>
      </c>
      <c r="H13" s="9" t="str">
        <v>Tidak</v>
      </c>
      <c r="I13" s="9" t="str">
        <v>Narkotika - Area Lapas</v>
      </c>
      <c r="J13" s="9">
        <v>50</v>
      </c>
      <c r="K13" s="9">
        <v>46</v>
      </c>
      <c r="L13" s="9" t="str">
        <v>Narkotika</v>
      </c>
      <c r="M13" s="9" t="str">
        <v>KC Mataram</v>
      </c>
      <c r="N13" s="9" t="str">
        <v>KC Mataram</v>
      </c>
      <c r="O13" s="9" t="str">
        <v>Denpasar</v>
      </c>
      <c r="P13" s="9" t="str">
        <v>Tidak</v>
      </c>
      <c r="Q13" s="9">
        <v>0</v>
      </c>
      <c r="R13" s="9" t="str">
        <v>Done</v>
      </c>
      <c r="S13" s="9" t="str">
        <v>Belum TL</v>
      </c>
      <c r="T13" s="9" t="str">
        <v>00394521 - Muhammad Hibbanduta</v>
      </c>
      <c r="U13" s="9" t="str">
        <v>"-"</v>
      </c>
      <c r="V13" s="12" t="s">
        <v>27</v>
      </c>
      <c r="W13" s="12"/>
      <c r="X13" s="14" t="b">
        <f>[3]STR!$X13</f>
        <v>1</v>
      </c>
      <c r="Y13" t="str">
        <f>_xlfn.XLOOKUP(TRIM(B13), [4]STR!$2:$2, [4]STR!$44:$44, "")</f>
        <v/>
      </c>
    </row>
    <row r="14" spans="1:26">
      <c r="A14" s="8">
        <v>46265</v>
      </c>
      <c r="B14" s="9" t="str">
        <v xml:space="preserve">EDUARDUS GARUNG                         </v>
      </c>
      <c r="C14" s="9" t="str">
        <v>EW48295</v>
      </c>
      <c r="D14" s="9">
        <v>722701000157501</v>
      </c>
      <c r="E14" s="9" t="str">
        <v>SEDANG</v>
      </c>
      <c r="F14" s="9" t="str">
        <v>Ya</v>
      </c>
      <c r="G14" s="9" t="str">
        <v>Tidak</v>
      </c>
      <c r="H14" s="9" t="str">
        <v>Tidak</v>
      </c>
      <c r="I14" s="9" t="str">
        <v>Pencurian Rekening</v>
      </c>
      <c r="J14" s="9">
        <v>49</v>
      </c>
      <c r="K14" s="9">
        <v>59</v>
      </c>
      <c r="L14" s="9" t="str">
        <v>Perbankan</v>
      </c>
      <c r="M14" s="9" t="str">
        <v xml:space="preserve">UNIT CENDANA SOLOR LARANTUKA            </v>
      </c>
      <c r="N14" s="9" t="str">
        <v xml:space="preserve">KC Larantuka                            </v>
      </c>
      <c r="O14" s="9" t="str">
        <v xml:space="preserve">Denpasar                                </v>
      </c>
      <c r="P14" s="9" t="str">
        <v>Tidak</v>
      </c>
      <c r="Q14" s="9" t="str">
        <v>Tidak</v>
      </c>
      <c r="R14" s="9" t="str">
        <v>Done</v>
      </c>
      <c r="S14" s="9" t="str">
        <v>Approved</v>
      </c>
      <c r="T14" s="9" t="str">
        <v>90185538 - Muhammad Fahikal Auz</v>
      </c>
      <c r="U14" s="9" t="str">
        <v>"-"</v>
      </c>
      <c r="V14" s="12" t="s">
        <v>24</v>
      </c>
      <c r="W14" s="12"/>
      <c r="X14" s="14" t="b">
        <f>[3]STR!$X14</f>
        <v>1</v>
      </c>
      <c r="Y14" t="str">
        <f>_xlfn.XLOOKUP(TRIM(B14), [4]STR!$2:$2, [4]STR!$44:$44, "")</f>
        <v/>
      </c>
    </row>
    <row r="15" spans="1:26">
      <c r="A15" s="8">
        <v>46265</v>
      </c>
      <c r="B15" s="9" t="str">
        <v xml:space="preserve">LPD DESA TIGA                           </v>
      </c>
      <c r="C15" s="9" t="str">
        <v>L795217</v>
      </c>
      <c r="D15" s="9">
        <v>462601001113531</v>
      </c>
      <c r="E15" s="9" t="str">
        <v>SEDANG</v>
      </c>
      <c r="F15" s="9" t="str">
        <v>Ya</v>
      </c>
      <c r="G15" s="9" t="str">
        <v>Tidak</v>
      </c>
      <c r="H15" s="9" t="str">
        <v>Tidak</v>
      </c>
      <c r="I15" s="9" t="str">
        <v>Narkotika - Area Lapas</v>
      </c>
      <c r="J15" s="9">
        <v>49</v>
      </c>
      <c r="K15" s="9">
        <v>47</v>
      </c>
      <c r="L15" s="9" t="str">
        <v>Narkotika</v>
      </c>
      <c r="M15" s="9" t="str">
        <v>UNIT KAYUAMBA BANGLI</v>
      </c>
      <c r="N15" s="9" t="str">
        <v>KC Bangli</v>
      </c>
      <c r="O15" s="9" t="str">
        <v>Denpasar</v>
      </c>
      <c r="P15" s="9" t="str">
        <v>Tidak</v>
      </c>
      <c r="Q15" s="9" t="str">
        <v>Tidak</v>
      </c>
      <c r="R15" s="9" t="str">
        <v>Done</v>
      </c>
      <c r="S15" s="9" t="str">
        <v>Approved</v>
      </c>
      <c r="T15" s="9" t="str">
        <v>00336949 - Mochammad Al Farabi</v>
      </c>
      <c r="U15" s="9" t="str">
        <v>"-"</v>
      </c>
      <c r="V15" s="12" t="s">
        <v>25</v>
      </c>
      <c r="W15" s="12"/>
      <c r="X15" s="14" t="b">
        <f>[3]STR!$X15</f>
        <v>0</v>
      </c>
      <c r="Y15" t="str">
        <f>_xlfn.XLOOKUP(TRIM(B15), [4]STR!$2:$2, [4]STR!$44:$44, "")</f>
        <v/>
      </c>
    </row>
    <row r="16" spans="1:26">
      <c r="A16" s="8">
        <v>46265</v>
      </c>
      <c r="B16" s="9" t="str">
        <v xml:space="preserve">JOHN WALINGSON PURBA                    </v>
      </c>
      <c r="C16" s="9" t="str">
        <v>JF38080</v>
      </c>
      <c r="D16" s="9">
        <v>5326590003502120</v>
      </c>
      <c r="E16" s="9" t="str">
        <v>TINGGI</v>
      </c>
      <c r="F16" s="9" t="str">
        <v>Tidak</v>
      </c>
      <c r="G16" s="9" t="str">
        <v>Tidak</v>
      </c>
      <c r="H16" s="9" t="str">
        <v>Tidak</v>
      </c>
      <c r="I16" s="9" t="str">
        <v>Private or Priority Customer Investment</v>
      </c>
      <c r="J16" s="9">
        <v>83</v>
      </c>
      <c r="K16" s="9">
        <v>93</v>
      </c>
      <c r="L16" s="9" t="str">
        <v>Pasar Modal</v>
      </c>
      <c r="M16" s="9" t="str">
        <v xml:space="preserve">KC Mataram                              </v>
      </c>
      <c r="N16" s="9" t="str">
        <v xml:space="preserve">KC Mataram                              </v>
      </c>
      <c r="O16" s="9" t="str">
        <v xml:space="preserve">Denpasar                                </v>
      </c>
      <c r="P16" s="9" t="str">
        <v>Tidak</v>
      </c>
      <c r="Q16" s="9" t="str">
        <v>Tidak</v>
      </c>
      <c r="R16" s="9" t="str">
        <v>Done</v>
      </c>
      <c r="S16" s="9" t="str">
        <v>Approved</v>
      </c>
      <c r="T16" s="9" t="str">
        <v>00394521 - Muhammad Hibbanduta</v>
      </c>
      <c r="U16" s="9" t="str">
        <v>"-"</v>
      </c>
      <c r="V16" s="12" t="s">
        <v>27</v>
      </c>
      <c r="W16" s="12"/>
      <c r="X16" s="14" t="b">
        <f>[3]STR!$X16</f>
        <v>1</v>
      </c>
      <c r="Y16" t="str">
        <f>_xlfn.XLOOKUP(TRIM(B16), [4]STR!$2:$2, [4]STR!$44:$44, "")</f>
        <v/>
      </c>
    </row>
    <row r="17" spans="1:25">
      <c r="A17" s="8">
        <v>46265</v>
      </c>
      <c r="B17" s="9" t="str">
        <v xml:space="preserve">INDRA FAJARWATI                         </v>
      </c>
      <c r="C17" s="9" t="str">
        <v>IDR4170</v>
      </c>
      <c r="D17" s="9">
        <v>5326599000013300</v>
      </c>
      <c r="E17" s="9" t="str">
        <v>SEDANG</v>
      </c>
      <c r="F17" s="9" t="str">
        <v>Tidak</v>
      </c>
      <c r="G17" s="9" t="str">
        <v>Tidak</v>
      </c>
      <c r="H17" s="9" t="str">
        <v>Tidak</v>
      </c>
      <c r="I17" s="9" t="str">
        <v>Private or Priority Customer Investment</v>
      </c>
      <c r="J17" s="9">
        <v>58</v>
      </c>
      <c r="K17" s="9">
        <v>93</v>
      </c>
      <c r="L17" s="9" t="str">
        <v>Pasar Modal</v>
      </c>
      <c r="M17" s="9" t="str">
        <v xml:space="preserve">KC Denpasar Renon                       </v>
      </c>
      <c r="N17" s="9" t="str">
        <v xml:space="preserve">KC Denpasar Renon                       </v>
      </c>
      <c r="O17" s="9" t="str">
        <v xml:space="preserve">Denpasar                                </v>
      </c>
      <c r="P17" s="9" t="str">
        <v>Tidak</v>
      </c>
      <c r="Q17" s="9" t="str">
        <v>Tidak</v>
      </c>
      <c r="R17" s="9" t="str">
        <v>Done</v>
      </c>
      <c r="S17" s="9" t="str">
        <v>Approved</v>
      </c>
      <c r="T17" s="9" t="str">
        <v>00394521 - Muhammad Hibbanduta</v>
      </c>
      <c r="U17" s="9" t="str">
        <v>"-"</v>
      </c>
      <c r="V17" s="12" t="s">
        <v>27</v>
      </c>
      <c r="W17" s="12"/>
      <c r="X17" s="14" t="b">
        <f>[3]STR!$X17</f>
        <v>1</v>
      </c>
      <c r="Y17" t="str">
        <f>_xlfn.XLOOKUP(TRIM(B17), [4]STR!$2:$2, [4]STR!$44:$44, "")</f>
        <v/>
      </c>
    </row>
    <row r="18" spans="1:25">
      <c r="A18" s="8">
        <v>46265</v>
      </c>
      <c r="B18" s="9" t="str">
        <v xml:space="preserve">BUKIT MATAHARI ABADI                    </v>
      </c>
      <c r="C18" s="9" t="str">
        <v>BJO7490</v>
      </c>
      <c r="D18" s="9">
        <v>1701005864561</v>
      </c>
      <c r="E18" s="9">
        <v>0</v>
      </c>
      <c r="F18" s="9" t="str">
        <v>Tidak</v>
      </c>
      <c r="G18" s="9" t="str">
        <v>Tidak</v>
      </c>
      <c r="H18" s="9" t="str">
        <v>Tidak</v>
      </c>
      <c r="I18" s="9" t="str">
        <v>Perpajakan</v>
      </c>
      <c r="J18" s="9">
        <v>33</v>
      </c>
      <c r="K18" s="9">
        <v>41</v>
      </c>
      <c r="L18" s="9" t="str">
        <v>Perpajakan</v>
      </c>
      <c r="M18" s="9" t="str">
        <v xml:space="preserve">KC Denpasar Gajah Mada                  </v>
      </c>
      <c r="N18" s="9" t="str">
        <v xml:space="preserve">KC Denpasar Gajah Mada                  </v>
      </c>
      <c r="O18" s="9" t="str">
        <v xml:space="preserve">Denpasar                                </v>
      </c>
      <c r="P18" s="9" t="str">
        <v>Tidak</v>
      </c>
      <c r="Q18" s="9" t="str">
        <v>Ya</v>
      </c>
      <c r="R18" s="9" t="str">
        <v>Done</v>
      </c>
      <c r="S18" s="9" t="str">
        <v>Approved</v>
      </c>
      <c r="T18" s="9" t="str">
        <v>00336949 - Mochammad Al Farabi</v>
      </c>
      <c r="U18" s="9" t="str">
        <v>"-"</v>
      </c>
      <c r="V18" s="12" t="s">
        <v>25</v>
      </c>
      <c r="W18" s="12"/>
      <c r="X18" s="14" t="b">
        <f>[3]STR!$X18</f>
        <v>0</v>
      </c>
      <c r="Y18">
        <f>_xlfn.XLOOKUP(TRIM(B18), [4]STR!$2:$2, [4]STR!$44:$44, "")</f>
        <v>2.4553571428571432</v>
      </c>
    </row>
    <row r="19" spans="1:25">
      <c r="A19" s="8">
        <v>46265</v>
      </c>
      <c r="B19" s="9" t="str">
        <v xml:space="preserve">CHARLIE RYNALDO NALLE                   </v>
      </c>
      <c r="C19" s="9" t="str">
        <v>CW13217</v>
      </c>
      <c r="D19" s="9">
        <v>359801041457533</v>
      </c>
      <c r="E19" s="9">
        <v>0</v>
      </c>
      <c r="F19" s="9" t="str">
        <v>Ya</v>
      </c>
      <c r="G19" s="9" t="str">
        <v>Tidak</v>
      </c>
      <c r="H19" s="9" t="str">
        <v>Tidak</v>
      </c>
      <c r="I19" s="9" t="str">
        <v>Narkotika - Area Lapas</v>
      </c>
      <c r="J19" s="9">
        <v>35</v>
      </c>
      <c r="K19" s="9">
        <v>48</v>
      </c>
      <c r="L19" s="9" t="str">
        <v>Narkotika</v>
      </c>
      <c r="M19" s="9" t="str">
        <v>UNIT SARTIKA KALABAHI</v>
      </c>
      <c r="N19" s="9" t="str">
        <v>KC Kalabahi</v>
      </c>
      <c r="O19" s="9" t="str">
        <v>Denpasar</v>
      </c>
      <c r="P19" s="9" t="str">
        <v>Tidak</v>
      </c>
      <c r="Q19" s="9" t="str">
        <v>Tidak</v>
      </c>
      <c r="R19" s="9" t="str">
        <v>Done</v>
      </c>
      <c r="S19" s="9" t="str">
        <v>Approved</v>
      </c>
      <c r="T19" s="9" t="str">
        <v>90171841 - Rifqi Aziz</v>
      </c>
      <c r="U19" s="9" t="str">
        <v>"-"</v>
      </c>
      <c r="V19" s="12" t="s">
        <v>24</v>
      </c>
      <c r="W19" s="12"/>
      <c r="X19" s="14" t="b">
        <f>[3]STR!$X19</f>
        <v>1</v>
      </c>
      <c r="Y19" t="str">
        <f>_xlfn.XLOOKUP(TRIM(B19), [4]STR!$2:$2, [4]STR!$44:$44, "")</f>
        <v/>
      </c>
    </row>
    <row r="20" spans="1:25">
      <c r="A20" s="8">
        <v>46265</v>
      </c>
      <c r="B20" s="9" t="str">
        <v xml:space="preserve">CV OVINTIV INC                          </v>
      </c>
      <c r="C20" s="9" t="str">
        <v>CY15231</v>
      </c>
      <c r="D20" s="9">
        <v>722001000042562</v>
      </c>
      <c r="E20" s="9">
        <v>0</v>
      </c>
      <c r="F20" s="9" t="str">
        <v>Tidak</v>
      </c>
      <c r="G20" s="9" t="str">
        <v>Tidak</v>
      </c>
      <c r="H20" s="9" t="str">
        <v>Tidak</v>
      </c>
      <c r="I20" s="9" t="str">
        <v>Business Email Compromise (BEC)</v>
      </c>
      <c r="J20" s="9">
        <v>30</v>
      </c>
      <c r="K20" s="9">
        <v>13</v>
      </c>
      <c r="L20" s="9" t="str">
        <v>Penipuan</v>
      </c>
      <c r="M20" s="9" t="str">
        <v xml:space="preserve">UNIT SUDIRMAN DENPASAR GM               </v>
      </c>
      <c r="N20" s="9" t="str">
        <v xml:space="preserve">KC Denpasar Gajah Mada                  </v>
      </c>
      <c r="O20" s="9" t="str">
        <v xml:space="preserve">Denpasar                                </v>
      </c>
      <c r="P20" s="9" t="str">
        <v>Tidak</v>
      </c>
      <c r="Q20" s="9" t="str">
        <v>Tidak</v>
      </c>
      <c r="R20" s="9" t="str">
        <v>Done</v>
      </c>
      <c r="S20" s="9" t="str">
        <v>Approved</v>
      </c>
      <c r="T20" s="9" t="str">
        <v>90170665 - Mutiara Ayuningtyas</v>
      </c>
      <c r="U20" s="9" t="str">
        <v>"-"</v>
      </c>
      <c r="V20" s="12" t="s">
        <v>25</v>
      </c>
      <c r="W20" s="12"/>
      <c r="X20" s="14" t="b">
        <f>[3]STR!$X20</f>
        <v>0</v>
      </c>
      <c r="Y20" t="str">
        <f>_xlfn.XLOOKUP(TRIM(B20), [4]STR!$2:$2, [4]STR!$44:$44, "")</f>
        <v/>
      </c>
    </row>
    <row r="21" spans="1:25">
      <c r="A21" s="8">
        <v>46265</v>
      </c>
      <c r="B21" s="9" t="str">
        <v xml:space="preserve">PT INDOMARCO ADI PRIMA                  </v>
      </c>
      <c r="C21" s="9" t="str">
        <v>PFX2861</v>
      </c>
      <c r="D21" s="9">
        <v>1701000338303</v>
      </c>
      <c r="E21" s="9" t="str">
        <v>SEDANG</v>
      </c>
      <c r="F21" s="9" t="str">
        <v>Tidak</v>
      </c>
      <c r="G21" s="9" t="str">
        <v>Tidak</v>
      </c>
      <c r="H21" s="9" t="str">
        <v>Tidak</v>
      </c>
      <c r="I21" s="9" t="str">
        <v>Narkotika - Area Lapas</v>
      </c>
      <c r="J21" s="9">
        <v>50</v>
      </c>
      <c r="K21" s="9">
        <v>46</v>
      </c>
      <c r="L21" s="9" t="str">
        <v>Narkotika</v>
      </c>
      <c r="M21" s="9" t="str">
        <v>KC Denpasar Gajah Mada</v>
      </c>
      <c r="N21" s="9" t="str">
        <v>KC Denpasar Gajah Mada</v>
      </c>
      <c r="O21" s="9" t="str">
        <v>Denpasar</v>
      </c>
      <c r="P21" s="9" t="str">
        <v>Tidak</v>
      </c>
      <c r="Q21" s="9" t="str">
        <v>Tidak</v>
      </c>
      <c r="R21" s="9" t="str">
        <v>Done</v>
      </c>
      <c r="S21" s="9" t="str">
        <v>Approved</v>
      </c>
      <c r="T21" s="9" t="str">
        <v>90170665 - Mutiara Ayuningtyas</v>
      </c>
      <c r="U21" s="9" t="str">
        <v>"-"</v>
      </c>
      <c r="V21" s="12" t="s">
        <v>25</v>
      </c>
      <c r="W21" s="12"/>
      <c r="X21" s="14" t="b">
        <f>[3]STR!$X21</f>
        <v>0</v>
      </c>
      <c r="Y21" t="str">
        <f>_xlfn.XLOOKUP(TRIM(B21), [4]STR!$2:$2, [4]STR!$44:$44, "")</f>
        <v/>
      </c>
    </row>
    <row r="22" spans="1:25">
      <c r="A22" s="8">
        <v>46265</v>
      </c>
      <c r="B22" s="9" t="str">
        <v xml:space="preserve">PT SUMBAWA BANGKIT SEJAHTERA            </v>
      </c>
      <c r="C22" s="9" t="str">
        <v>PAV7505</v>
      </c>
      <c r="D22" s="9">
        <v>9301001108301</v>
      </c>
      <c r="E22" s="9" t="str">
        <v>SEDANG</v>
      </c>
      <c r="F22" s="9" t="str">
        <v>Tidak</v>
      </c>
      <c r="G22" s="9" t="str">
        <v>Tidak</v>
      </c>
      <c r="H22" s="9" t="str">
        <v>Tidak</v>
      </c>
      <c r="I22" s="9" t="str">
        <v>Perpajakan</v>
      </c>
      <c r="J22" s="9">
        <v>50</v>
      </c>
      <c r="K22" s="9">
        <v>41</v>
      </c>
      <c r="L22" s="9" t="str">
        <v>Perpajakan</v>
      </c>
      <c r="M22" s="9" t="str">
        <v xml:space="preserve">KC Sumbawa Besar                        </v>
      </c>
      <c r="N22" s="9" t="str">
        <v xml:space="preserve">KC Sumbawa Besar                        </v>
      </c>
      <c r="O22" s="9" t="str">
        <v xml:space="preserve">Denpasar                                </v>
      </c>
      <c r="P22" s="9" t="str">
        <v>Tidak</v>
      </c>
      <c r="Q22" s="9" t="str">
        <v>Ya</v>
      </c>
      <c r="R22" s="9" t="str">
        <v>Done</v>
      </c>
      <c r="S22" s="9" t="str">
        <v>Approved</v>
      </c>
      <c r="T22" s="9" t="str">
        <v>90185537 - Moh.Khoerul Fajar Ar</v>
      </c>
      <c r="U22" s="9" t="str">
        <v>"-"</v>
      </c>
      <c r="V22" s="12" t="s">
        <v>24</v>
      </c>
      <c r="W22" s="12"/>
      <c r="X22" s="14" t="b">
        <f>[3]STR!$X22</f>
        <v>1</v>
      </c>
      <c r="Y22">
        <f>_xlfn.XLOOKUP(TRIM(B22), [4]STR!$2:$2, [4]STR!$44:$44, "")</f>
        <v>3.0687499999999996</v>
      </c>
    </row>
    <row r="23" spans="1:25">
      <c r="A23" s="8">
        <v>46265</v>
      </c>
      <c r="B23" s="9" t="str">
        <v xml:space="preserve">PT.BPR MITRA BALI MUKTIJAYA MANDIRI     </v>
      </c>
      <c r="C23" s="9" t="str">
        <v>PA37556</v>
      </c>
      <c r="D23" s="9">
        <v>462601000001309</v>
      </c>
      <c r="E23" s="9" t="str">
        <v>SEDANG</v>
      </c>
      <c r="F23" s="9" t="str">
        <v>Tidak</v>
      </c>
      <c r="G23" s="9" t="str">
        <v>Tidak</v>
      </c>
      <c r="H23" s="9" t="str">
        <v>Tidak</v>
      </c>
      <c r="I23" s="9" t="str">
        <v>Narkotika - Area Lapas</v>
      </c>
      <c r="J23" s="9">
        <v>48</v>
      </c>
      <c r="K23" s="9">
        <v>47</v>
      </c>
      <c r="L23" s="9" t="str">
        <v>Narkotika</v>
      </c>
      <c r="M23" s="9" t="str">
        <v>UNIT KAYUAMBA BANGLI</v>
      </c>
      <c r="N23" s="9" t="str">
        <v>KC Bangli</v>
      </c>
      <c r="O23" s="9" t="str">
        <v>Denpasar</v>
      </c>
      <c r="P23" s="9" t="str">
        <v>Tidak</v>
      </c>
      <c r="Q23" s="9" t="str">
        <v>Tidak</v>
      </c>
      <c r="R23" s="9" t="str">
        <v>Done</v>
      </c>
      <c r="S23" s="9" t="str">
        <v>Approved</v>
      </c>
      <c r="T23" s="9" t="str">
        <v>90150130 - Intan Aida Pratiwi</v>
      </c>
      <c r="U23" s="9" t="str">
        <v>"-"</v>
      </c>
      <c r="V23" s="12" t="s">
        <v>24</v>
      </c>
      <c r="W23" s="12"/>
      <c r="X23" s="14" t="b">
        <f>[3]STR!$X23</f>
        <v>1</v>
      </c>
      <c r="Y23" t="str">
        <f>_xlfn.XLOOKUP(TRIM(B23), [4]STR!$2:$2, [4]STR!$44:$44, "")</f>
        <v/>
      </c>
    </row>
    <row r="24" spans="1:25">
      <c r="A24" s="8">
        <v>46265</v>
      </c>
      <c r="B24" s="9" t="str">
        <v xml:space="preserve">NUH ASGAR                               </v>
      </c>
      <c r="C24" s="9" t="str">
        <v>NP55289</v>
      </c>
      <c r="D24" s="9">
        <v>8801026455502</v>
      </c>
      <c r="E24" s="9" t="str">
        <v>TINGGI</v>
      </c>
      <c r="F24" s="9" t="str">
        <v>Tidak</v>
      </c>
      <c r="G24" s="9" t="str">
        <v>Tidak</v>
      </c>
      <c r="H24" s="9" t="str">
        <v>Tidak</v>
      </c>
      <c r="I24" s="9" t="str">
        <v>Perikanan dan Kelautan</v>
      </c>
      <c r="J24" s="9">
        <v>70</v>
      </c>
      <c r="K24" s="9">
        <v>101</v>
      </c>
      <c r="L24" s="9" t="str">
        <v>Perikanan dan Kelautan</v>
      </c>
      <c r="M24" s="9" t="str">
        <v xml:space="preserve">KC Singaraja                            </v>
      </c>
      <c r="N24" s="9" t="str">
        <v xml:space="preserve">KC Singaraja                            </v>
      </c>
      <c r="O24" s="9" t="str">
        <v xml:space="preserve">Denpasar                                </v>
      </c>
      <c r="P24" s="9" t="str">
        <v>Tidak</v>
      </c>
      <c r="Q24" s="9" t="str">
        <v>Tidak</v>
      </c>
      <c r="R24" s="9" t="str">
        <v>Done</v>
      </c>
      <c r="S24" s="9" t="str">
        <v>Approved</v>
      </c>
      <c r="T24" s="9" t="str">
        <v>90171841 - Rifqi Aziz</v>
      </c>
      <c r="U24" s="9" t="str">
        <v>"-"</v>
      </c>
      <c r="V24" s="12" t="s">
        <v>27</v>
      </c>
      <c r="W24" s="12"/>
      <c r="X24" s="14" t="b">
        <f>[3]STR!$X24</f>
        <v>1</v>
      </c>
      <c r="Y24" t="str">
        <f>_xlfn.XLOOKUP(TRIM(B24), [4]STR!$2:$2, [4]STR!$44:$44, "")</f>
        <v/>
      </c>
    </row>
    <row r="25" spans="1:25">
      <c r="A25" s="8">
        <v>46265</v>
      </c>
      <c r="B25" s="9" t="str">
        <v xml:space="preserve">MAYANTI                                 </v>
      </c>
      <c r="C25" s="9" t="str">
        <v>MKQC961</v>
      </c>
      <c r="D25" s="9">
        <v>468801024833530</v>
      </c>
      <c r="E25" s="9" t="str">
        <v>SEDANG</v>
      </c>
      <c r="F25" s="9" t="str">
        <v>Tidak</v>
      </c>
      <c r="G25" s="9" t="str">
        <v>Tidak</v>
      </c>
      <c r="H25" s="9" t="str">
        <v>Tidak</v>
      </c>
      <c r="I25" s="9" t="str">
        <v>Narkotika - Area Lapas</v>
      </c>
      <c r="J25" s="9">
        <v>51</v>
      </c>
      <c r="K25" s="9">
        <v>46</v>
      </c>
      <c r="L25" s="9" t="str">
        <v>Narkotika</v>
      </c>
      <c r="M25" s="9" t="str">
        <v>UNIT NARMADA MATARAM</v>
      </c>
      <c r="N25" s="9" t="str">
        <v>KC Mataram</v>
      </c>
      <c r="O25" s="9" t="str">
        <v>Denpasar</v>
      </c>
      <c r="P25" s="9" t="str">
        <v>Tidak</v>
      </c>
      <c r="Q25" s="9" t="str">
        <v>Tidak</v>
      </c>
      <c r="R25" s="9" t="str">
        <v>Done</v>
      </c>
      <c r="S25" s="9" t="str">
        <v>Approved</v>
      </c>
      <c r="T25" s="9" t="str">
        <v>00336949 - Mochammad Al Farabi</v>
      </c>
      <c r="U25" s="9" t="str">
        <v>"-"</v>
      </c>
      <c r="V25" s="12" t="s">
        <v>27</v>
      </c>
      <c r="W25" s="12"/>
      <c r="X25" s="14" t="b">
        <f>[3]STR!$X25</f>
        <v>1</v>
      </c>
      <c r="Y25" t="str">
        <f>_xlfn.XLOOKUP(TRIM(B25), [4]STR!$2:$2, [4]STR!$44:$44, "")</f>
        <v/>
      </c>
    </row>
  </sheetData>
  <protectedRanges>
    <protectedRange sqref="V1:X25" name="Range2"/>
  </protectedRanges>
  <autoFilter ref="A1:Z25" xr:uid="{5D929615-8C3A-47EA-A934-C22D5264FDC7}"/>
  <dataValidations count="1">
    <dataValidation type="list" allowBlank="1" showInputMessage="1" showErrorMessage="1" sqref="V2:V25" xr:uid="{301118BD-397E-4EC9-AD0D-5D421816956D}">
      <formula1>"Dewa Nyoman Wedana, I Made Budiartha, Ida Bagus Pidada Manuaba"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34"/>
  <sheetViews>
    <sheetView workbookViewId="0">
      <selection activeCell="D3" sqref="D3"/>
    </sheetView>
  </sheetViews>
  <sheetFormatPr defaultRowHeight="14.45"/>
  <cols>
    <col min="1" max="1" width="5.5703125" customWidth="1"/>
    <col min="2" max="2" width="30.85546875" customWidth="1"/>
    <col min="3" max="3" width="24.5703125" customWidth="1"/>
    <col min="4" max="4" width="12.42578125" bestFit="1" customWidth="1"/>
  </cols>
  <sheetData>
    <row r="1" spans="1:5">
      <c r="D1" s="51">
        <v>46280</v>
      </c>
      <c r="E1" s="52"/>
    </row>
    <row r="2" spans="1:5">
      <c r="A2" s="4" t="s">
        <v>28</v>
      </c>
      <c r="B2" s="4" t="s">
        <v>29</v>
      </c>
      <c r="C2" s="4" t="s">
        <v>30</v>
      </c>
      <c r="D2" s="30" t="s">
        <v>31</v>
      </c>
      <c r="E2" s="31" t="s">
        <v>32</v>
      </c>
    </row>
    <row r="3" spans="1:5" ht="15">
      <c r="A3" s="3">
        <v>4</v>
      </c>
      <c r="B3" s="1" t="s">
        <v>33</v>
      </c>
      <c r="C3" s="3" t="s">
        <v>25</v>
      </c>
      <c r="D3" s="33">
        <f>_xlfn.XLOOKUP(B3, [1]PEP!$B:$B,[1]PEP!$G:$G)</f>
        <v>1</v>
      </c>
      <c r="E3" s="53">
        <f>AVERAGE(D3:D13)</f>
        <v>1</v>
      </c>
    </row>
    <row r="4" spans="1:5" ht="15">
      <c r="A4" s="3">
        <v>8</v>
      </c>
      <c r="B4" s="1" t="s">
        <v>34</v>
      </c>
      <c r="C4" s="3" t="s">
        <v>25</v>
      </c>
      <c r="D4" s="33">
        <f>_xlfn.XLOOKUP(B4, [1]PEP!$B:$B,[1]PEP!$G:$G)</f>
        <v>1</v>
      </c>
      <c r="E4" s="53"/>
    </row>
    <row r="5" spans="1:5" ht="15">
      <c r="A5" s="3">
        <v>11</v>
      </c>
      <c r="B5" s="1" t="s">
        <v>35</v>
      </c>
      <c r="C5" s="3" t="s">
        <v>25</v>
      </c>
      <c r="D5" s="33">
        <f>_xlfn.XLOOKUP(B5, [1]PEP!$B:$B,[1]PEP!$G:$G)</f>
        <v>1</v>
      </c>
      <c r="E5" s="53"/>
    </row>
    <row r="6" spans="1:5" ht="15">
      <c r="A6" s="3">
        <v>12</v>
      </c>
      <c r="B6" s="1" t="s">
        <v>36</v>
      </c>
      <c r="C6" s="3" t="s">
        <v>25</v>
      </c>
      <c r="D6" s="33">
        <f>_xlfn.XLOOKUP(B6, [1]PEP!$B:$B,[1]PEP!$G:$G)</f>
        <v>1</v>
      </c>
      <c r="E6" s="53"/>
    </row>
    <row r="7" spans="1:5" ht="15">
      <c r="A7" s="3">
        <v>32</v>
      </c>
      <c r="B7" s="3" t="s">
        <v>37</v>
      </c>
      <c r="C7" s="3" t="s">
        <v>25</v>
      </c>
      <c r="D7" s="33">
        <f>_xlfn.XLOOKUP(B7, [1]PEP!$B:$B,[1]PEP!$G:$G)</f>
        <v>1</v>
      </c>
      <c r="E7" s="53"/>
    </row>
    <row r="8" spans="1:5" ht="15">
      <c r="A8" s="3">
        <v>19</v>
      </c>
      <c r="B8" s="1" t="s">
        <v>38</v>
      </c>
      <c r="C8" s="3" t="s">
        <v>25</v>
      </c>
      <c r="D8" s="33">
        <f>_xlfn.XLOOKUP(B8, [1]PEP!$B:$B,[1]PEP!$G:$G)</f>
        <v>1</v>
      </c>
      <c r="E8" s="53"/>
    </row>
    <row r="9" spans="1:5" ht="15">
      <c r="A9" s="3">
        <v>21</v>
      </c>
      <c r="B9" s="1" t="s">
        <v>39</v>
      </c>
      <c r="C9" s="3" t="s">
        <v>25</v>
      </c>
      <c r="D9" s="33">
        <f>_xlfn.XLOOKUP(B9, [1]PEP!$B:$B,[1]PEP!$G:$G)</f>
        <v>1</v>
      </c>
      <c r="E9" s="53"/>
    </row>
    <row r="10" spans="1:5" ht="15">
      <c r="A10" s="3">
        <v>27</v>
      </c>
      <c r="B10" s="3" t="s">
        <v>40</v>
      </c>
      <c r="C10" s="3" t="s">
        <v>25</v>
      </c>
      <c r="D10" s="33">
        <f>_xlfn.XLOOKUP(B10, [1]PEP!$B:$B,[1]PEP!$G:$G)</f>
        <v>1</v>
      </c>
      <c r="E10" s="53"/>
    </row>
    <row r="11" spans="1:5" ht="15">
      <c r="A11" s="3">
        <v>29</v>
      </c>
      <c r="B11" s="3" t="s">
        <v>41</v>
      </c>
      <c r="C11" s="3" t="s">
        <v>25</v>
      </c>
      <c r="D11" s="33">
        <f>_xlfn.XLOOKUP(B11, [1]PEP!$B:$B,[1]PEP!$G:$G)</f>
        <v>1</v>
      </c>
      <c r="E11" s="53"/>
    </row>
    <row r="12" spans="1:5" ht="15">
      <c r="A12" s="3">
        <v>30</v>
      </c>
      <c r="B12" s="3" t="s">
        <v>42</v>
      </c>
      <c r="C12" s="3" t="s">
        <v>25</v>
      </c>
      <c r="D12" s="33">
        <f>_xlfn.XLOOKUP(B12, [1]PEP!$B:$B,[1]PEP!$G:$G)</f>
        <v>1</v>
      </c>
      <c r="E12" s="53"/>
    </row>
    <row r="13" spans="1:5" ht="15">
      <c r="A13" s="3">
        <v>5</v>
      </c>
      <c r="B13" s="1" t="s">
        <v>43</v>
      </c>
      <c r="C13" s="3" t="s">
        <v>25</v>
      </c>
      <c r="D13" s="33">
        <f>_xlfn.XLOOKUP(B13, [1]PEP!$B:$B,[1]PEP!$G:$G)</f>
        <v>1</v>
      </c>
      <c r="E13" s="53"/>
    </row>
    <row r="14" spans="1:5" ht="15">
      <c r="A14" s="3">
        <v>2</v>
      </c>
      <c r="B14" s="1" t="s">
        <v>44</v>
      </c>
      <c r="C14" s="18" t="s">
        <v>24</v>
      </c>
      <c r="D14" s="33">
        <f>_xlfn.XLOOKUP(B14, [1]PEP!$B:$B,[1]PEP!$G:$G)</f>
        <v>0.96153846153846156</v>
      </c>
      <c r="E14" s="53">
        <f>AVERAGE(D14:D26)</f>
        <v>0.99540475890721392</v>
      </c>
    </row>
    <row r="15" spans="1:5" ht="15">
      <c r="A15" s="3">
        <v>3</v>
      </c>
      <c r="B15" s="19" t="s">
        <v>45</v>
      </c>
      <c r="C15" s="3" t="s">
        <v>24</v>
      </c>
      <c r="D15" s="33">
        <f>_xlfn.XLOOKUP(B15, [1]PEP!$B:$B,[1]PEP!$G:$G)</f>
        <v>1</v>
      </c>
      <c r="E15" s="53"/>
    </row>
    <row r="16" spans="1:5" ht="15">
      <c r="A16" s="3">
        <v>9</v>
      </c>
      <c r="B16" s="19" t="s">
        <v>46</v>
      </c>
      <c r="C16" s="3" t="s">
        <v>24</v>
      </c>
      <c r="D16" s="33">
        <f>_xlfn.XLOOKUP(B16, [1]PEP!$B:$B,[1]PEP!$G:$G)</f>
        <v>1</v>
      </c>
      <c r="E16" s="53"/>
    </row>
    <row r="17" spans="1:5" ht="15">
      <c r="A17" s="3">
        <v>10</v>
      </c>
      <c r="B17" s="19" t="s">
        <v>47</v>
      </c>
      <c r="C17" s="3" t="s">
        <v>24</v>
      </c>
      <c r="D17" s="33">
        <f>_xlfn.XLOOKUP(B17, [1]PEP!$B:$B,[1]PEP!$G:$G)</f>
        <v>1</v>
      </c>
      <c r="E17" s="53"/>
    </row>
    <row r="18" spans="1:5" ht="15">
      <c r="A18" s="3">
        <v>13</v>
      </c>
      <c r="B18" s="19" t="s">
        <v>48</v>
      </c>
      <c r="C18" s="9" t="s">
        <v>24</v>
      </c>
      <c r="D18" s="33">
        <f>_xlfn.XLOOKUP(B18, [1]PEP!$B:$B,[1]PEP!$G:$G)</f>
        <v>1</v>
      </c>
      <c r="E18" s="53"/>
    </row>
    <row r="19" spans="1:5" ht="15">
      <c r="A19" s="3">
        <v>14</v>
      </c>
      <c r="B19" s="20" t="s">
        <v>49</v>
      </c>
      <c r="C19" s="9" t="s">
        <v>24</v>
      </c>
      <c r="D19" s="33">
        <f>_xlfn.XLOOKUP(B19, [1]PEP!$B:$B,[1]PEP!$G:$G)</f>
        <v>1</v>
      </c>
      <c r="E19" s="53"/>
    </row>
    <row r="20" spans="1:5" ht="15">
      <c r="A20" s="16">
        <v>15</v>
      </c>
      <c r="B20" s="34" t="s">
        <v>50</v>
      </c>
      <c r="C20" s="3" t="s">
        <v>24</v>
      </c>
      <c r="D20" s="33">
        <f>_xlfn.XLOOKUP(B20, [1]PEP!$B:$B,[1]PEP!$G:$G)</f>
        <v>1</v>
      </c>
      <c r="E20" s="53"/>
    </row>
    <row r="21" spans="1:5">
      <c r="A21" s="16">
        <v>18</v>
      </c>
      <c r="B21" s="21" t="s">
        <v>51</v>
      </c>
      <c r="C21" s="9" t="s">
        <v>24</v>
      </c>
      <c r="D21" s="33">
        <f>_xlfn.XLOOKUP(B21, [1]PEP!$B:$B,[1]PEP!$G:$G)</f>
        <v>1</v>
      </c>
      <c r="E21" s="53"/>
    </row>
    <row r="22" spans="1:5" ht="15">
      <c r="A22" s="16">
        <v>22</v>
      </c>
      <c r="B22" s="21" t="s">
        <v>52</v>
      </c>
      <c r="C22" s="9" t="s">
        <v>24</v>
      </c>
      <c r="D22" s="33">
        <f>_xlfn.XLOOKUP(B22, [1]PEP!$B:$B,[1]PEP!$G:$G)</f>
        <v>0.97872340425531912</v>
      </c>
      <c r="E22" s="53"/>
    </row>
    <row r="23" spans="1:5" ht="15">
      <c r="A23" s="16">
        <v>23</v>
      </c>
      <c r="B23" s="21" t="s">
        <v>53</v>
      </c>
      <c r="C23" s="9" t="s">
        <v>24</v>
      </c>
      <c r="D23" s="33">
        <f>_xlfn.XLOOKUP(B23, [1]PEP!$B:$B,[1]PEP!$G:$G)</f>
        <v>1</v>
      </c>
      <c r="E23" s="53"/>
    </row>
    <row r="24" spans="1:5" ht="15">
      <c r="A24" s="16">
        <v>25</v>
      </c>
      <c r="B24" s="22" t="s">
        <v>54</v>
      </c>
      <c r="C24" s="3" t="s">
        <v>24</v>
      </c>
      <c r="D24" s="33">
        <f>_xlfn.XLOOKUP(B24, [1]PEP!$B:$B,[1]PEP!$G:$G)</f>
        <v>1</v>
      </c>
      <c r="E24" s="53"/>
    </row>
    <row r="25" spans="1:5" ht="15">
      <c r="A25" s="16">
        <v>26</v>
      </c>
      <c r="B25" s="22" t="s">
        <v>55</v>
      </c>
      <c r="C25" s="3" t="s">
        <v>24</v>
      </c>
      <c r="D25" s="33">
        <f>_xlfn.XLOOKUP(B25, [1]PEP!$B:$B,[1]PEP!$G:$G)</f>
        <v>1</v>
      </c>
      <c r="E25" s="53"/>
    </row>
    <row r="26" spans="1:5" ht="15">
      <c r="A26" s="16">
        <v>28</v>
      </c>
      <c r="B26" s="22" t="s">
        <v>56</v>
      </c>
      <c r="C26" s="9" t="s">
        <v>24</v>
      </c>
      <c r="D26" s="33">
        <f>_xlfn.XLOOKUP(B26, [1]PEP!$B:$B,[1]PEP!$G:$G)</f>
        <v>1</v>
      </c>
      <c r="E26" s="53"/>
    </row>
    <row r="27" spans="1:5" ht="15">
      <c r="A27" s="16">
        <v>1</v>
      </c>
      <c r="B27" s="21" t="s">
        <v>57</v>
      </c>
      <c r="C27" s="3" t="s">
        <v>27</v>
      </c>
      <c r="D27" s="33">
        <f>_xlfn.XLOOKUP(B27, [1]PEP!$B:$B,[1]PEP!$G:$G)</f>
        <v>1</v>
      </c>
      <c r="E27" s="53">
        <f>AVERAGE(D27:D34)</f>
        <v>0.99934895833333326</v>
      </c>
    </row>
    <row r="28" spans="1:5" ht="15">
      <c r="A28" s="16">
        <v>6</v>
      </c>
      <c r="B28" s="21" t="s">
        <v>58</v>
      </c>
      <c r="C28" s="3" t="s">
        <v>27</v>
      </c>
      <c r="D28" s="33">
        <f>_xlfn.XLOOKUP(B28, [1]PEP!$B:$B,[1]PEP!$G:$G)</f>
        <v>1</v>
      </c>
      <c r="E28" s="53"/>
    </row>
    <row r="29" spans="1:5" ht="15">
      <c r="A29" s="16">
        <v>7</v>
      </c>
      <c r="B29" s="21" t="s">
        <v>59</v>
      </c>
      <c r="C29" s="9" t="s">
        <v>27</v>
      </c>
      <c r="D29" s="33">
        <f>_xlfn.XLOOKUP(B29, [1]PEP!$B:$B,[1]PEP!$G:$G)</f>
        <v>1</v>
      </c>
      <c r="E29" s="53"/>
    </row>
    <row r="30" spans="1:5" ht="15">
      <c r="A30" s="16">
        <v>16</v>
      </c>
      <c r="B30" s="21" t="s">
        <v>60</v>
      </c>
      <c r="C30" s="3" t="s">
        <v>27</v>
      </c>
      <c r="D30" s="33">
        <f>_xlfn.XLOOKUP(B30, [1]PEP!$B:$B,[1]PEP!$G:$G)</f>
        <v>0.99479166666666663</v>
      </c>
      <c r="E30" s="53"/>
    </row>
    <row r="31" spans="1:5" ht="15">
      <c r="A31" s="16">
        <v>17</v>
      </c>
      <c r="B31" s="21" t="s">
        <v>61</v>
      </c>
      <c r="C31" s="9" t="s">
        <v>27</v>
      </c>
      <c r="D31" s="33">
        <f>_xlfn.XLOOKUP(B31, [1]PEP!$B:$B,[1]PEP!$G:$G)</f>
        <v>1</v>
      </c>
      <c r="E31" s="53"/>
    </row>
    <row r="32" spans="1:5" ht="15">
      <c r="A32" s="16">
        <v>20</v>
      </c>
      <c r="B32" s="21" t="s">
        <v>62</v>
      </c>
      <c r="C32" s="9" t="s">
        <v>27</v>
      </c>
      <c r="D32" s="33">
        <f>_xlfn.XLOOKUP(B32, [1]PEP!$B:$B,[1]PEP!$G:$G)</f>
        <v>1</v>
      </c>
      <c r="E32" s="53"/>
    </row>
    <row r="33" spans="1:5" ht="15">
      <c r="A33" s="16">
        <v>24</v>
      </c>
      <c r="B33" s="21" t="s">
        <v>63</v>
      </c>
      <c r="C33" s="9" t="s">
        <v>27</v>
      </c>
      <c r="D33" s="33">
        <f>_xlfn.XLOOKUP(B33, [1]PEP!$B:$B,[1]PEP!$G:$G)</f>
        <v>1</v>
      </c>
      <c r="E33" s="53"/>
    </row>
    <row r="34" spans="1:5">
      <c r="A34" s="16">
        <v>31</v>
      </c>
      <c r="B34" s="22" t="s">
        <v>64</v>
      </c>
      <c r="C34" s="9" t="s">
        <v>27</v>
      </c>
      <c r="D34" s="33">
        <f>_xlfn.XLOOKUP(B34, [1]PEP!$B:$B,[1]PEP!$G:$G)</f>
        <v>1</v>
      </c>
      <c r="E34" s="53"/>
    </row>
  </sheetData>
  <autoFilter ref="A2:D2" xr:uid="{41D34422-91B6-4A51-943A-538253BDFA20}">
    <sortState xmlns:xlrd2="http://schemas.microsoft.com/office/spreadsheetml/2017/richdata2" ref="A3:D34">
      <sortCondition ref="C2"/>
    </sortState>
  </autoFilter>
  <mergeCells count="4">
    <mergeCell ref="D1:E1"/>
    <mergeCell ref="E3:E13"/>
    <mergeCell ref="E14:E26"/>
    <mergeCell ref="E27:E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AEAE-CAFE-45C2-BA1F-7C13739056B3}">
  <sheetPr>
    <tabColor theme="6" tint="-0.249977111117893"/>
  </sheetPr>
  <dimension ref="A1:E35"/>
  <sheetViews>
    <sheetView topLeftCell="A7" workbookViewId="0">
      <selection activeCell="B33" sqref="B33"/>
    </sheetView>
  </sheetViews>
  <sheetFormatPr defaultRowHeight="15"/>
  <cols>
    <col min="1" max="1" width="5.5703125" customWidth="1"/>
    <col min="2" max="2" width="30.85546875" customWidth="1"/>
    <col min="3" max="3" width="26.7109375" customWidth="1"/>
    <col min="4" max="4" width="10" bestFit="1" customWidth="1"/>
  </cols>
  <sheetData>
    <row r="1" spans="1:5" ht="14.45">
      <c r="D1" s="51">
        <v>46280</v>
      </c>
      <c r="E1" s="52"/>
    </row>
    <row r="2" spans="1:5" ht="14.45">
      <c r="A2" s="4" t="s">
        <v>28</v>
      </c>
      <c r="B2" s="4" t="s">
        <v>29</v>
      </c>
      <c r="C2" s="4" t="s">
        <v>30</v>
      </c>
      <c r="D2" s="30" t="s">
        <v>65</v>
      </c>
      <c r="E2" s="31" t="s">
        <v>32</v>
      </c>
    </row>
    <row r="3" spans="1:5">
      <c r="A3" s="3">
        <v>1</v>
      </c>
      <c r="B3" s="1" t="s">
        <v>33</v>
      </c>
      <c r="C3" s="3" t="str">
        <f>'EDD PEP PPATK'!C6</f>
        <v>Dewa Nyoman Wedana</v>
      </c>
      <c r="D3" s="33">
        <f>_xlfn.XLOOKUP(B3, '[1]Bad Data'!$B:$B, '[1]Bad Data'!$D:$D)</f>
        <v>3.3899999999999998E-3</v>
      </c>
      <c r="E3" s="53">
        <f>AVERAGE(D3:D13)</f>
        <v>6.2190909090909094E-3</v>
      </c>
    </row>
    <row r="4" spans="1:5">
      <c r="A4" s="3">
        <v>2</v>
      </c>
      <c r="B4" s="1" t="s">
        <v>34</v>
      </c>
      <c r="C4" s="3" t="str">
        <f>'EDD PEP PPATK'!C10</f>
        <v>Dewa Nyoman Wedana</v>
      </c>
      <c r="D4" s="33">
        <f>_xlfn.XLOOKUP(B4, '[1]Bad Data'!$B:$B, '[1]Bad Data'!$D:$D)</f>
        <v>9.1299999999999992E-3</v>
      </c>
      <c r="E4" s="53"/>
    </row>
    <row r="5" spans="1:5">
      <c r="A5" s="3">
        <v>3</v>
      </c>
      <c r="B5" s="1" t="s">
        <v>35</v>
      </c>
      <c r="C5" s="3" t="str">
        <f>'EDD PEP PPATK'!C13</f>
        <v>Dewa Nyoman Wedana</v>
      </c>
      <c r="D5" s="33">
        <f>_xlfn.XLOOKUP(B5, '[1]Bad Data'!$B:$B, '[1]Bad Data'!$D:$D)</f>
        <v>4.9300000000000004E-3</v>
      </c>
      <c r="E5" s="53"/>
    </row>
    <row r="6" spans="1:5">
      <c r="A6" s="3">
        <v>4</v>
      </c>
      <c r="B6" s="1" t="s">
        <v>43</v>
      </c>
      <c r="C6" s="3" t="str">
        <f>'EDD PEP PPATK'!C7</f>
        <v>Dewa Nyoman Wedana</v>
      </c>
      <c r="D6" s="33">
        <f>_xlfn.XLOOKUP(B6, '[1]Bad Data'!$B:$B, '[1]Bad Data'!$D:$D)</f>
        <v>5.5500000000000002E-3</v>
      </c>
      <c r="E6" s="53"/>
    </row>
    <row r="7" spans="1:5">
      <c r="A7" s="3">
        <v>5</v>
      </c>
      <c r="B7" s="1" t="s">
        <v>44</v>
      </c>
      <c r="C7" s="3" t="str">
        <f>'EDD PEP PPATK'!C4</f>
        <v>Dewa Nyoman Wedana</v>
      </c>
      <c r="D7" s="33">
        <f>_xlfn.XLOOKUP(B7, '[1]Bad Data'!$B:$B, '[1]Bad Data'!$D:$D)</f>
        <v>5.8999999999999999E-3</v>
      </c>
      <c r="E7" s="53"/>
    </row>
    <row r="8" spans="1:5">
      <c r="A8" s="3">
        <v>6</v>
      </c>
      <c r="B8" s="1" t="s">
        <v>45</v>
      </c>
      <c r="C8" s="3" t="str">
        <f>'EDD PEP PPATK'!C5</f>
        <v>Dewa Nyoman Wedana</v>
      </c>
      <c r="D8" s="33">
        <f>_xlfn.XLOOKUP(B8, '[1]Bad Data'!$B:$B, '[1]Bad Data'!$D:$D)</f>
        <v>6.8399999999999997E-3</v>
      </c>
      <c r="E8" s="53"/>
    </row>
    <row r="9" spans="1:5">
      <c r="A9" s="3">
        <v>7</v>
      </c>
      <c r="B9" s="1" t="s">
        <v>46</v>
      </c>
      <c r="C9" s="3" t="str">
        <f>'EDD PEP PPATK'!C11</f>
        <v>Dewa Nyoman Wedana</v>
      </c>
      <c r="D9" s="33">
        <f>_xlfn.XLOOKUP(B9, '[1]Bad Data'!$B:$B, '[1]Bad Data'!$D:$D)</f>
        <v>9.9000000000000008E-3</v>
      </c>
      <c r="E9" s="53"/>
    </row>
    <row r="10" spans="1:5">
      <c r="A10" s="3">
        <v>8</v>
      </c>
      <c r="B10" s="1" t="s">
        <v>47</v>
      </c>
      <c r="C10" s="3" t="str">
        <f>'EDD PEP PPATK'!C12</f>
        <v>Dewa Nyoman Wedana</v>
      </c>
      <c r="D10" s="33">
        <f>_xlfn.XLOOKUP(B10, '[1]Bad Data'!$B:$B, '[1]Bad Data'!$D:$D)</f>
        <v>3.79E-3</v>
      </c>
      <c r="E10" s="53"/>
    </row>
    <row r="11" spans="1:5">
      <c r="A11" s="3">
        <v>9</v>
      </c>
      <c r="B11" s="1" t="s">
        <v>57</v>
      </c>
      <c r="C11" s="3" t="str">
        <f>'EDD PEP PPATK'!C3</f>
        <v>Dewa Nyoman Wedana</v>
      </c>
      <c r="D11" s="33">
        <f>_xlfn.XLOOKUP(B11, '[1]Bad Data'!$B:$B, '[1]Bad Data'!$D:$D)</f>
        <v>7.5199999999999998E-3</v>
      </c>
      <c r="E11" s="53"/>
    </row>
    <row r="12" spans="1:5">
      <c r="A12" s="3">
        <v>10</v>
      </c>
      <c r="B12" s="1" t="s">
        <v>58</v>
      </c>
      <c r="C12" s="3" t="str">
        <f>'EDD PEP PPATK'!C8</f>
        <v>Dewa Nyoman Wedana</v>
      </c>
      <c r="D12" s="33">
        <f>_xlfn.XLOOKUP(B12, '[1]Bad Data'!$B:$B, '[1]Bad Data'!$D:$D)</f>
        <v>6.4400000000000004E-3</v>
      </c>
      <c r="E12" s="53"/>
    </row>
    <row r="13" spans="1:5">
      <c r="A13" s="3">
        <v>11</v>
      </c>
      <c r="B13" s="1" t="s">
        <v>59</v>
      </c>
      <c r="C13" s="3" t="str">
        <f>'EDD PEP PPATK'!C9</f>
        <v>Dewa Nyoman Wedana</v>
      </c>
      <c r="D13" s="33">
        <f>_xlfn.XLOOKUP(B13, '[1]Bad Data'!$B:$B, '[1]Bad Data'!$D:$D)</f>
        <v>5.0200000000000002E-3</v>
      </c>
      <c r="E13" s="53"/>
    </row>
    <row r="14" spans="1:5">
      <c r="A14" s="3">
        <v>12</v>
      </c>
      <c r="B14" s="1" t="s">
        <v>36</v>
      </c>
      <c r="C14" s="3" t="str">
        <f>'EDD PEP PPATK'!C14</f>
        <v>I Made Budiartha</v>
      </c>
      <c r="D14" s="33">
        <f>_xlfn.XLOOKUP(B14, '[1]Bad Data'!$B:$B, '[1]Bad Data'!$D:$D)</f>
        <v>5.8599999999999998E-3</v>
      </c>
      <c r="E14" s="53">
        <f>AVERAGE(D14:D26)</f>
        <v>6.1900000000000002E-3</v>
      </c>
    </row>
    <row r="15" spans="1:5">
      <c r="A15" s="3">
        <v>13</v>
      </c>
      <c r="B15" s="2" t="s">
        <v>50</v>
      </c>
      <c r="C15" s="3" t="str">
        <f>'EDD PEP PPATK'!C17</f>
        <v>I Made Budiartha</v>
      </c>
      <c r="D15" s="33">
        <f>_xlfn.XLOOKUP(B15, '[1]Bad Data'!$B:$B, '[1]Bad Data'!$D:$D)</f>
        <v>7.3899999999999999E-3</v>
      </c>
      <c r="E15" s="53"/>
    </row>
    <row r="16" spans="1:5">
      <c r="A16" s="3">
        <v>14</v>
      </c>
      <c r="B16" s="1" t="s">
        <v>62</v>
      </c>
      <c r="C16" s="3" t="str">
        <f>'EDD PEP PPATK'!C22</f>
        <v>I Made Budiartha</v>
      </c>
      <c r="D16" s="33">
        <f>_xlfn.XLOOKUP(B16, '[1]Bad Data'!$B:$B, '[1]Bad Data'!$D:$D)</f>
        <v>8.3700000000000007E-3</v>
      </c>
      <c r="E16" s="53"/>
    </row>
    <row r="17" spans="1:5">
      <c r="A17" s="3">
        <v>15</v>
      </c>
      <c r="B17" s="1" t="s">
        <v>52</v>
      </c>
      <c r="C17" s="3" t="str">
        <f>'EDD PEP PPATK'!C24</f>
        <v>I Made Budiartha</v>
      </c>
      <c r="D17" s="33">
        <f>_xlfn.XLOOKUP(B17, '[1]Bad Data'!$B:$B, '[1]Bad Data'!$D:$D)</f>
        <v>8.9200000000000008E-3</v>
      </c>
      <c r="E17" s="53"/>
    </row>
    <row r="18" spans="1:5">
      <c r="A18" s="3">
        <v>16</v>
      </c>
      <c r="B18" s="1" t="s">
        <v>48</v>
      </c>
      <c r="C18" s="3" t="str">
        <f>'EDD PEP PPATK'!C15</f>
        <v>I Made Budiartha</v>
      </c>
      <c r="D18" s="33">
        <f>_xlfn.XLOOKUP(B18, '[1]Bad Data'!$B:$B, '[1]Bad Data'!$D:$D)</f>
        <v>1.086E-2</v>
      </c>
      <c r="E18" s="53"/>
    </row>
    <row r="19" spans="1:5">
      <c r="A19" s="3">
        <v>17</v>
      </c>
      <c r="B19" s="17" t="s">
        <v>49</v>
      </c>
      <c r="C19" s="3" t="str">
        <f>'EDD PEP PPATK'!C16</f>
        <v>I Made Budiartha</v>
      </c>
      <c r="D19" s="33">
        <f>_xlfn.XLOOKUP(B19, '[1]Bad Data'!$B:$B, '[1]Bad Data'!$D:$D)</f>
        <v>4.0200000000000001E-3</v>
      </c>
      <c r="E19" s="53"/>
    </row>
    <row r="20" spans="1:5">
      <c r="A20" s="16">
        <v>18</v>
      </c>
      <c r="B20" s="15" t="s">
        <v>60</v>
      </c>
      <c r="C20" s="3" t="str">
        <f>'EDD PEP PPATK'!C18</f>
        <v>I Made Budiartha</v>
      </c>
      <c r="D20" s="33">
        <f>_xlfn.XLOOKUP(B20, '[1]Bad Data'!$B:$B, '[1]Bad Data'!$D:$D)</f>
        <v>4.6800000000000001E-3</v>
      </c>
      <c r="E20" s="53"/>
    </row>
    <row r="21" spans="1:5" ht="14.45">
      <c r="A21" s="16">
        <v>19</v>
      </c>
      <c r="B21" s="15" t="s">
        <v>38</v>
      </c>
      <c r="C21" s="3" t="str">
        <f>'EDD PEP PPATK'!C21</f>
        <v>I Made Budiartha</v>
      </c>
      <c r="D21" s="33">
        <f>_xlfn.XLOOKUP(B21, '[1]Bad Data'!$B:$B, '[1]Bad Data'!$D:$D)</f>
        <v>7.7600000000000004E-3</v>
      </c>
      <c r="E21" s="53"/>
    </row>
    <row r="22" spans="1:5">
      <c r="A22" s="16">
        <v>20</v>
      </c>
      <c r="B22" s="15" t="s">
        <v>53</v>
      </c>
      <c r="C22" s="3" t="str">
        <f>'EDD PEP PPATK'!C25</f>
        <v>I Made Budiartha</v>
      </c>
      <c r="D22" s="33">
        <f>_xlfn.XLOOKUP(B22, '[1]Bad Data'!$B:$B, '[1]Bad Data'!$D:$D)</f>
        <v>3.0200000000000001E-3</v>
      </c>
      <c r="E22" s="53"/>
    </row>
    <row r="23" spans="1:5">
      <c r="A23" s="16">
        <v>21</v>
      </c>
      <c r="B23" s="15" t="s">
        <v>63</v>
      </c>
      <c r="C23" s="3" t="str">
        <f>'EDD PEP PPATK'!C26</f>
        <v>I Made Budiartha</v>
      </c>
      <c r="D23" s="33">
        <f>_xlfn.XLOOKUP(B23, '[1]Bad Data'!$B:$B, '[1]Bad Data'!$D:$D)</f>
        <v>6.1000000000000004E-3</v>
      </c>
      <c r="E23" s="53"/>
    </row>
    <row r="24" spans="1:5">
      <c r="A24" s="16">
        <v>22</v>
      </c>
      <c r="B24" s="15" t="s">
        <v>61</v>
      </c>
      <c r="C24" s="3" t="str">
        <f>'EDD PEP PPATK'!C19</f>
        <v>I Made Budiartha</v>
      </c>
      <c r="D24" s="33">
        <f>_xlfn.XLOOKUP(B24, '[1]Bad Data'!$B:$B, '[1]Bad Data'!$D:$D)</f>
        <v>6.0200000000000002E-3</v>
      </c>
      <c r="E24" s="53"/>
    </row>
    <row r="25" spans="1:5">
      <c r="A25" s="16">
        <v>23</v>
      </c>
      <c r="B25" s="15" t="s">
        <v>51</v>
      </c>
      <c r="C25" s="3" t="str">
        <f>'EDD PEP PPATK'!C20</f>
        <v>I Made Budiartha</v>
      </c>
      <c r="D25" s="33">
        <f>_xlfn.XLOOKUP(B25, '[1]Bad Data'!$B:$B, '[1]Bad Data'!$D:$D)</f>
        <v>5.8799999999999998E-3</v>
      </c>
      <c r="E25" s="53"/>
    </row>
    <row r="26" spans="1:5">
      <c r="A26" s="16">
        <v>24</v>
      </c>
      <c r="B26" s="15" t="s">
        <v>39</v>
      </c>
      <c r="C26" s="3" t="str">
        <f>'EDD PEP PPATK'!C23</f>
        <v>I Made Budiartha</v>
      </c>
      <c r="D26" s="33">
        <f>_xlfn.XLOOKUP(B26, '[1]Bad Data'!$B:$B, '[1]Bad Data'!$D:$D)</f>
        <v>1.5900000000000001E-3</v>
      </c>
      <c r="E26" s="53"/>
    </row>
    <row r="27" spans="1:5">
      <c r="A27" s="16">
        <v>25</v>
      </c>
      <c r="B27" s="9" t="s">
        <v>56</v>
      </c>
      <c r="C27" s="3" t="str">
        <f>'EDD PEP PPATK'!C30</f>
        <v>Ida Bagus Pidada Manuaba</v>
      </c>
      <c r="D27" s="33">
        <f>_xlfn.XLOOKUP(B27, '[1]Bad Data'!$B:$B, '[1]Bad Data'!$D:$D)</f>
        <v>1.6000000000000001E-4</v>
      </c>
      <c r="E27" s="53">
        <f>AVERAGE(D27:D34)</f>
        <v>6.5624999999999998E-3</v>
      </c>
    </row>
    <row r="28" spans="1:5">
      <c r="A28" s="16">
        <v>26</v>
      </c>
      <c r="B28" s="9" t="s">
        <v>42</v>
      </c>
      <c r="C28" s="3" t="str">
        <f>'EDD PEP PPATK'!C32</f>
        <v>Ida Bagus Pidada Manuaba</v>
      </c>
      <c r="D28" s="33">
        <f>_xlfn.XLOOKUP(B28, '[1]Bad Data'!$B:$B, '[1]Bad Data'!$D:$D)</f>
        <v>6.43E-3</v>
      </c>
      <c r="E28" s="53"/>
    </row>
    <row r="29" spans="1:5">
      <c r="A29" s="16">
        <v>27</v>
      </c>
      <c r="B29" s="9" t="s">
        <v>64</v>
      </c>
      <c r="C29" s="3" t="str">
        <f>'EDD PEP PPATK'!C33</f>
        <v>Ida Bagus Pidada Manuaba</v>
      </c>
      <c r="D29" s="33">
        <f>_xlfn.XLOOKUP(B29, '[1]Bad Data'!$B:$B, '[1]Bad Data'!$D:$D)</f>
        <v>1.4030000000000001E-2</v>
      </c>
      <c r="E29" s="53"/>
    </row>
    <row r="30" spans="1:5">
      <c r="A30" s="16">
        <v>28</v>
      </c>
      <c r="B30" s="9" t="s">
        <v>55</v>
      </c>
      <c r="C30" s="3" t="str">
        <f>'EDD PEP PPATK'!C28</f>
        <v>Ida Bagus Pidada Manuaba</v>
      </c>
      <c r="D30" s="33">
        <f>_xlfn.XLOOKUP(B30, '[1]Bad Data'!$B:$B, '[1]Bad Data'!$D:$D)</f>
        <v>6.8100000000000001E-3</v>
      </c>
      <c r="E30" s="53"/>
    </row>
    <row r="31" spans="1:5">
      <c r="A31" s="16">
        <v>29</v>
      </c>
      <c r="B31" s="9" t="s">
        <v>40</v>
      </c>
      <c r="C31" s="3" t="str">
        <f>'EDD PEP PPATK'!C29</f>
        <v>Ida Bagus Pidada Manuaba</v>
      </c>
      <c r="D31" s="33">
        <f>_xlfn.XLOOKUP(B31, '[1]Bad Data'!$B:$B, '[1]Bad Data'!$D:$D)</f>
        <v>6.1599999999999997E-3</v>
      </c>
      <c r="E31" s="53"/>
    </row>
    <row r="32" spans="1:5">
      <c r="A32" s="16">
        <v>30</v>
      </c>
      <c r="B32" s="9" t="s">
        <v>41</v>
      </c>
      <c r="C32" s="3" t="str">
        <f>'EDD PEP PPATK'!C31</f>
        <v>Ida Bagus Pidada Manuaba</v>
      </c>
      <c r="D32" s="33">
        <f>_xlfn.XLOOKUP(B32, '[1]Bad Data'!$B:$B, '[1]Bad Data'!$D:$D)</f>
        <v>2.8900000000000002E-3</v>
      </c>
      <c r="E32" s="53"/>
    </row>
    <row r="33" spans="1:5">
      <c r="A33" s="16">
        <v>31</v>
      </c>
      <c r="B33" s="9" t="s">
        <v>54</v>
      </c>
      <c r="C33" s="3" t="str">
        <f>'EDD PEP PPATK'!C27</f>
        <v>Ida Bagus Pidada Manuaba</v>
      </c>
      <c r="D33" s="33">
        <f>_xlfn.XLOOKUP(B33, '[1]Bad Data'!$B:$B, '[1]Bad Data'!$D:$D)</f>
        <v>9.4699999999999993E-3</v>
      </c>
      <c r="E33" s="53"/>
    </row>
    <row r="34" spans="1:5" ht="14.45">
      <c r="A34" s="16">
        <v>32</v>
      </c>
      <c r="B34" s="9" t="s">
        <v>37</v>
      </c>
      <c r="C34" s="3" t="str">
        <f>'EDD PEP PPATK'!C34</f>
        <v>Ida Bagus Pidada Manuaba</v>
      </c>
      <c r="D34" s="33">
        <f>_xlfn.XLOOKUP(B34, '[1]Bad Data'!$B:$B, '[1]Bad Data'!$D:$D)</f>
        <v>6.5500000000000003E-3</v>
      </c>
      <c r="E34" s="53"/>
    </row>
    <row r="35" spans="1:5" ht="14.45"/>
  </sheetData>
  <autoFilter ref="B2:D2" xr:uid="{A206AEAE-CAFE-45C2-BA1F-7C13739056B3}">
    <sortState xmlns:xlrd2="http://schemas.microsoft.com/office/spreadsheetml/2017/richdata2" ref="B3:D34">
      <sortCondition ref="C2"/>
    </sortState>
  </autoFilter>
  <mergeCells count="4">
    <mergeCell ref="D1:E1"/>
    <mergeCell ref="E3:E13"/>
    <mergeCell ref="E14:E26"/>
    <mergeCell ref="E27:E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34"/>
  <sheetViews>
    <sheetView workbookViewId="0">
      <selection activeCell="D3" sqref="D3"/>
    </sheetView>
  </sheetViews>
  <sheetFormatPr defaultRowHeight="14.45"/>
  <cols>
    <col min="1" max="1" width="5.5703125" customWidth="1"/>
    <col min="2" max="2" width="30.85546875" customWidth="1"/>
    <col min="3" max="3" width="26.7109375" customWidth="1"/>
    <col min="4" max="4" width="16" bestFit="1" customWidth="1"/>
  </cols>
  <sheetData>
    <row r="1" spans="1:5">
      <c r="D1" s="51">
        <v>46289</v>
      </c>
      <c r="E1" s="52"/>
    </row>
    <row r="2" spans="1:5">
      <c r="A2" s="4" t="s">
        <v>28</v>
      </c>
      <c r="B2" s="4" t="s">
        <v>29</v>
      </c>
      <c r="C2" s="4" t="s">
        <v>30</v>
      </c>
      <c r="D2" s="30" t="s">
        <v>66</v>
      </c>
      <c r="E2" s="31" t="s">
        <v>32</v>
      </c>
    </row>
    <row r="3" spans="1:5">
      <c r="A3" s="3">
        <v>1</v>
      </c>
      <c r="B3" s="1" t="s">
        <v>57</v>
      </c>
      <c r="C3" s="3" t="str">
        <f>'EDD PEP PPATK'!C3</f>
        <v>Dewa Nyoman Wedana</v>
      </c>
      <c r="D3" s="32">
        <f>_xlfn.XLOOKUP(B3,'[1]Pengkinian Data'!$B:$B, '[1]Pengkinian Data'!$E:$E)</f>
        <v>0.77600000000000002</v>
      </c>
      <c r="E3" s="53">
        <f>AVERAGE(D3:D13)</f>
        <v>0.82072727272727264</v>
      </c>
    </row>
    <row r="4" spans="1:5">
      <c r="A4" s="3">
        <v>2</v>
      </c>
      <c r="B4" s="1" t="s">
        <v>44</v>
      </c>
      <c r="C4" s="3" t="str">
        <f>'EDD PEP PPATK'!C4</f>
        <v>Dewa Nyoman Wedana</v>
      </c>
      <c r="D4" s="32">
        <f>_xlfn.XLOOKUP(B4,'[1]Pengkinian Data'!$B:$B, '[1]Pengkinian Data'!$E:$E)</f>
        <v>0.77839999999999998</v>
      </c>
      <c r="E4" s="53"/>
    </row>
    <row r="5" spans="1:5">
      <c r="A5" s="3">
        <v>3</v>
      </c>
      <c r="B5" s="1" t="s">
        <v>45</v>
      </c>
      <c r="C5" s="3" t="str">
        <f>'EDD PEP PPATK'!C5</f>
        <v>Dewa Nyoman Wedana</v>
      </c>
      <c r="D5" s="32">
        <f>_xlfn.XLOOKUP(B5,'[1]Pengkinian Data'!$B:$B, '[1]Pengkinian Data'!$E:$E)</f>
        <v>0.8075</v>
      </c>
      <c r="E5" s="53"/>
    </row>
    <row r="6" spans="1:5">
      <c r="A6" s="3">
        <v>4</v>
      </c>
      <c r="B6" s="1" t="s">
        <v>33</v>
      </c>
      <c r="C6" s="3" t="str">
        <f>'EDD PEP PPATK'!C6</f>
        <v>Dewa Nyoman Wedana</v>
      </c>
      <c r="D6" s="32">
        <f>_xlfn.XLOOKUP(B6,'[1]Pengkinian Data'!$B:$B, '[1]Pengkinian Data'!$E:$E)</f>
        <v>0.95420000000000005</v>
      </c>
      <c r="E6" s="53"/>
    </row>
    <row r="7" spans="1:5">
      <c r="A7" s="3">
        <v>5</v>
      </c>
      <c r="B7" s="1" t="s">
        <v>43</v>
      </c>
      <c r="C7" s="3" t="str">
        <f>'EDD PEP PPATK'!C7</f>
        <v>Dewa Nyoman Wedana</v>
      </c>
      <c r="D7" s="32">
        <f>_xlfn.XLOOKUP(B7,'[1]Pengkinian Data'!$B:$B, '[1]Pengkinian Data'!$E:$E)</f>
        <v>0.90349999999999997</v>
      </c>
      <c r="E7" s="53"/>
    </row>
    <row r="8" spans="1:5">
      <c r="A8" s="3">
        <v>6</v>
      </c>
      <c r="B8" s="1" t="s">
        <v>58</v>
      </c>
      <c r="C8" s="3" t="str">
        <f>'EDD PEP PPATK'!C8</f>
        <v>Dewa Nyoman Wedana</v>
      </c>
      <c r="D8" s="32">
        <f>_xlfn.XLOOKUP(B8,'[1]Pengkinian Data'!$B:$B, '[1]Pengkinian Data'!$E:$E)</f>
        <v>0.7923</v>
      </c>
      <c r="E8" s="53"/>
    </row>
    <row r="9" spans="1:5">
      <c r="A9" s="3">
        <v>7</v>
      </c>
      <c r="B9" s="1" t="s">
        <v>59</v>
      </c>
      <c r="C9" s="3" t="str">
        <f>'EDD PEP PPATK'!C9</f>
        <v>Dewa Nyoman Wedana</v>
      </c>
      <c r="D9" s="32">
        <f>_xlfn.XLOOKUP(B9,'[1]Pengkinian Data'!$B:$B, '[1]Pengkinian Data'!$E:$E)</f>
        <v>0.79720000000000002</v>
      </c>
      <c r="E9" s="53"/>
    </row>
    <row r="10" spans="1:5">
      <c r="A10" s="3">
        <v>8</v>
      </c>
      <c r="B10" s="1" t="s">
        <v>34</v>
      </c>
      <c r="C10" s="3" t="str">
        <f>'EDD PEP PPATK'!C10</f>
        <v>Dewa Nyoman Wedana</v>
      </c>
      <c r="D10" s="32">
        <f>_xlfn.XLOOKUP(B10,'[1]Pengkinian Data'!$B:$B, '[1]Pengkinian Data'!$E:$E)</f>
        <v>0.78359999999999996</v>
      </c>
      <c r="E10" s="53"/>
    </row>
    <row r="11" spans="1:5">
      <c r="A11" s="3">
        <v>9</v>
      </c>
      <c r="B11" s="1" t="s">
        <v>46</v>
      </c>
      <c r="C11" s="3" t="str">
        <f>'EDD PEP PPATK'!C11</f>
        <v>Dewa Nyoman Wedana</v>
      </c>
      <c r="D11" s="32">
        <f>_xlfn.XLOOKUP(B11,'[1]Pengkinian Data'!$B:$B, '[1]Pengkinian Data'!$E:$E)</f>
        <v>0.77129999999999999</v>
      </c>
      <c r="E11" s="53"/>
    </row>
    <row r="12" spans="1:5">
      <c r="A12" s="3">
        <v>10</v>
      </c>
      <c r="B12" s="1" t="s">
        <v>47</v>
      </c>
      <c r="C12" s="3" t="str">
        <f>'EDD PEP PPATK'!C12</f>
        <v>Dewa Nyoman Wedana</v>
      </c>
      <c r="D12" s="32">
        <f>_xlfn.XLOOKUP(B12,'[1]Pengkinian Data'!$B:$B, '[1]Pengkinian Data'!$E:$E)</f>
        <v>0.83599999999999997</v>
      </c>
      <c r="E12" s="53"/>
    </row>
    <row r="13" spans="1:5">
      <c r="A13" s="3">
        <v>11</v>
      </c>
      <c r="B13" s="1" t="s">
        <v>35</v>
      </c>
      <c r="C13" s="3" t="str">
        <f>'EDD PEP PPATK'!C13</f>
        <v>Dewa Nyoman Wedana</v>
      </c>
      <c r="D13" s="32">
        <f>_xlfn.XLOOKUP(B13,'[1]Pengkinian Data'!$B:$B, '[1]Pengkinian Data'!$E:$E)</f>
        <v>0.82799999999999996</v>
      </c>
      <c r="E13" s="53"/>
    </row>
    <row r="14" spans="1:5">
      <c r="A14" s="3">
        <v>12</v>
      </c>
      <c r="B14" s="1" t="s">
        <v>36</v>
      </c>
      <c r="C14" s="3" t="str">
        <f>'EDD PEP PPATK'!C14</f>
        <v>I Made Budiartha</v>
      </c>
      <c r="D14" s="32">
        <f>_xlfn.XLOOKUP(B14,'[1]Pengkinian Data'!$B:$B, '[1]Pengkinian Data'!$E:$E)</f>
        <v>0.89680000000000004</v>
      </c>
      <c r="E14" s="53">
        <f>AVERAGE(D14:D26)</f>
        <v>0.84215384615384636</v>
      </c>
    </row>
    <row r="15" spans="1:5">
      <c r="A15" s="3">
        <v>13</v>
      </c>
      <c r="B15" s="1" t="s">
        <v>48</v>
      </c>
      <c r="C15" s="3" t="str">
        <f>'EDD PEP PPATK'!C15</f>
        <v>I Made Budiartha</v>
      </c>
      <c r="D15" s="32">
        <f>_xlfn.XLOOKUP(B15,'[1]Pengkinian Data'!$B:$B, '[1]Pengkinian Data'!$E:$E)</f>
        <v>0.77080000000000004</v>
      </c>
      <c r="E15" s="53"/>
    </row>
    <row r="16" spans="1:5">
      <c r="A16" s="3">
        <v>14</v>
      </c>
      <c r="B16" s="1" t="s">
        <v>49</v>
      </c>
      <c r="C16" s="3" t="str">
        <f>'EDD PEP PPATK'!C16</f>
        <v>I Made Budiartha</v>
      </c>
      <c r="D16" s="32">
        <f>_xlfn.XLOOKUP(B16,'[1]Pengkinian Data'!$B:$B, '[1]Pengkinian Data'!$E:$E)</f>
        <v>0.8871</v>
      </c>
      <c r="E16" s="53"/>
    </row>
    <row r="17" spans="1:5">
      <c r="A17" s="3">
        <v>15</v>
      </c>
      <c r="B17" s="2" t="s">
        <v>50</v>
      </c>
      <c r="C17" s="3" t="str">
        <f>'EDD PEP PPATK'!C17</f>
        <v>I Made Budiartha</v>
      </c>
      <c r="D17" s="32">
        <f>_xlfn.XLOOKUP(B17,'[1]Pengkinian Data'!$B:$B, '[1]Pengkinian Data'!$E:$E)</f>
        <v>0.79490000000000005</v>
      </c>
      <c r="E17" s="53"/>
    </row>
    <row r="18" spans="1:5">
      <c r="A18" s="3">
        <v>16</v>
      </c>
      <c r="B18" s="1" t="s">
        <v>60</v>
      </c>
      <c r="C18" s="3" t="str">
        <f>'EDD PEP PPATK'!C18</f>
        <v>I Made Budiartha</v>
      </c>
      <c r="D18" s="32">
        <f>_xlfn.XLOOKUP(B18,'[1]Pengkinian Data'!$B:$B, '[1]Pengkinian Data'!$E:$E)</f>
        <v>0.83340000000000003</v>
      </c>
      <c r="E18" s="53"/>
    </row>
    <row r="19" spans="1:5">
      <c r="A19" s="3">
        <v>17</v>
      </c>
      <c r="B19" s="17" t="s">
        <v>61</v>
      </c>
      <c r="C19" s="3" t="str">
        <f>'EDD PEP PPATK'!C19</f>
        <v>I Made Budiartha</v>
      </c>
      <c r="D19" s="32">
        <f>_xlfn.XLOOKUP(B19,'[1]Pengkinian Data'!$B:$B, '[1]Pengkinian Data'!$E:$E)</f>
        <v>0.90100000000000002</v>
      </c>
      <c r="E19" s="53"/>
    </row>
    <row r="20" spans="1:5">
      <c r="A20" s="16">
        <v>18</v>
      </c>
      <c r="B20" s="15" t="s">
        <v>51</v>
      </c>
      <c r="C20" s="3" t="str">
        <f>'EDD PEP PPATK'!C20</f>
        <v>I Made Budiartha</v>
      </c>
      <c r="D20" s="32">
        <f>_xlfn.XLOOKUP(B20,'[1]Pengkinian Data'!$B:$B, '[1]Pengkinian Data'!$E:$E)</f>
        <v>0.81769999999999998</v>
      </c>
      <c r="E20" s="53"/>
    </row>
    <row r="21" spans="1:5">
      <c r="A21" s="16">
        <v>19</v>
      </c>
      <c r="B21" s="15" t="s">
        <v>38</v>
      </c>
      <c r="C21" s="3" t="str">
        <f>'EDD PEP PPATK'!C21</f>
        <v>I Made Budiartha</v>
      </c>
      <c r="D21" s="32">
        <f>_xlfn.XLOOKUP(B21,'[1]Pengkinian Data'!$B:$B, '[1]Pengkinian Data'!$E:$E)</f>
        <v>0.7792</v>
      </c>
      <c r="E21" s="53"/>
    </row>
    <row r="22" spans="1:5">
      <c r="A22" s="16">
        <v>20</v>
      </c>
      <c r="B22" s="15" t="s">
        <v>62</v>
      </c>
      <c r="C22" s="3" t="str">
        <f>'EDD PEP PPATK'!C22</f>
        <v>I Made Budiartha</v>
      </c>
      <c r="D22" s="32">
        <f>_xlfn.XLOOKUP(B22,'[1]Pengkinian Data'!$B:$B, '[1]Pengkinian Data'!$E:$E)</f>
        <v>0.80220000000000002</v>
      </c>
      <c r="E22" s="53"/>
    </row>
    <row r="23" spans="1:5">
      <c r="A23" s="16">
        <v>21</v>
      </c>
      <c r="B23" s="15" t="s">
        <v>39</v>
      </c>
      <c r="C23" s="3" t="str">
        <f>'EDD PEP PPATK'!C23</f>
        <v>I Made Budiartha</v>
      </c>
      <c r="D23" s="32">
        <f>_xlfn.XLOOKUP(B23,'[1]Pengkinian Data'!$B:$B, '[1]Pengkinian Data'!$E:$E)</f>
        <v>0.99629999999999996</v>
      </c>
      <c r="E23" s="53"/>
    </row>
    <row r="24" spans="1:5">
      <c r="A24" s="16">
        <v>22</v>
      </c>
      <c r="B24" s="15" t="s">
        <v>52</v>
      </c>
      <c r="C24" s="3" t="str">
        <f>'EDD PEP PPATK'!C24</f>
        <v>I Made Budiartha</v>
      </c>
      <c r="D24" s="32">
        <f>_xlfn.XLOOKUP(B24,'[1]Pengkinian Data'!$B:$B, '[1]Pengkinian Data'!$E:$E)</f>
        <v>0.78169999999999995</v>
      </c>
      <c r="E24" s="53"/>
    </row>
    <row r="25" spans="1:5">
      <c r="A25" s="16">
        <v>23</v>
      </c>
      <c r="B25" s="15" t="s">
        <v>53</v>
      </c>
      <c r="C25" s="3" t="str">
        <f>'EDD PEP PPATK'!C25</f>
        <v>I Made Budiartha</v>
      </c>
      <c r="D25" s="32">
        <f>_xlfn.XLOOKUP(B25,'[1]Pengkinian Data'!$B:$B, '[1]Pengkinian Data'!$E:$E)</f>
        <v>0.87649999999999995</v>
      </c>
      <c r="E25" s="53"/>
    </row>
    <row r="26" spans="1:5">
      <c r="A26" s="16">
        <v>24</v>
      </c>
      <c r="B26" s="15" t="s">
        <v>63</v>
      </c>
      <c r="C26" s="3" t="str">
        <f>'EDD PEP PPATK'!C26</f>
        <v>I Made Budiartha</v>
      </c>
      <c r="D26" s="32">
        <f>_xlfn.XLOOKUP(B26,'[1]Pengkinian Data'!$B:$B, '[1]Pengkinian Data'!$E:$E)</f>
        <v>0.81040000000000001</v>
      </c>
      <c r="E26" s="53"/>
    </row>
    <row r="27" spans="1:5">
      <c r="A27" s="16">
        <v>25</v>
      </c>
      <c r="B27" s="9" t="s">
        <v>54</v>
      </c>
      <c r="C27" s="3" t="str">
        <f>'EDD PEP PPATK'!C27</f>
        <v>Ida Bagus Pidada Manuaba</v>
      </c>
      <c r="D27" s="32">
        <f>_xlfn.XLOOKUP(B27,'[1]Pengkinian Data'!$B:$B, '[1]Pengkinian Data'!$E:$E)</f>
        <v>0.8599</v>
      </c>
      <c r="E27" s="53">
        <f>AVERAGE(D27:D34)</f>
        <v>0.84028749999999997</v>
      </c>
    </row>
    <row r="28" spans="1:5">
      <c r="A28" s="16">
        <v>26</v>
      </c>
      <c r="B28" s="9" t="s">
        <v>55</v>
      </c>
      <c r="C28" s="3" t="str">
        <f>'EDD PEP PPATK'!C28</f>
        <v>Ida Bagus Pidada Manuaba</v>
      </c>
      <c r="D28" s="32">
        <f>_xlfn.XLOOKUP(B28,'[1]Pengkinian Data'!$B:$B, '[1]Pengkinian Data'!$E:$E)</f>
        <v>0.79239999999999999</v>
      </c>
      <c r="E28" s="53"/>
    </row>
    <row r="29" spans="1:5">
      <c r="A29" s="16">
        <v>27</v>
      </c>
      <c r="B29" s="9" t="s">
        <v>40</v>
      </c>
      <c r="C29" s="3" t="str">
        <f>'EDD PEP PPATK'!C29</f>
        <v>Ida Bagus Pidada Manuaba</v>
      </c>
      <c r="D29" s="32">
        <f>_xlfn.XLOOKUP(B29,'[1]Pengkinian Data'!$B:$B, '[1]Pengkinian Data'!$E:$E)</f>
        <v>0.80920000000000003</v>
      </c>
      <c r="E29" s="53"/>
    </row>
    <row r="30" spans="1:5">
      <c r="A30" s="16">
        <v>28</v>
      </c>
      <c r="B30" s="9" t="s">
        <v>56</v>
      </c>
      <c r="C30" s="3" t="str">
        <f>'EDD PEP PPATK'!C30</f>
        <v>Ida Bagus Pidada Manuaba</v>
      </c>
      <c r="D30" s="32">
        <f>_xlfn.XLOOKUP(B30,'[1]Pengkinian Data'!$B:$B, '[1]Pengkinian Data'!$E:$E)</f>
        <v>1</v>
      </c>
      <c r="E30" s="53"/>
    </row>
    <row r="31" spans="1:5" ht="15">
      <c r="A31" s="16">
        <v>29</v>
      </c>
      <c r="B31" s="9" t="s">
        <v>41</v>
      </c>
      <c r="C31" s="3" t="str">
        <f>'EDD PEP PPATK'!C31</f>
        <v>Ida Bagus Pidada Manuaba</v>
      </c>
      <c r="D31" s="32">
        <f>_xlfn.XLOOKUP(B31,'[1]Pengkinian Data'!$B:$B, '[1]Pengkinian Data'!$E:$E)</f>
        <v>0.89019999999999999</v>
      </c>
      <c r="E31" s="53"/>
    </row>
    <row r="32" spans="1:5">
      <c r="A32" s="16">
        <v>30</v>
      </c>
      <c r="B32" s="9" t="s">
        <v>42</v>
      </c>
      <c r="C32" s="3" t="str">
        <f>'EDD PEP PPATK'!C32</f>
        <v>Ida Bagus Pidada Manuaba</v>
      </c>
      <c r="D32" s="32">
        <f>_xlfn.XLOOKUP(B32,'[1]Pengkinian Data'!$B:$B, '[1]Pengkinian Data'!$E:$E)</f>
        <v>0.79800000000000004</v>
      </c>
      <c r="E32" s="53"/>
    </row>
    <row r="33" spans="1:5">
      <c r="A33" s="16">
        <v>31</v>
      </c>
      <c r="B33" s="9" t="s">
        <v>64</v>
      </c>
      <c r="C33" s="3" t="str">
        <f>'EDD PEP PPATK'!C33</f>
        <v>Ida Bagus Pidada Manuaba</v>
      </c>
      <c r="D33" s="32">
        <f>_xlfn.XLOOKUP(B33,'[1]Pengkinian Data'!$B:$B, '[1]Pengkinian Data'!$E:$E)</f>
        <v>0.85070000000000001</v>
      </c>
      <c r="E33" s="53"/>
    </row>
    <row r="34" spans="1:5">
      <c r="A34" s="16">
        <v>32</v>
      </c>
      <c r="B34" s="9" t="s">
        <v>37</v>
      </c>
      <c r="C34" s="3" t="str">
        <f>'EDD PEP PPATK'!C34</f>
        <v>Ida Bagus Pidada Manuaba</v>
      </c>
      <c r="D34" s="32">
        <f>_xlfn.XLOOKUP(B34,'[1]Pengkinian Data'!$B:$B, '[1]Pengkinian Data'!$E:$E)</f>
        <v>0.72189999999999999</v>
      </c>
      <c r="E34" s="53"/>
    </row>
  </sheetData>
  <mergeCells count="4">
    <mergeCell ref="D1:E1"/>
    <mergeCell ref="E3:E13"/>
    <mergeCell ref="E14:E26"/>
    <mergeCell ref="E27:E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28</v>
      </c>
      <c r="B1" s="4" t="s">
        <v>29</v>
      </c>
      <c r="C1" s="4" t="s">
        <v>30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  <c r="I1" s="4" t="s">
        <v>72</v>
      </c>
    </row>
    <row r="2" spans="1:9">
      <c r="A2" s="3">
        <v>1</v>
      </c>
      <c r="B2" s="1" t="s">
        <v>73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74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75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76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77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78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79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80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81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82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83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84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85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86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87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88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89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90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91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92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93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94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95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96</v>
      </c>
      <c r="C25" s="3"/>
      <c r="D25" s="3"/>
      <c r="E25" s="3"/>
      <c r="F25" s="3"/>
      <c r="G25" s="3"/>
      <c r="H25" s="3"/>
      <c r="I25" s="3"/>
    </row>
    <row r="27" spans="1:9">
      <c r="B27" s="5" t="s">
        <v>97</v>
      </c>
    </row>
    <row r="28" spans="1:9">
      <c r="B28" s="5" t="s">
        <v>98</v>
      </c>
    </row>
    <row r="29" spans="1:9">
      <c r="B29" s="6" t="s">
        <v>99</v>
      </c>
    </row>
    <row r="31" spans="1:9">
      <c r="B31" t="s">
        <v>100</v>
      </c>
    </row>
    <row r="32" spans="1:9">
      <c r="B32" t="s">
        <v>101</v>
      </c>
    </row>
    <row r="33" spans="2:2">
      <c r="B33" t="s">
        <v>102</v>
      </c>
    </row>
    <row r="34" spans="2:2">
      <c r="B34" t="s">
        <v>103</v>
      </c>
    </row>
    <row r="35" spans="2:2">
      <c r="B35" t="s">
        <v>104</v>
      </c>
    </row>
    <row r="36" spans="2:2">
      <c r="B36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46"/>
  <sheetViews>
    <sheetView topLeftCell="A6" workbookViewId="0">
      <selection activeCell="J13" sqref="J13"/>
    </sheetView>
  </sheetViews>
  <sheetFormatPr defaultRowHeight="14.45"/>
  <cols>
    <col min="1" max="1" width="3.5703125" bestFit="1" customWidth="1"/>
    <col min="2" max="2" width="24.140625" bestFit="1" customWidth="1"/>
    <col min="3" max="3" width="24.5703125" bestFit="1" customWidth="1"/>
    <col min="4" max="4" width="19.42578125" bestFit="1" customWidth="1"/>
    <col min="5" max="5" width="23.140625" customWidth="1"/>
    <col min="6" max="6" width="19.140625" bestFit="1" customWidth="1"/>
  </cols>
  <sheetData>
    <row r="1" spans="1:6" s="7" customFormat="1">
      <c r="A1" s="54" t="s">
        <v>28</v>
      </c>
      <c r="B1" s="54" t="s">
        <v>29</v>
      </c>
      <c r="C1" s="54" t="s">
        <v>30</v>
      </c>
      <c r="D1" s="54" t="s">
        <v>106</v>
      </c>
      <c r="E1" s="54" t="s">
        <v>69</v>
      </c>
      <c r="F1" s="54" t="s">
        <v>72</v>
      </c>
    </row>
    <row r="2" spans="1:6" s="7" customFormat="1">
      <c r="A2" s="55"/>
      <c r="B2" s="55"/>
      <c r="C2" s="55"/>
      <c r="D2" s="55"/>
      <c r="E2" s="55"/>
      <c r="F2" s="55"/>
    </row>
    <row r="3" spans="1:6">
      <c r="A3" s="3">
        <f>'EDD PEP PPATK'!A3</f>
        <v>4</v>
      </c>
      <c r="B3" s="1" t="str">
        <f>'EDD PEP PPATK'!B3</f>
        <v>KC Bangli</v>
      </c>
      <c r="C3" s="3" t="str">
        <f>'EDD PEP PPATK'!C3</f>
        <v>Dewa Nyoman Wedana</v>
      </c>
      <c r="D3" s="3"/>
      <c r="E3" s="3"/>
      <c r="F3" s="3"/>
    </row>
    <row r="4" spans="1:6">
      <c r="A4" s="3">
        <f>'EDD PEP PPATK'!A4</f>
        <v>8</v>
      </c>
      <c r="B4" s="1" t="str">
        <f>'EDD PEP PPATK'!B4</f>
        <v>KC Dompu</v>
      </c>
      <c r="C4" s="3" t="str">
        <f>'EDD PEP PPATK'!C4</f>
        <v>Dewa Nyoman Wedana</v>
      </c>
      <c r="D4" s="3"/>
      <c r="E4" s="3"/>
      <c r="F4" s="3"/>
    </row>
    <row r="5" spans="1:6">
      <c r="A5" s="3">
        <f>'EDD PEP PPATK'!A5</f>
        <v>11</v>
      </c>
      <c r="B5" s="1" t="str">
        <f>'EDD PEP PPATK'!B5</f>
        <v>KC Kalabahi</v>
      </c>
      <c r="C5" s="3" t="str">
        <f>'EDD PEP PPATK'!C5</f>
        <v>Dewa Nyoman Wedana</v>
      </c>
      <c r="D5" s="3"/>
      <c r="E5" s="3"/>
      <c r="F5" s="3"/>
    </row>
    <row r="6" spans="1:6">
      <c r="A6" s="3">
        <f>'EDD PEP PPATK'!A6</f>
        <v>12</v>
      </c>
      <c r="B6" s="1" t="str">
        <f>'EDD PEP PPATK'!B6</f>
        <v>KC Kefamenanu</v>
      </c>
      <c r="C6" s="3" t="str">
        <f>'EDD PEP PPATK'!C6</f>
        <v>Dewa Nyoman Wedana</v>
      </c>
      <c r="D6" s="3"/>
      <c r="E6" s="3"/>
      <c r="F6" s="3"/>
    </row>
    <row r="7" spans="1:6">
      <c r="A7" s="3">
        <f>'EDD PEP PPATK'!A7</f>
        <v>32</v>
      </c>
      <c r="B7" s="1" t="str">
        <f>'EDD PEP PPATK'!B7</f>
        <v>KC Labuan Bajo</v>
      </c>
      <c r="C7" s="3" t="str">
        <f>'EDD PEP PPATK'!C7</f>
        <v>Dewa Nyoman Wedana</v>
      </c>
      <c r="D7" s="3"/>
      <c r="E7" s="3"/>
      <c r="F7" s="3"/>
    </row>
    <row r="8" spans="1:6">
      <c r="A8" s="3">
        <f>'EDD PEP PPATK'!A8</f>
        <v>19</v>
      </c>
      <c r="B8" s="1" t="str">
        <f>'EDD PEP PPATK'!B8</f>
        <v>KC Praya</v>
      </c>
      <c r="C8" s="3" t="str">
        <f>'EDD PEP PPATK'!C8</f>
        <v>Dewa Nyoman Wedana</v>
      </c>
      <c r="D8" s="3"/>
      <c r="E8" s="3"/>
      <c r="F8" s="3"/>
    </row>
    <row r="9" spans="1:6">
      <c r="A9" s="3">
        <f>'EDD PEP PPATK'!A9</f>
        <v>21</v>
      </c>
      <c r="B9" s="1" t="str">
        <f>'EDD PEP PPATK'!B9</f>
        <v>KC Ruteng</v>
      </c>
      <c r="C9" s="3" t="str">
        <f>'EDD PEP PPATK'!C9</f>
        <v>Dewa Nyoman Wedana</v>
      </c>
      <c r="D9" s="3"/>
      <c r="E9" s="3"/>
      <c r="F9" s="3"/>
    </row>
    <row r="10" spans="1:6">
      <c r="A10" s="3">
        <f>'EDD PEP PPATK'!A10</f>
        <v>27</v>
      </c>
      <c r="B10" s="1" t="str">
        <f>'EDD PEP PPATK'!B10</f>
        <v>KC Tabanan</v>
      </c>
      <c r="C10" s="3" t="str">
        <f>'EDD PEP PPATK'!C10</f>
        <v>Dewa Nyoman Wedana</v>
      </c>
      <c r="D10" s="3"/>
      <c r="E10" s="3"/>
      <c r="F10" s="3"/>
    </row>
    <row r="11" spans="1:6">
      <c r="A11" s="3">
        <f>'EDD PEP PPATK'!A11</f>
        <v>29</v>
      </c>
      <c r="B11" s="1" t="str">
        <f>'EDD PEP PPATK'!B11</f>
        <v>KC Denpasar Ubud</v>
      </c>
      <c r="C11" s="3" t="str">
        <f>'EDD PEP PPATK'!C11</f>
        <v>Dewa Nyoman Wedana</v>
      </c>
      <c r="D11" s="3"/>
      <c r="E11" s="3"/>
      <c r="F11" s="3"/>
    </row>
    <row r="12" spans="1:6">
      <c r="A12" s="3">
        <f>'EDD PEP PPATK'!A12</f>
        <v>30</v>
      </c>
      <c r="B12" s="1" t="str">
        <f>'EDD PEP PPATK'!B12</f>
        <v>KC Waikabubak</v>
      </c>
      <c r="C12" s="3" t="str">
        <f>'EDD PEP PPATK'!C12</f>
        <v>Dewa Nyoman Wedana</v>
      </c>
      <c r="D12" s="3"/>
      <c r="E12" s="3"/>
      <c r="F12" s="3"/>
    </row>
    <row r="13" spans="1:6">
      <c r="A13" s="3">
        <f>'EDD PEP PPATK'!A13</f>
        <v>5</v>
      </c>
      <c r="B13" s="1" t="str">
        <f>'EDD PEP PPATK'!B13</f>
        <v>KC Denpasar Gajah Mada</v>
      </c>
      <c r="C13" s="3" t="str">
        <f>'EDD PEP PPATK'!C13</f>
        <v>Dewa Nyoman Wedana</v>
      </c>
      <c r="D13" s="3"/>
      <c r="E13" s="3"/>
      <c r="F13" s="3"/>
    </row>
    <row r="14" spans="1:6">
      <c r="A14" s="3">
        <f>'EDD PEP PPATK'!A14</f>
        <v>2</v>
      </c>
      <c r="B14" s="1" t="str">
        <f>'EDD PEP PPATK'!B14</f>
        <v>KC Atambua</v>
      </c>
      <c r="C14" s="3" t="str">
        <f>'EDD PEP PPATK'!C14</f>
        <v>I Made Budiartha</v>
      </c>
      <c r="D14" s="3"/>
      <c r="E14" s="3"/>
      <c r="F14" s="3"/>
    </row>
    <row r="15" spans="1:6">
      <c r="A15" s="3">
        <f>'EDD PEP PPATK'!A15</f>
        <v>3</v>
      </c>
      <c r="B15" s="1" t="str">
        <f>'EDD PEP PPATK'!B15</f>
        <v>KC Bajawa</v>
      </c>
      <c r="C15" s="3" t="str">
        <f>'EDD PEP PPATK'!C15</f>
        <v>I Made Budiartha</v>
      </c>
      <c r="D15" s="3"/>
      <c r="E15" s="3"/>
      <c r="F15" s="3"/>
    </row>
    <row r="16" spans="1:6">
      <c r="A16" s="3">
        <f>'EDD PEP PPATK'!A16</f>
        <v>9</v>
      </c>
      <c r="B16" s="1" t="str">
        <f>'EDD PEP PPATK'!B16</f>
        <v>KC Ende</v>
      </c>
      <c r="C16" s="3" t="str">
        <f>'EDD PEP PPATK'!C16</f>
        <v>I Made Budiartha</v>
      </c>
      <c r="D16" s="3"/>
      <c r="E16" s="3"/>
      <c r="F16" s="3"/>
    </row>
    <row r="17" spans="1:6">
      <c r="A17" s="3">
        <f>'EDD PEP PPATK'!A17</f>
        <v>10</v>
      </c>
      <c r="B17" s="1" t="str">
        <f>'EDD PEP PPATK'!B17</f>
        <v>KC Gianyar</v>
      </c>
      <c r="C17" s="3" t="str">
        <f>'EDD PEP PPATK'!C17</f>
        <v>I Made Budiartha</v>
      </c>
      <c r="D17" s="3"/>
      <c r="E17" s="3"/>
      <c r="F17" s="3"/>
    </row>
    <row r="18" spans="1:6">
      <c r="A18" s="3">
        <f>'EDD PEP PPATK'!A18</f>
        <v>13</v>
      </c>
      <c r="B18" s="1" t="str">
        <f>'EDD PEP PPATK'!B18</f>
        <v>KC Kupang</v>
      </c>
      <c r="C18" s="3" t="str">
        <f>'EDD PEP PPATK'!C18</f>
        <v>I Made Budiartha</v>
      </c>
      <c r="D18" s="3"/>
      <c r="E18" s="3"/>
      <c r="F18" s="3"/>
    </row>
    <row r="19" spans="1:6">
      <c r="A19" s="3">
        <f>'EDD PEP PPATK'!A19</f>
        <v>14</v>
      </c>
      <c r="B19" s="1" t="str">
        <f>'EDD PEP PPATK'!B19</f>
        <v>KC Kuta</v>
      </c>
      <c r="C19" s="3" t="str">
        <f>'EDD PEP PPATK'!C19</f>
        <v>I Made Budiartha</v>
      </c>
      <c r="D19" s="3"/>
      <c r="E19" s="3"/>
      <c r="F19" s="3"/>
    </row>
    <row r="20" spans="1:6">
      <c r="A20" s="3">
        <f>'EDD PEP PPATK'!A20</f>
        <v>15</v>
      </c>
      <c r="B20" s="1" t="str">
        <f>'EDD PEP PPATK'!B20</f>
        <v>KC Larantuka</v>
      </c>
      <c r="C20" s="3" t="str">
        <f>'EDD PEP PPATK'!C20</f>
        <v>I Made Budiartha</v>
      </c>
      <c r="D20" s="3"/>
      <c r="E20" s="3"/>
      <c r="F20" s="3"/>
    </row>
    <row r="21" spans="1:6">
      <c r="A21" s="3">
        <f>'EDD PEP PPATK'!A21</f>
        <v>18</v>
      </c>
      <c r="B21" s="1" t="str">
        <f>'EDD PEP PPATK'!B21</f>
        <v>KC Negara</v>
      </c>
      <c r="C21" s="3" t="str">
        <f>'EDD PEP PPATK'!C21</f>
        <v>I Made Budiartha</v>
      </c>
      <c r="D21" s="3"/>
      <c r="E21" s="3"/>
      <c r="F21" s="3"/>
    </row>
    <row r="22" spans="1:6">
      <c r="A22" s="3">
        <f>'EDD PEP PPATK'!A22</f>
        <v>22</v>
      </c>
      <c r="B22" s="1" t="str">
        <f>'EDD PEP PPATK'!B22</f>
        <v>KC Selong</v>
      </c>
      <c r="C22" s="3" t="str">
        <f>'EDD PEP PPATK'!C22</f>
        <v>I Made Budiartha</v>
      </c>
      <c r="D22" s="3"/>
      <c r="E22" s="3"/>
      <c r="F22" s="3"/>
    </row>
    <row r="23" spans="1:6">
      <c r="A23" s="3">
        <f>'EDD PEP PPATK'!A23</f>
        <v>23</v>
      </c>
      <c r="B23" s="1" t="str">
        <f>'EDD PEP PPATK'!B23</f>
        <v>KC Semarapura</v>
      </c>
      <c r="C23" s="3" t="str">
        <f>'EDD PEP PPATK'!C23</f>
        <v>I Made Budiartha</v>
      </c>
      <c r="D23" s="3"/>
      <c r="E23" s="3"/>
      <c r="F23" s="3"/>
    </row>
    <row r="24" spans="1:6">
      <c r="A24" s="3">
        <f>'EDD PEP PPATK'!A24</f>
        <v>25</v>
      </c>
      <c r="B24" s="1" t="str">
        <f>'EDD PEP PPATK'!B24</f>
        <v>KC Soe</v>
      </c>
      <c r="C24" s="3" t="str">
        <f>'EDD PEP PPATK'!C24</f>
        <v>I Made Budiartha</v>
      </c>
      <c r="D24" s="3"/>
      <c r="E24" s="3"/>
      <c r="F24" s="3"/>
    </row>
    <row r="25" spans="1:6">
      <c r="A25" s="3">
        <f>'EDD PEP PPATK'!A25</f>
        <v>26</v>
      </c>
      <c r="B25" s="1" t="str">
        <f>'EDD PEP PPATK'!B25</f>
        <v>KC Sumbawa Besar</v>
      </c>
      <c r="C25" s="3" t="str">
        <f>'EDD PEP PPATK'!C25</f>
        <v>I Made Budiartha</v>
      </c>
      <c r="D25" s="3"/>
      <c r="E25" s="3"/>
      <c r="F25" s="3"/>
    </row>
    <row r="26" spans="1:6">
      <c r="A26" s="3">
        <f>'EDD PEP PPATK'!A26</f>
        <v>28</v>
      </c>
      <c r="B26" s="1" t="str">
        <f>'EDD PEP PPATK'!B26</f>
        <v>KC Tabanan Kediri</v>
      </c>
      <c r="C26" s="3" t="str">
        <f>'EDD PEP PPATK'!C26</f>
        <v>I Made Budiartha</v>
      </c>
      <c r="D26" s="3"/>
      <c r="E26" s="3"/>
      <c r="F26" s="3"/>
    </row>
    <row r="27" spans="1:6">
      <c r="A27" s="3">
        <f>'EDD PEP PPATK'!A27</f>
        <v>1</v>
      </c>
      <c r="B27" s="1" t="str">
        <f>'EDD PEP PPATK'!B27</f>
        <v>KC Amlapura</v>
      </c>
      <c r="C27" s="3" t="str">
        <f>'EDD PEP PPATK'!C27</f>
        <v>Ida Bagus Pidada Manuaba</v>
      </c>
    </row>
    <row r="28" spans="1:6">
      <c r="A28" s="3">
        <f>'EDD PEP PPATK'!A28</f>
        <v>6</v>
      </c>
      <c r="B28" s="1" t="str">
        <f>'EDD PEP PPATK'!B28</f>
        <v>KC Denpasar Gatot Subroto</v>
      </c>
      <c r="C28" s="3" t="str">
        <f>'EDD PEP PPATK'!C28</f>
        <v>Ida Bagus Pidada Manuaba</v>
      </c>
    </row>
    <row r="29" spans="1:6">
      <c r="A29" s="3">
        <f>'EDD PEP PPATK'!A29</f>
        <v>7</v>
      </c>
      <c r="B29" s="1" t="str">
        <f>'EDD PEP PPATK'!B29</f>
        <v>KC Denpasar Renon</v>
      </c>
      <c r="C29" s="3" t="str">
        <f>'EDD PEP PPATK'!C29</f>
        <v>Ida Bagus Pidada Manuaba</v>
      </c>
    </row>
    <row r="30" spans="1:6">
      <c r="A30" s="3">
        <f>'EDD PEP PPATK'!A30</f>
        <v>16</v>
      </c>
      <c r="B30" s="1" t="str">
        <f>'EDD PEP PPATK'!B30</f>
        <v>KC Mataram</v>
      </c>
      <c r="C30" s="3" t="str">
        <f>'EDD PEP PPATK'!C30</f>
        <v>Ida Bagus Pidada Manuaba</v>
      </c>
    </row>
    <row r="31" spans="1:6">
      <c r="A31" s="3">
        <f>'EDD PEP PPATK'!A31</f>
        <v>17</v>
      </c>
      <c r="B31" s="1" t="str">
        <f>'EDD PEP PPATK'!B31</f>
        <v>KC Maumere</v>
      </c>
      <c r="C31" s="3" t="str">
        <f>'EDD PEP PPATK'!C31</f>
        <v>Ida Bagus Pidada Manuaba</v>
      </c>
    </row>
    <row r="32" spans="1:6">
      <c r="A32" s="3">
        <f>'EDD PEP PPATK'!A32</f>
        <v>20</v>
      </c>
      <c r="B32" s="1" t="str">
        <f>'EDD PEP PPATK'!B32</f>
        <v>KC Raba Bima</v>
      </c>
      <c r="C32" s="3" t="str">
        <f>'EDD PEP PPATK'!C32</f>
        <v>Ida Bagus Pidada Manuaba</v>
      </c>
    </row>
    <row r="33" spans="1:3">
      <c r="A33" s="3">
        <f>'EDD PEP PPATK'!A33</f>
        <v>24</v>
      </c>
      <c r="B33" s="1" t="str">
        <f>'EDD PEP PPATK'!B33</f>
        <v>KC Singaraja</v>
      </c>
      <c r="C33" s="3" t="str">
        <f>'EDD PEP PPATK'!C33</f>
        <v>Ida Bagus Pidada Manuaba</v>
      </c>
    </row>
    <row r="34" spans="1:3">
      <c r="A34" s="3">
        <f>'EDD PEP PPATK'!A34</f>
        <v>31</v>
      </c>
      <c r="B34" s="1" t="str">
        <f>'EDD PEP PPATK'!B34</f>
        <v>KC Waingapu</v>
      </c>
      <c r="C34" s="3" t="str">
        <f>'EDD PEP PPATK'!C34</f>
        <v>Ida Bagus Pidada Manuaba</v>
      </c>
    </row>
    <row r="35" spans="1:3">
      <c r="B35" s="1"/>
      <c r="C35" s="3"/>
    </row>
    <row r="36" spans="1:3">
      <c r="B36" s="5" t="s">
        <v>97</v>
      </c>
    </row>
    <row r="37" spans="1:3">
      <c r="B37" s="5" t="s">
        <v>98</v>
      </c>
    </row>
    <row r="38" spans="1:3">
      <c r="B38" s="6" t="s">
        <v>107</v>
      </c>
    </row>
    <row r="41" spans="1:3">
      <c r="B41" t="s">
        <v>100</v>
      </c>
    </row>
    <row r="42" spans="1:3">
      <c r="B42" t="s">
        <v>101</v>
      </c>
    </row>
    <row r="43" spans="1:3">
      <c r="B43" t="s">
        <v>102</v>
      </c>
    </row>
    <row r="44" spans="1:3">
      <c r="B44" t="s">
        <v>103</v>
      </c>
    </row>
    <row r="45" spans="1:3">
      <c r="B45" t="s">
        <v>108</v>
      </c>
    </row>
    <row r="46" spans="1:3">
      <c r="B46" t="s">
        <v>109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CD48-E487-4EE9-8908-8CAE63331FE3}">
  <dimension ref="A1:H33"/>
  <sheetViews>
    <sheetView topLeftCell="A17" workbookViewId="0">
      <selection activeCell="E13" sqref="E13:E25"/>
    </sheetView>
  </sheetViews>
  <sheetFormatPr defaultColWidth="8.85546875"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8">
      <c r="A1" s="23" t="s">
        <v>28</v>
      </c>
      <c r="B1" s="23" t="s">
        <v>29</v>
      </c>
      <c r="C1" s="23" t="s">
        <v>30</v>
      </c>
      <c r="D1" s="23" t="s">
        <v>110</v>
      </c>
      <c r="E1" s="29" t="s">
        <v>110</v>
      </c>
      <c r="F1" s="23" t="s">
        <v>111</v>
      </c>
    </row>
    <row r="2" spans="1:8" ht="14.45" customHeight="1">
      <c r="A2" s="9">
        <v>4</v>
      </c>
      <c r="B2" s="24" t="s">
        <v>112</v>
      </c>
      <c r="C2" s="9" t="s">
        <v>25</v>
      </c>
      <c r="D2" s="28">
        <v>9.5700781680193447</v>
      </c>
      <c r="E2" s="56">
        <f>AVERAGE(D2:D12)</f>
        <v>8.4678409426448624</v>
      </c>
      <c r="F2" s="56" t="s">
        <v>113</v>
      </c>
      <c r="G2" s="25"/>
      <c r="H2" s="25"/>
    </row>
    <row r="3" spans="1:8" ht="14.45" customHeight="1">
      <c r="A3" s="9">
        <v>8</v>
      </c>
      <c r="B3" s="24" t="s">
        <v>114</v>
      </c>
      <c r="C3" s="9" t="s">
        <v>25</v>
      </c>
      <c r="D3" s="28">
        <v>8.449279090553599</v>
      </c>
      <c r="E3" s="56"/>
      <c r="F3" s="56"/>
      <c r="G3" s="25"/>
      <c r="H3" s="25"/>
    </row>
    <row r="4" spans="1:8" ht="14.45" customHeight="1">
      <c r="A4" s="9">
        <v>11</v>
      </c>
      <c r="B4" s="24" t="s">
        <v>115</v>
      </c>
      <c r="C4" s="9" t="s">
        <v>25</v>
      </c>
      <c r="D4" s="28">
        <v>8.356842948717949</v>
      </c>
      <c r="E4" s="56"/>
      <c r="F4" s="56"/>
      <c r="G4" s="25"/>
      <c r="H4" s="25"/>
    </row>
    <row r="5" spans="1:8" ht="14.45" customHeight="1">
      <c r="A5" s="9">
        <v>12</v>
      </c>
      <c r="B5" s="24" t="s">
        <v>116</v>
      </c>
      <c r="C5" s="9" t="s">
        <v>25</v>
      </c>
      <c r="D5" s="28">
        <v>8.1774797696856538</v>
      </c>
      <c r="E5" s="56"/>
      <c r="F5" s="56"/>
      <c r="G5" s="25"/>
      <c r="H5" s="25"/>
    </row>
    <row r="6" spans="1:8" ht="14.45" customHeight="1">
      <c r="A6" s="9">
        <v>19</v>
      </c>
      <c r="B6" s="9" t="s">
        <v>117</v>
      </c>
      <c r="C6" s="9" t="s">
        <v>25</v>
      </c>
      <c r="D6" s="28">
        <v>7.728397575554439</v>
      </c>
      <c r="E6" s="56"/>
      <c r="F6" s="56"/>
      <c r="G6" s="25"/>
      <c r="H6" s="25"/>
    </row>
    <row r="7" spans="1:8" ht="14.45" customHeight="1">
      <c r="A7" s="9">
        <v>21</v>
      </c>
      <c r="B7" s="9" t="s">
        <v>118</v>
      </c>
      <c r="C7" s="9" t="s">
        <v>25</v>
      </c>
      <c r="D7" s="28">
        <v>8.7745315904139431</v>
      </c>
      <c r="E7" s="56"/>
      <c r="F7" s="56"/>
      <c r="G7" s="25"/>
      <c r="H7" s="25"/>
    </row>
    <row r="8" spans="1:8" ht="14.45" customHeight="1">
      <c r="A8" s="9">
        <v>27</v>
      </c>
      <c r="B8" s="9" t="s">
        <v>119</v>
      </c>
      <c r="C8" s="9" t="s">
        <v>25</v>
      </c>
      <c r="D8" s="28">
        <v>5.7523406862745095</v>
      </c>
      <c r="E8" s="56"/>
      <c r="F8" s="56"/>
      <c r="G8" s="25"/>
      <c r="H8" s="25"/>
    </row>
    <row r="9" spans="1:8" ht="14.45" customHeight="1">
      <c r="A9" s="9">
        <v>29</v>
      </c>
      <c r="B9" s="9" t="s">
        <v>120</v>
      </c>
      <c r="C9" s="9" t="s">
        <v>25</v>
      </c>
      <c r="D9" s="28">
        <v>9.6557384364002008</v>
      </c>
      <c r="E9" s="56"/>
      <c r="F9" s="56"/>
      <c r="G9" s="25"/>
      <c r="H9" s="25"/>
    </row>
    <row r="10" spans="1:8" ht="14.45" customHeight="1">
      <c r="A10" s="9">
        <v>30</v>
      </c>
      <c r="B10" s="9" t="s">
        <v>121</v>
      </c>
      <c r="C10" s="9" t="s">
        <v>25</v>
      </c>
      <c r="D10" s="28">
        <v>7.8828921568627441</v>
      </c>
      <c r="E10" s="56"/>
      <c r="F10" s="56"/>
      <c r="G10" s="25"/>
      <c r="H10" s="25"/>
    </row>
    <row r="11" spans="1:8" ht="14.45" customHeight="1">
      <c r="A11" s="9">
        <v>32</v>
      </c>
      <c r="B11" s="9" t="s">
        <v>122</v>
      </c>
      <c r="C11" s="9" t="s">
        <v>25</v>
      </c>
      <c r="D11" s="28">
        <v>9.3016756047148217</v>
      </c>
      <c r="E11" s="56"/>
      <c r="F11" s="56"/>
      <c r="G11" s="25"/>
      <c r="H11" s="25"/>
    </row>
    <row r="12" spans="1:8" ht="14.45" customHeight="1">
      <c r="A12" s="9">
        <v>5</v>
      </c>
      <c r="B12" s="24" t="s">
        <v>123</v>
      </c>
      <c r="C12" s="9" t="s">
        <v>124</v>
      </c>
      <c r="D12" s="28">
        <v>9.4969943418963023</v>
      </c>
      <c r="E12" s="56"/>
      <c r="F12" s="56"/>
      <c r="G12" s="25"/>
      <c r="H12" s="25"/>
    </row>
    <row r="13" spans="1:8" ht="14.45" customHeight="1">
      <c r="A13" s="9">
        <v>2</v>
      </c>
      <c r="B13" s="24" t="s">
        <v>125</v>
      </c>
      <c r="C13" s="9" t="s">
        <v>24</v>
      </c>
      <c r="D13" s="28">
        <v>9.4518814591363611</v>
      </c>
      <c r="E13" s="56">
        <f>AVERAGE(D13:D25)</f>
        <v>8.1833122165946452</v>
      </c>
      <c r="F13" s="56" t="s">
        <v>113</v>
      </c>
      <c r="G13" s="25"/>
      <c r="H13" s="25"/>
    </row>
    <row r="14" spans="1:8" ht="14.45" customHeight="1">
      <c r="A14" s="9">
        <v>3</v>
      </c>
      <c r="B14" s="24" t="s">
        <v>126</v>
      </c>
      <c r="C14" s="9" t="s">
        <v>24</v>
      </c>
      <c r="D14" s="28">
        <v>8.8372757308051426</v>
      </c>
      <c r="E14" s="56"/>
      <c r="F14" s="56"/>
      <c r="G14" s="25"/>
      <c r="H14" s="25"/>
    </row>
    <row r="15" spans="1:8" ht="14.45" customHeight="1">
      <c r="A15" s="9">
        <v>9</v>
      </c>
      <c r="B15" s="24" t="s">
        <v>127</v>
      </c>
      <c r="C15" s="9" t="s">
        <v>24</v>
      </c>
      <c r="D15" s="28">
        <v>8.5348050887021465</v>
      </c>
      <c r="E15" s="56"/>
      <c r="F15" s="56"/>
      <c r="G15" s="25"/>
      <c r="H15" s="25"/>
    </row>
    <row r="16" spans="1:8">
      <c r="A16" s="9">
        <v>10</v>
      </c>
      <c r="B16" s="24" t="s">
        <v>128</v>
      </c>
      <c r="C16" s="9" t="s">
        <v>24</v>
      </c>
      <c r="D16" s="28">
        <v>6.3630155138978672</v>
      </c>
      <c r="E16" s="56"/>
      <c r="F16" s="56"/>
    </row>
    <row r="17" spans="1:6">
      <c r="A17" s="9">
        <v>13</v>
      </c>
      <c r="B17" s="24" t="s">
        <v>129</v>
      </c>
      <c r="C17" s="9" t="s">
        <v>24</v>
      </c>
      <c r="D17" s="28">
        <v>6.3150433136217456</v>
      </c>
      <c r="E17" s="56"/>
      <c r="F17" s="56"/>
    </row>
    <row r="18" spans="1:6">
      <c r="A18" s="9">
        <v>14</v>
      </c>
      <c r="B18" s="26" t="s">
        <v>130</v>
      </c>
      <c r="C18" s="9" t="s">
        <v>24</v>
      </c>
      <c r="D18" s="28">
        <v>8.1128838572466027</v>
      </c>
      <c r="E18" s="56"/>
      <c r="F18" s="56"/>
    </row>
    <row r="19" spans="1:6">
      <c r="A19" s="9">
        <v>15</v>
      </c>
      <c r="B19" s="9" t="s">
        <v>131</v>
      </c>
      <c r="C19" s="9" t="s">
        <v>24</v>
      </c>
      <c r="D19" s="28">
        <v>5.0718335549708105</v>
      </c>
      <c r="E19" s="56"/>
      <c r="F19" s="56"/>
    </row>
    <row r="20" spans="1:6">
      <c r="A20" s="9">
        <v>18</v>
      </c>
      <c r="B20" s="9" t="s">
        <v>132</v>
      </c>
      <c r="C20" s="9" t="s">
        <v>24</v>
      </c>
      <c r="D20" s="28">
        <v>9.772587355455002</v>
      </c>
      <c r="E20" s="56"/>
      <c r="F20" s="56"/>
    </row>
    <row r="21" spans="1:6">
      <c r="A21" s="9">
        <v>22</v>
      </c>
      <c r="B21" s="9" t="s">
        <v>133</v>
      </c>
      <c r="C21" s="9" t="s">
        <v>24</v>
      </c>
      <c r="D21" s="28">
        <v>8.813006491057962</v>
      </c>
      <c r="E21" s="56"/>
      <c r="F21" s="56"/>
    </row>
    <row r="22" spans="1:6">
      <c r="A22" s="9">
        <v>23</v>
      </c>
      <c r="B22" s="9" t="s">
        <v>134</v>
      </c>
      <c r="C22" s="9" t="s">
        <v>24</v>
      </c>
      <c r="D22" s="28">
        <v>9.6998162113848387</v>
      </c>
      <c r="E22" s="56"/>
      <c r="F22" s="56"/>
    </row>
    <row r="23" spans="1:6">
      <c r="A23" s="9">
        <v>25</v>
      </c>
      <c r="B23" s="9" t="s">
        <v>135</v>
      </c>
      <c r="C23" s="9" t="s">
        <v>24</v>
      </c>
      <c r="D23" s="28">
        <v>8.0022925644616834</v>
      </c>
      <c r="E23" s="56"/>
      <c r="F23" s="56"/>
    </row>
    <row r="24" spans="1:6">
      <c r="A24" s="9">
        <v>26</v>
      </c>
      <c r="B24" s="9" t="s">
        <v>136</v>
      </c>
      <c r="C24" s="9" t="s">
        <v>24</v>
      </c>
      <c r="D24" s="28">
        <v>8.5592837590876805</v>
      </c>
      <c r="E24" s="56"/>
      <c r="F24" s="56"/>
    </row>
    <row r="25" spans="1:6">
      <c r="A25" s="9">
        <v>28</v>
      </c>
      <c r="B25" s="9" t="s">
        <v>137</v>
      </c>
      <c r="C25" s="9" t="s">
        <v>24</v>
      </c>
      <c r="D25" s="28">
        <v>8.8493339159025428</v>
      </c>
      <c r="E25" s="56"/>
      <c r="F25" s="56"/>
    </row>
    <row r="26" spans="1:6">
      <c r="A26" s="9">
        <v>1</v>
      </c>
      <c r="B26" s="24" t="s">
        <v>138</v>
      </c>
      <c r="C26" s="9" t="s">
        <v>27</v>
      </c>
      <c r="D26" s="28">
        <v>9.1736752535772155</v>
      </c>
      <c r="E26" s="56">
        <f>AVERAGE(D26:D33)</f>
        <v>8.4125952033963678</v>
      </c>
      <c r="F26" s="56" t="s">
        <v>113</v>
      </c>
    </row>
    <row r="27" spans="1:6">
      <c r="A27" s="9">
        <v>6</v>
      </c>
      <c r="B27" s="24" t="s">
        <v>139</v>
      </c>
      <c r="C27" s="9" t="s">
        <v>27</v>
      </c>
      <c r="D27" s="28">
        <v>8.2921678607340361</v>
      </c>
      <c r="E27" s="56"/>
      <c r="F27" s="56"/>
    </row>
    <row r="28" spans="1:6">
      <c r="A28" s="9">
        <v>7</v>
      </c>
      <c r="B28" s="24" t="s">
        <v>140</v>
      </c>
      <c r="C28" s="9" t="s">
        <v>27</v>
      </c>
      <c r="D28" s="28">
        <v>8.9829565387408543</v>
      </c>
      <c r="E28" s="56"/>
      <c r="F28" s="56"/>
    </row>
    <row r="29" spans="1:6">
      <c r="A29" s="9">
        <v>16</v>
      </c>
      <c r="B29" s="9" t="s">
        <v>141</v>
      </c>
      <c r="C29" s="9" t="s">
        <v>27</v>
      </c>
      <c r="D29" s="28">
        <v>9.3605742296918759</v>
      </c>
      <c r="E29" s="56"/>
      <c r="F29" s="56"/>
    </row>
    <row r="30" spans="1:6">
      <c r="A30" s="9">
        <v>17</v>
      </c>
      <c r="B30" s="9" t="s">
        <v>142</v>
      </c>
      <c r="C30" s="9" t="s">
        <v>27</v>
      </c>
      <c r="D30" s="28">
        <v>7.819763177998472</v>
      </c>
      <c r="E30" s="56"/>
      <c r="F30" s="56"/>
    </row>
    <row r="31" spans="1:6">
      <c r="A31" s="9">
        <v>20</v>
      </c>
      <c r="B31" s="9" t="s">
        <v>143</v>
      </c>
      <c r="C31" s="9" t="s">
        <v>27</v>
      </c>
      <c r="D31" s="28">
        <v>8.0880008299616133</v>
      </c>
      <c r="E31" s="56"/>
      <c r="F31" s="56"/>
    </row>
    <row r="32" spans="1:6">
      <c r="A32" s="9">
        <v>24</v>
      </c>
      <c r="B32" s="9" t="s">
        <v>144</v>
      </c>
      <c r="C32" s="9" t="s">
        <v>27</v>
      </c>
      <c r="D32" s="28">
        <v>7.3973334653726805</v>
      </c>
      <c r="E32" s="56"/>
      <c r="F32" s="56"/>
    </row>
    <row r="33" spans="1:6">
      <c r="A33" s="9">
        <v>31</v>
      </c>
      <c r="B33" s="9" t="s">
        <v>145</v>
      </c>
      <c r="C33" s="9" t="s">
        <v>27</v>
      </c>
      <c r="D33" s="28">
        <v>8.1862902710941938</v>
      </c>
      <c r="E33" s="56"/>
      <c r="F33" s="56"/>
    </row>
  </sheetData>
  <autoFilter ref="A1:D1" xr:uid="{FD9A7B95-F124-4CE6-993C-88740F8340E7}">
    <sortState xmlns:xlrd2="http://schemas.microsoft.com/office/spreadsheetml/2017/richdata2" ref="A2:D33">
      <sortCondition ref="C1"/>
    </sortState>
  </autoFilter>
  <mergeCells count="6">
    <mergeCell ref="E2:E12"/>
    <mergeCell ref="E13:E25"/>
    <mergeCell ref="E26:E33"/>
    <mergeCell ref="F2:F12"/>
    <mergeCell ref="F13:F25"/>
    <mergeCell ref="F26:F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D9DF-7B4D-4B79-B59E-8B6ABB805274}">
  <dimension ref="A1:H33"/>
  <sheetViews>
    <sheetView workbookViewId="0">
      <selection activeCell="C13" sqref="C13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>
      <c r="A1" s="23" t="s">
        <v>28</v>
      </c>
      <c r="B1" s="23" t="s">
        <v>29</v>
      </c>
      <c r="C1" s="23" t="s">
        <v>30</v>
      </c>
      <c r="D1" s="23" t="s">
        <v>146</v>
      </c>
      <c r="E1" s="29" t="s">
        <v>147</v>
      </c>
      <c r="F1" s="29" t="s">
        <v>148</v>
      </c>
    </row>
    <row r="2" spans="1:8" ht="14.45" customHeight="1">
      <c r="A2" s="9">
        <v>4</v>
      </c>
      <c r="B2" s="24" t="s">
        <v>112</v>
      </c>
      <c r="C2" s="9" t="s">
        <v>25</v>
      </c>
      <c r="D2" s="28">
        <v>6.2449979983983983</v>
      </c>
      <c r="E2" s="56">
        <f>AVERAGE(D2:D12)</f>
        <v>5.2774631128951519</v>
      </c>
      <c r="F2" s="56" t="s">
        <v>149</v>
      </c>
      <c r="G2" s="25"/>
      <c r="H2" s="25"/>
    </row>
    <row r="3" spans="1:8" ht="14.45" customHeight="1">
      <c r="A3" s="9">
        <v>8</v>
      </c>
      <c r="B3" s="24" t="s">
        <v>114</v>
      </c>
      <c r="C3" s="9" t="s">
        <v>25</v>
      </c>
      <c r="D3" s="28">
        <v>5.4083269131959844</v>
      </c>
      <c r="E3" s="56"/>
      <c r="F3" s="56"/>
      <c r="G3" s="25"/>
      <c r="H3" s="25"/>
    </row>
    <row r="4" spans="1:8" ht="14.45" customHeight="1">
      <c r="A4" s="9">
        <v>11</v>
      </c>
      <c r="B4" s="24" t="s">
        <v>115</v>
      </c>
      <c r="C4" s="9" t="s">
        <v>25</v>
      </c>
      <c r="D4" s="28">
        <v>5.6124860801609122</v>
      </c>
      <c r="E4" s="56"/>
      <c r="F4" s="56"/>
      <c r="G4" s="25"/>
      <c r="H4" s="25"/>
    </row>
    <row r="5" spans="1:8" ht="14.45" customHeight="1">
      <c r="A5" s="9">
        <v>12</v>
      </c>
      <c r="B5" s="24" t="s">
        <v>116</v>
      </c>
      <c r="C5" s="9" t="s">
        <v>25</v>
      </c>
      <c r="D5" s="28">
        <v>5.4083269131959844</v>
      </c>
      <c r="E5" s="56"/>
      <c r="F5" s="56"/>
      <c r="G5" s="25"/>
      <c r="H5" s="25"/>
    </row>
    <row r="6" spans="1:8" ht="14.45" customHeight="1">
      <c r="A6" s="9">
        <v>19</v>
      </c>
      <c r="B6" s="9" t="s">
        <v>117</v>
      </c>
      <c r="C6" s="9" t="s">
        <v>25</v>
      </c>
      <c r="D6" s="28">
        <v>4.6904157598234297</v>
      </c>
      <c r="E6" s="56"/>
      <c r="F6" s="56"/>
      <c r="G6" s="25"/>
      <c r="H6" s="25"/>
    </row>
    <row r="7" spans="1:8" ht="14.45" customHeight="1">
      <c r="A7" s="9">
        <v>21</v>
      </c>
      <c r="B7" s="9" t="s">
        <v>118</v>
      </c>
      <c r="C7" s="9" t="s">
        <v>25</v>
      </c>
      <c r="D7" s="28">
        <v>5.4083269131959844</v>
      </c>
      <c r="E7" s="56"/>
      <c r="F7" s="56"/>
      <c r="G7" s="25"/>
      <c r="H7" s="25"/>
    </row>
    <row r="8" spans="1:8" ht="14.45" customHeight="1">
      <c r="A8" s="9">
        <v>27</v>
      </c>
      <c r="B8" s="9" t="s">
        <v>119</v>
      </c>
      <c r="C8" s="9" t="s">
        <v>25</v>
      </c>
      <c r="D8" s="28">
        <v>5.9791303715506992</v>
      </c>
      <c r="E8" s="56"/>
      <c r="F8" s="56"/>
      <c r="G8" s="25"/>
      <c r="H8" s="25"/>
    </row>
    <row r="9" spans="1:8" ht="14.45" customHeight="1">
      <c r="A9" s="9">
        <v>29</v>
      </c>
      <c r="B9" s="9" t="s">
        <v>120</v>
      </c>
      <c r="C9" s="9" t="s">
        <v>25</v>
      </c>
      <c r="D9" s="28">
        <v>5.4772255750516612</v>
      </c>
      <c r="E9" s="56"/>
      <c r="F9" s="56"/>
      <c r="G9" s="25"/>
      <c r="H9" s="25"/>
    </row>
    <row r="10" spans="1:8" ht="14.45" customHeight="1">
      <c r="A10" s="9">
        <v>30</v>
      </c>
      <c r="B10" s="9" t="s">
        <v>121</v>
      </c>
      <c r="C10" s="9" t="s">
        <v>25</v>
      </c>
      <c r="D10" s="28">
        <v>3.872983346207417</v>
      </c>
      <c r="E10" s="56"/>
      <c r="F10" s="56"/>
      <c r="G10" s="25"/>
      <c r="H10" s="25"/>
    </row>
    <row r="11" spans="1:8" ht="14.45" customHeight="1">
      <c r="A11" s="9">
        <v>32</v>
      </c>
      <c r="B11" s="9" t="s">
        <v>122</v>
      </c>
      <c r="C11" s="9" t="s">
        <v>25</v>
      </c>
      <c r="D11" s="28">
        <v>4.9749371855330997</v>
      </c>
      <c r="E11" s="56"/>
      <c r="F11" s="56"/>
      <c r="G11" s="25"/>
      <c r="H11" s="25"/>
    </row>
    <row r="12" spans="1:8" ht="14.45" customHeight="1">
      <c r="A12" s="9">
        <v>5</v>
      </c>
      <c r="B12" s="24" t="s">
        <v>123</v>
      </c>
      <c r="C12" s="9" t="s">
        <v>25</v>
      </c>
      <c r="D12" s="28">
        <v>4.9749371855330997</v>
      </c>
      <c r="E12" s="56"/>
      <c r="F12" s="56"/>
      <c r="G12" s="25"/>
      <c r="H12" s="25"/>
    </row>
    <row r="13" spans="1:8" ht="14.45" customHeight="1">
      <c r="A13" s="9">
        <v>2</v>
      </c>
      <c r="B13" s="24" t="s">
        <v>125</v>
      </c>
      <c r="C13" s="9" t="s">
        <v>24</v>
      </c>
      <c r="D13" s="28">
        <v>5.4083269131959844</v>
      </c>
      <c r="E13" s="56">
        <f>AVERAGE(D13:D25)</f>
        <v>5.0043059391874367</v>
      </c>
      <c r="F13" s="56" t="s">
        <v>149</v>
      </c>
      <c r="G13" s="25"/>
      <c r="H13" s="25"/>
    </row>
    <row r="14" spans="1:8" ht="14.45" customHeight="1">
      <c r="A14" s="9">
        <v>3</v>
      </c>
      <c r="B14" s="24" t="s">
        <v>126</v>
      </c>
      <c r="C14" s="9" t="s">
        <v>24</v>
      </c>
      <c r="D14" s="28">
        <v>4.9749371855330997</v>
      </c>
      <c r="E14" s="56"/>
      <c r="F14" s="56"/>
      <c r="G14" s="25"/>
      <c r="H14" s="25"/>
    </row>
    <row r="15" spans="1:8" ht="14.45" customHeight="1">
      <c r="A15" s="9">
        <v>9</v>
      </c>
      <c r="B15" s="24" t="s">
        <v>127</v>
      </c>
      <c r="C15" s="9" t="s">
        <v>24</v>
      </c>
      <c r="D15" s="28">
        <v>4.9749371855330997</v>
      </c>
      <c r="E15" s="56"/>
      <c r="F15" s="56"/>
      <c r="G15" s="25"/>
      <c r="H15" s="25"/>
    </row>
    <row r="16" spans="1:8" ht="15">
      <c r="A16" s="9">
        <v>10</v>
      </c>
      <c r="B16" s="24" t="s">
        <v>128</v>
      </c>
      <c r="C16" s="9" t="s">
        <v>24</v>
      </c>
      <c r="D16" s="28">
        <v>5.196152422706632</v>
      </c>
      <c r="E16" s="56"/>
      <c r="F16" s="56"/>
    </row>
    <row r="17" spans="1:6" ht="15">
      <c r="A17" s="9">
        <v>13</v>
      </c>
      <c r="B17" s="24" t="s">
        <v>129</v>
      </c>
      <c r="C17" s="9" t="s">
        <v>24</v>
      </c>
      <c r="D17" s="28">
        <v>4.6904157598234297</v>
      </c>
      <c r="E17" s="56"/>
      <c r="F17" s="56"/>
    </row>
    <row r="18" spans="1:6" ht="15">
      <c r="A18" s="9">
        <v>14</v>
      </c>
      <c r="B18" s="26" t="s">
        <v>130</v>
      </c>
      <c r="C18" s="9" t="s">
        <v>24</v>
      </c>
      <c r="D18" s="28">
        <v>4.8989794855663558</v>
      </c>
      <c r="E18" s="56"/>
      <c r="F18" s="56"/>
    </row>
    <row r="19" spans="1:6" ht="15">
      <c r="A19" s="9">
        <v>15</v>
      </c>
      <c r="B19" s="9" t="s">
        <v>131</v>
      </c>
      <c r="C19" s="9" t="s">
        <v>24</v>
      </c>
      <c r="D19" s="28">
        <v>4.8989794855663558</v>
      </c>
      <c r="E19" s="56"/>
      <c r="F19" s="56"/>
    </row>
    <row r="20" spans="1:6" ht="15">
      <c r="A20" s="9">
        <v>18</v>
      </c>
      <c r="B20" s="9" t="s">
        <v>132</v>
      </c>
      <c r="C20" s="9" t="s">
        <v>24</v>
      </c>
      <c r="D20" s="28">
        <v>5</v>
      </c>
      <c r="E20" s="56"/>
      <c r="F20" s="56"/>
    </row>
    <row r="21" spans="1:6" ht="15">
      <c r="A21" s="9">
        <v>22</v>
      </c>
      <c r="B21" s="9" t="s">
        <v>133</v>
      </c>
      <c r="C21" s="9" t="s">
        <v>24</v>
      </c>
      <c r="D21" s="28">
        <v>4.7434164902525691</v>
      </c>
      <c r="E21" s="56"/>
      <c r="F21" s="56"/>
    </row>
    <row r="22" spans="1:6" ht="15">
      <c r="A22" s="9">
        <v>23</v>
      </c>
      <c r="B22" s="9" t="s">
        <v>134</v>
      </c>
      <c r="C22" s="9" t="s">
        <v>24</v>
      </c>
      <c r="D22" s="28">
        <v>4.9749371855330997</v>
      </c>
      <c r="E22" s="56"/>
      <c r="F22" s="56"/>
    </row>
    <row r="23" spans="1:6" ht="15">
      <c r="A23" s="9">
        <v>25</v>
      </c>
      <c r="B23" s="9" t="s">
        <v>135</v>
      </c>
      <c r="C23" s="9" t="s">
        <v>24</v>
      </c>
      <c r="D23" s="28">
        <v>5.4083269131959844</v>
      </c>
      <c r="E23" s="56"/>
      <c r="F23" s="56"/>
    </row>
    <row r="24" spans="1:6" ht="15">
      <c r="A24" s="9">
        <v>26</v>
      </c>
      <c r="B24" s="9" t="s">
        <v>136</v>
      </c>
      <c r="C24" s="9" t="s">
        <v>24</v>
      </c>
      <c r="D24" s="28">
        <v>5.196152422706632</v>
      </c>
      <c r="E24" s="56"/>
      <c r="F24" s="56"/>
    </row>
    <row r="25" spans="1:6" ht="15">
      <c r="A25" s="9">
        <v>28</v>
      </c>
      <c r="B25" s="9" t="s">
        <v>137</v>
      </c>
      <c r="C25" s="9" t="s">
        <v>24</v>
      </c>
      <c r="D25" s="28">
        <v>4.6904157598234297</v>
      </c>
      <c r="E25" s="56"/>
      <c r="F25" s="56"/>
    </row>
    <row r="26" spans="1:6" ht="15">
      <c r="A26" s="9">
        <v>1</v>
      </c>
      <c r="B26" s="24" t="s">
        <v>138</v>
      </c>
      <c r="C26" s="9" t="s">
        <v>27</v>
      </c>
      <c r="D26" s="28">
        <v>5.5</v>
      </c>
      <c r="E26" s="56">
        <f>AVERAGE(D26:D33)</f>
        <v>5.0944105939789264</v>
      </c>
      <c r="F26" s="56" t="s">
        <v>149</v>
      </c>
    </row>
    <row r="27" spans="1:6" ht="15">
      <c r="A27" s="9">
        <v>6</v>
      </c>
      <c r="B27" s="24" t="s">
        <v>139</v>
      </c>
      <c r="C27" s="9" t="s">
        <v>27</v>
      </c>
      <c r="D27" s="28">
        <v>5.5</v>
      </c>
      <c r="E27" s="56"/>
      <c r="F27" s="56"/>
    </row>
    <row r="28" spans="1:6" ht="15">
      <c r="A28" s="9">
        <v>7</v>
      </c>
      <c r="B28" s="24" t="s">
        <v>140</v>
      </c>
      <c r="C28" s="9" t="s">
        <v>27</v>
      </c>
      <c r="D28" s="28">
        <v>6.2048368229954276</v>
      </c>
      <c r="E28" s="56"/>
      <c r="F28" s="56"/>
    </row>
    <row r="29" spans="1:6" ht="15">
      <c r="A29" s="9">
        <v>16</v>
      </c>
      <c r="B29" s="9" t="s">
        <v>141</v>
      </c>
      <c r="C29" s="9" t="s">
        <v>27</v>
      </c>
      <c r="D29" s="28">
        <v>4.2426406871192848</v>
      </c>
      <c r="E29" s="56"/>
      <c r="F29" s="56"/>
    </row>
    <row r="30" spans="1:6" ht="15">
      <c r="A30" s="9">
        <v>17</v>
      </c>
      <c r="B30" s="9" t="s">
        <v>142</v>
      </c>
      <c r="C30" s="9" t="s">
        <v>27</v>
      </c>
      <c r="D30" s="28">
        <v>5.2440442408507577</v>
      </c>
      <c r="E30" s="56"/>
      <c r="F30" s="56"/>
    </row>
    <row r="31" spans="1:6" ht="15">
      <c r="A31" s="9">
        <v>20</v>
      </c>
      <c r="B31" s="9" t="s">
        <v>143</v>
      </c>
      <c r="C31" s="9" t="s">
        <v>27</v>
      </c>
      <c r="D31" s="28">
        <v>4.1833001326703778</v>
      </c>
      <c r="E31" s="56"/>
      <c r="F31" s="56"/>
    </row>
    <row r="32" spans="1:6" ht="15">
      <c r="A32" s="9">
        <v>24</v>
      </c>
      <c r="B32" s="9" t="s">
        <v>144</v>
      </c>
      <c r="C32" s="9" t="s">
        <v>27</v>
      </c>
      <c r="D32" s="28">
        <v>5.4083269131959844</v>
      </c>
      <c r="E32" s="56"/>
      <c r="F32" s="56"/>
    </row>
    <row r="33" spans="1:6" ht="15">
      <c r="A33" s="9">
        <v>31</v>
      </c>
      <c r="B33" s="9" t="s">
        <v>145</v>
      </c>
      <c r="C33" s="9" t="s">
        <v>27</v>
      </c>
      <c r="D33" s="28">
        <v>4.4721359549995796</v>
      </c>
      <c r="E33" s="56"/>
      <c r="F33" s="56"/>
    </row>
  </sheetData>
  <autoFilter ref="A1:D1" xr:uid="{F294EAD7-2207-4EA2-A633-F6E085B1F34F}">
    <sortState xmlns:xlrd2="http://schemas.microsoft.com/office/spreadsheetml/2017/richdata2" ref="A2:D33">
      <sortCondition ref="C1"/>
    </sortState>
  </autoFilter>
  <mergeCells count="6">
    <mergeCell ref="E2:E12"/>
    <mergeCell ref="E13:E25"/>
    <mergeCell ref="E26:E33"/>
    <mergeCell ref="F2:F12"/>
    <mergeCell ref="F13:F25"/>
    <mergeCell ref="F26:F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4EDF-58EA-4ADB-BADB-14916BC3592C}">
  <dimension ref="A1:H33"/>
  <sheetViews>
    <sheetView workbookViewId="0">
      <selection activeCell="C13" sqref="C13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>
      <c r="A1" s="23" t="s">
        <v>28</v>
      </c>
      <c r="B1" s="23" t="s">
        <v>29</v>
      </c>
      <c r="C1" s="23" t="s">
        <v>30</v>
      </c>
      <c r="D1" s="23" t="s">
        <v>150</v>
      </c>
      <c r="E1" s="23" t="s">
        <v>151</v>
      </c>
      <c r="F1" s="23" t="s">
        <v>152</v>
      </c>
    </row>
    <row r="2" spans="1:8" ht="14.45" customHeight="1">
      <c r="A2" s="9">
        <v>4</v>
      </c>
      <c r="B2" s="24" t="s">
        <v>112</v>
      </c>
      <c r="C2" s="9" t="s">
        <v>25</v>
      </c>
      <c r="D2" s="27">
        <v>8.125</v>
      </c>
      <c r="E2" s="56">
        <f>AVERAGE(D2:D12)</f>
        <v>7.6704545454545459</v>
      </c>
      <c r="F2" s="56" t="s">
        <v>153</v>
      </c>
      <c r="G2" s="25"/>
      <c r="H2" s="25"/>
    </row>
    <row r="3" spans="1:8" ht="14.45" customHeight="1">
      <c r="A3" s="9">
        <v>8</v>
      </c>
      <c r="B3" s="24" t="s">
        <v>114</v>
      </c>
      <c r="C3" s="9" t="s">
        <v>25</v>
      </c>
      <c r="D3" s="27">
        <v>7.375</v>
      </c>
      <c r="E3" s="56"/>
      <c r="F3" s="56"/>
      <c r="G3" s="25"/>
      <c r="H3" s="25"/>
    </row>
    <row r="4" spans="1:8" ht="14.45" customHeight="1">
      <c r="A4" s="9">
        <v>11</v>
      </c>
      <c r="B4" s="24" t="s">
        <v>115</v>
      </c>
      <c r="C4" s="9" t="s">
        <v>25</v>
      </c>
      <c r="D4" s="27">
        <v>6.75</v>
      </c>
      <c r="E4" s="56"/>
      <c r="F4" s="56"/>
      <c r="G4" s="25"/>
      <c r="H4" s="25"/>
    </row>
    <row r="5" spans="1:8" ht="14.45" customHeight="1">
      <c r="A5" s="9">
        <v>12</v>
      </c>
      <c r="B5" s="24" t="s">
        <v>116</v>
      </c>
      <c r="C5" s="9" t="s">
        <v>25</v>
      </c>
      <c r="D5" s="27">
        <v>8.125</v>
      </c>
      <c r="E5" s="56"/>
      <c r="F5" s="56"/>
      <c r="G5" s="25"/>
      <c r="H5" s="25"/>
    </row>
    <row r="6" spans="1:8" ht="14.45" customHeight="1">
      <c r="A6" s="9">
        <v>19</v>
      </c>
      <c r="B6" s="9" t="s">
        <v>117</v>
      </c>
      <c r="C6" s="9" t="s">
        <v>25</v>
      </c>
      <c r="D6" s="27">
        <v>7.25</v>
      </c>
      <c r="E6" s="56"/>
      <c r="F6" s="56"/>
      <c r="G6" s="25"/>
      <c r="H6" s="25"/>
    </row>
    <row r="7" spans="1:8" ht="14.45" customHeight="1">
      <c r="A7" s="9">
        <v>21</v>
      </c>
      <c r="B7" s="9" t="s">
        <v>118</v>
      </c>
      <c r="C7" s="9" t="s">
        <v>25</v>
      </c>
      <c r="D7" s="27">
        <v>7.375</v>
      </c>
      <c r="E7" s="56"/>
      <c r="F7" s="56"/>
      <c r="G7" s="25"/>
      <c r="H7" s="25"/>
    </row>
    <row r="8" spans="1:8" ht="14.45" customHeight="1">
      <c r="A8" s="9">
        <v>27</v>
      </c>
      <c r="B8" s="9" t="s">
        <v>119</v>
      </c>
      <c r="C8" s="9" t="s">
        <v>25</v>
      </c>
      <c r="D8" s="27">
        <v>8.125</v>
      </c>
      <c r="E8" s="56"/>
      <c r="F8" s="56"/>
      <c r="G8" s="25"/>
      <c r="H8" s="25"/>
    </row>
    <row r="9" spans="1:8" ht="14.45" customHeight="1">
      <c r="A9" s="9">
        <v>29</v>
      </c>
      <c r="B9" s="9" t="s">
        <v>120</v>
      </c>
      <c r="C9" s="9" t="s">
        <v>25</v>
      </c>
      <c r="D9" s="27">
        <v>8.125</v>
      </c>
      <c r="E9" s="56"/>
      <c r="F9" s="56"/>
      <c r="G9" s="25"/>
      <c r="H9" s="25"/>
    </row>
    <row r="10" spans="1:8" ht="14.45" customHeight="1">
      <c r="A10" s="9">
        <v>30</v>
      </c>
      <c r="B10" s="9" t="s">
        <v>121</v>
      </c>
      <c r="C10" s="9" t="s">
        <v>25</v>
      </c>
      <c r="D10" s="27">
        <v>7.75</v>
      </c>
      <c r="E10" s="56"/>
      <c r="F10" s="56"/>
      <c r="G10" s="25"/>
      <c r="H10" s="25"/>
    </row>
    <row r="11" spans="1:8" ht="14.45" customHeight="1">
      <c r="A11" s="9">
        <v>32</v>
      </c>
      <c r="B11" s="9" t="s">
        <v>122</v>
      </c>
      <c r="C11" s="9" t="s">
        <v>25</v>
      </c>
      <c r="D11" s="27">
        <v>7.25</v>
      </c>
      <c r="E11" s="56"/>
      <c r="F11" s="56"/>
      <c r="G11" s="25"/>
      <c r="H11" s="25"/>
    </row>
    <row r="12" spans="1:8" ht="14.45" customHeight="1">
      <c r="A12" s="9">
        <v>5</v>
      </c>
      <c r="B12" s="24" t="s">
        <v>123</v>
      </c>
      <c r="C12" s="9" t="s">
        <v>25</v>
      </c>
      <c r="D12" s="27">
        <v>8.125</v>
      </c>
      <c r="E12" s="56"/>
      <c r="F12" s="56"/>
      <c r="G12" s="25"/>
      <c r="H12" s="25"/>
    </row>
    <row r="13" spans="1:8" ht="14.45" customHeight="1">
      <c r="A13" s="9">
        <v>2</v>
      </c>
      <c r="B13" s="24" t="s">
        <v>125</v>
      </c>
      <c r="C13" s="9" t="s">
        <v>24</v>
      </c>
      <c r="D13" s="27">
        <v>7.75</v>
      </c>
      <c r="E13" s="56">
        <f>AVERAGE(D13:D25)</f>
        <v>7.6538461538461542</v>
      </c>
      <c r="F13" s="56" t="s">
        <v>153</v>
      </c>
      <c r="G13" s="25"/>
      <c r="H13" s="25"/>
    </row>
    <row r="14" spans="1:8" ht="14.45" customHeight="1">
      <c r="A14" s="9">
        <v>3</v>
      </c>
      <c r="B14" s="24" t="s">
        <v>126</v>
      </c>
      <c r="C14" s="9" t="s">
        <v>24</v>
      </c>
      <c r="D14" s="27">
        <v>7.25</v>
      </c>
      <c r="E14" s="56"/>
      <c r="F14" s="56"/>
      <c r="G14" s="25"/>
      <c r="H14" s="25"/>
    </row>
    <row r="15" spans="1:8" ht="14.45" customHeight="1">
      <c r="A15" s="9">
        <v>9</v>
      </c>
      <c r="B15" s="24" t="s">
        <v>127</v>
      </c>
      <c r="C15" s="9" t="s">
        <v>24</v>
      </c>
      <c r="D15" s="27">
        <v>7.375</v>
      </c>
      <c r="E15" s="56"/>
      <c r="F15" s="56"/>
      <c r="G15" s="25"/>
      <c r="H15" s="25"/>
    </row>
    <row r="16" spans="1:8" ht="15">
      <c r="A16" s="9">
        <v>10</v>
      </c>
      <c r="B16" s="24" t="s">
        <v>128</v>
      </c>
      <c r="C16" s="9" t="s">
        <v>24</v>
      </c>
      <c r="D16" s="27">
        <v>8.125</v>
      </c>
      <c r="E16" s="56"/>
      <c r="F16" s="56"/>
    </row>
    <row r="17" spans="1:6" ht="15">
      <c r="A17" s="9">
        <v>13</v>
      </c>
      <c r="B17" s="24" t="s">
        <v>129</v>
      </c>
      <c r="C17" s="9" t="s">
        <v>24</v>
      </c>
      <c r="D17" s="27">
        <v>6.375</v>
      </c>
      <c r="E17" s="56"/>
      <c r="F17" s="56"/>
    </row>
    <row r="18" spans="1:6" ht="15">
      <c r="A18" s="9">
        <v>14</v>
      </c>
      <c r="B18" s="26" t="s">
        <v>130</v>
      </c>
      <c r="C18" s="9" t="s">
        <v>24</v>
      </c>
      <c r="D18" s="27">
        <v>8.125</v>
      </c>
      <c r="E18" s="56"/>
      <c r="F18" s="56"/>
    </row>
    <row r="19" spans="1:6" ht="15">
      <c r="A19" s="9">
        <v>15</v>
      </c>
      <c r="B19" s="9" t="s">
        <v>131</v>
      </c>
      <c r="C19" s="9" t="s">
        <v>24</v>
      </c>
      <c r="D19" s="27">
        <v>7.375</v>
      </c>
      <c r="E19" s="56"/>
      <c r="F19" s="56"/>
    </row>
    <row r="20" spans="1:6" ht="15">
      <c r="A20" s="9">
        <v>18</v>
      </c>
      <c r="B20" s="9" t="s">
        <v>132</v>
      </c>
      <c r="C20" s="9" t="s">
        <v>24</v>
      </c>
      <c r="D20" s="27">
        <v>8.125</v>
      </c>
      <c r="E20" s="56"/>
      <c r="F20" s="56"/>
    </row>
    <row r="21" spans="1:6" ht="15">
      <c r="A21" s="9">
        <v>22</v>
      </c>
      <c r="B21" s="9" t="s">
        <v>133</v>
      </c>
      <c r="C21" s="9" t="s">
        <v>24</v>
      </c>
      <c r="D21" s="27">
        <v>7.375</v>
      </c>
      <c r="E21" s="56"/>
      <c r="F21" s="56"/>
    </row>
    <row r="22" spans="1:6" ht="15">
      <c r="A22" s="9">
        <v>23</v>
      </c>
      <c r="B22" s="9" t="s">
        <v>134</v>
      </c>
      <c r="C22" s="9" t="s">
        <v>24</v>
      </c>
      <c r="D22" s="27">
        <v>8.125</v>
      </c>
      <c r="E22" s="56"/>
      <c r="F22" s="56"/>
    </row>
    <row r="23" spans="1:6" ht="15">
      <c r="A23" s="9">
        <v>25</v>
      </c>
      <c r="B23" s="9" t="s">
        <v>135</v>
      </c>
      <c r="C23" s="9" t="s">
        <v>24</v>
      </c>
      <c r="D23" s="27">
        <v>6.875</v>
      </c>
      <c r="E23" s="56"/>
      <c r="F23" s="56"/>
    </row>
    <row r="24" spans="1:6" ht="15">
      <c r="A24" s="9">
        <v>26</v>
      </c>
      <c r="B24" s="9" t="s">
        <v>136</v>
      </c>
      <c r="C24" s="9" t="s">
        <v>24</v>
      </c>
      <c r="D24" s="27">
        <v>8.125</v>
      </c>
      <c r="E24" s="56"/>
      <c r="F24" s="56"/>
    </row>
    <row r="25" spans="1:6" ht="15">
      <c r="A25" s="9">
        <v>28</v>
      </c>
      <c r="B25" s="9" t="s">
        <v>137</v>
      </c>
      <c r="C25" s="9" t="s">
        <v>24</v>
      </c>
      <c r="D25" s="27">
        <v>8.5</v>
      </c>
      <c r="E25" s="56"/>
      <c r="F25" s="56"/>
    </row>
    <row r="26" spans="1:6" ht="15">
      <c r="A26" s="9">
        <v>1</v>
      </c>
      <c r="B26" s="24" t="s">
        <v>138</v>
      </c>
      <c r="C26" s="9" t="s">
        <v>27</v>
      </c>
      <c r="D26" s="27">
        <v>7.75</v>
      </c>
      <c r="E26" s="56">
        <f>AVERAGE(D26:D33)</f>
        <v>7.765625</v>
      </c>
      <c r="F26" s="56" t="s">
        <v>153</v>
      </c>
    </row>
    <row r="27" spans="1:6" ht="15">
      <c r="A27" s="9">
        <v>6</v>
      </c>
      <c r="B27" s="24" t="s">
        <v>139</v>
      </c>
      <c r="C27" s="9" t="s">
        <v>27</v>
      </c>
      <c r="D27" s="27">
        <v>8.125</v>
      </c>
      <c r="E27" s="56"/>
      <c r="F27" s="56"/>
    </row>
    <row r="28" spans="1:6" ht="15">
      <c r="A28" s="9">
        <v>7</v>
      </c>
      <c r="B28" s="24" t="s">
        <v>140</v>
      </c>
      <c r="C28" s="9" t="s">
        <v>27</v>
      </c>
      <c r="D28" s="27">
        <v>8.125</v>
      </c>
      <c r="E28" s="56"/>
      <c r="F28" s="56"/>
    </row>
    <row r="29" spans="1:6" ht="15">
      <c r="A29" s="9">
        <v>16</v>
      </c>
      <c r="B29" s="9" t="s">
        <v>141</v>
      </c>
      <c r="C29" s="9" t="s">
        <v>27</v>
      </c>
      <c r="D29" s="27">
        <v>8.125</v>
      </c>
      <c r="E29" s="56"/>
      <c r="F29" s="56"/>
    </row>
    <row r="30" spans="1:6" ht="15">
      <c r="A30" s="9">
        <v>17</v>
      </c>
      <c r="B30" s="9" t="s">
        <v>142</v>
      </c>
      <c r="C30" s="9" t="s">
        <v>27</v>
      </c>
      <c r="D30" s="27">
        <v>7.625</v>
      </c>
      <c r="E30" s="56"/>
      <c r="F30" s="56"/>
    </row>
    <row r="31" spans="1:6" ht="15">
      <c r="A31" s="9">
        <v>20</v>
      </c>
      <c r="B31" s="9" t="s">
        <v>143</v>
      </c>
      <c r="C31" s="9" t="s">
        <v>27</v>
      </c>
      <c r="D31" s="27">
        <v>7.375</v>
      </c>
      <c r="E31" s="56"/>
      <c r="F31" s="56"/>
    </row>
    <row r="32" spans="1:6" ht="15">
      <c r="A32" s="9">
        <v>24</v>
      </c>
      <c r="B32" s="9" t="s">
        <v>144</v>
      </c>
      <c r="C32" s="9" t="s">
        <v>27</v>
      </c>
      <c r="D32" s="27">
        <v>8.125</v>
      </c>
      <c r="E32" s="56"/>
      <c r="F32" s="56"/>
    </row>
    <row r="33" spans="1:6" ht="15">
      <c r="A33" s="9">
        <v>31</v>
      </c>
      <c r="B33" s="9" t="s">
        <v>145</v>
      </c>
      <c r="C33" s="9" t="s">
        <v>27</v>
      </c>
      <c r="D33" s="27">
        <v>6.875</v>
      </c>
      <c r="E33" s="56"/>
      <c r="F33" s="56"/>
    </row>
  </sheetData>
  <autoFilter ref="A1:D1" xr:uid="{6981F627-9C8A-440F-9117-C65AEBF04DD7}">
    <sortState xmlns:xlrd2="http://schemas.microsoft.com/office/spreadsheetml/2017/richdata2" ref="A2:D33">
      <sortCondition ref="C1"/>
    </sortState>
  </autoFilter>
  <mergeCells count="6">
    <mergeCell ref="E2:E12"/>
    <mergeCell ref="F2:F12"/>
    <mergeCell ref="E13:E25"/>
    <mergeCell ref="F13:F25"/>
    <mergeCell ref="E26:E33"/>
    <mergeCell ref="F26:F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461B-C32D-4077-A50C-360A48C9AC04}">
  <dimension ref="A2:R15"/>
  <sheetViews>
    <sheetView tabSelected="1" workbookViewId="0">
      <selection activeCell="I7" sqref="I7"/>
    </sheetView>
  </sheetViews>
  <sheetFormatPr defaultRowHeight="15"/>
  <cols>
    <col min="1" max="1" width="4" bestFit="1" customWidth="1"/>
    <col min="2" max="2" width="27.140625" bestFit="1" customWidth="1"/>
    <col min="3" max="11" width="12" customWidth="1"/>
  </cols>
  <sheetData>
    <row r="2" spans="1:18">
      <c r="A2" s="62" t="s">
        <v>154</v>
      </c>
      <c r="B2" s="62" t="s">
        <v>155</v>
      </c>
      <c r="C2" s="63" t="s">
        <v>25</v>
      </c>
      <c r="D2" s="63"/>
      <c r="E2" s="63"/>
      <c r="F2" s="63" t="s">
        <v>24</v>
      </c>
      <c r="G2" s="63"/>
      <c r="H2" s="63"/>
      <c r="I2" s="57" t="s">
        <v>27</v>
      </c>
      <c r="J2" s="58"/>
      <c r="K2" s="59"/>
    </row>
    <row r="3" spans="1:18">
      <c r="A3" s="62"/>
      <c r="B3" s="62"/>
      <c r="C3" s="35" t="s">
        <v>156</v>
      </c>
      <c r="D3" s="35" t="s">
        <v>157</v>
      </c>
      <c r="E3" s="35" t="s">
        <v>158</v>
      </c>
      <c r="F3" s="35" t="s">
        <v>156</v>
      </c>
      <c r="G3" s="35" t="s">
        <v>157</v>
      </c>
      <c r="H3" s="35" t="s">
        <v>158</v>
      </c>
      <c r="I3" s="35" t="s">
        <v>156</v>
      </c>
      <c r="J3" s="35" t="s">
        <v>157</v>
      </c>
      <c r="K3" s="35" t="s">
        <v>158</v>
      </c>
    </row>
    <row r="4" spans="1:18">
      <c r="A4" s="36">
        <v>1</v>
      </c>
      <c r="B4" s="37" t="s">
        <v>159</v>
      </c>
      <c r="C4" s="38">
        <f>IFERROR(COUNTIFS(STR!$V:$V, Overview!C$2, STR!$X:$X, "TRUE")/COUNTIFS(STR!$V:$V, Overview!C2), 0)</f>
        <v>0.125</v>
      </c>
      <c r="D4" s="39">
        <v>0.15</v>
      </c>
      <c r="E4" s="38">
        <f>D4*C4</f>
        <v>1.8749999999999999E-2</v>
      </c>
      <c r="F4" s="38">
        <f>IFERROR(COUNTIFS(STR!$V:$V, Overview!F$2, STR!$X:$X, "TRUE")/COUNTIFS(STR!$V:$V, Overview!F2), 0)</f>
        <v>1</v>
      </c>
      <c r="G4" s="39">
        <v>0.15</v>
      </c>
      <c r="H4" s="40">
        <f>G4*F4</f>
        <v>0.15</v>
      </c>
      <c r="I4" s="38">
        <f>IFERROR(COUNTIFS(STR!$V:$V, Overview!I$2, STR!$X:$X, "TRUE")/COUNTIFS(STR!$V:$V, Overview!I2), 0)</f>
        <v>0.875</v>
      </c>
      <c r="J4" s="39">
        <v>0.15</v>
      </c>
      <c r="K4" s="40">
        <f>J4*I4</f>
        <v>0.13125000000000001</v>
      </c>
    </row>
    <row r="5" spans="1:18">
      <c r="A5" s="36">
        <v>2</v>
      </c>
      <c r="B5" s="37" t="s">
        <v>160</v>
      </c>
      <c r="C5" s="38">
        <f>1-AVERAGEIF('Bad Data'!$C:$C, Overview!C$2, 'Bad Data'!$D:$D)</f>
        <v>0.9937809090909091</v>
      </c>
      <c r="D5" s="39">
        <v>0.1</v>
      </c>
      <c r="E5" s="38">
        <f t="shared" ref="E5:E14" si="0">D5*C5</f>
        <v>9.9378090909090916E-2</v>
      </c>
      <c r="F5" s="38">
        <f>1-AVERAGEIF('Bad Data'!$C:$C, Overview!F$2, 'Bad Data'!$D:$D)</f>
        <v>0.99380999999999997</v>
      </c>
      <c r="G5" s="39">
        <v>0.1</v>
      </c>
      <c r="H5" s="40">
        <f t="shared" ref="H5:H14" si="1">G5*F5</f>
        <v>9.9380999999999997E-2</v>
      </c>
      <c r="I5" s="38">
        <f>1-AVERAGEIF('Bad Data'!$C:$C, Overview!I$2, 'Bad Data'!$D:$D)</f>
        <v>0.99343749999999997</v>
      </c>
      <c r="J5" s="39">
        <v>0.1</v>
      </c>
      <c r="K5" s="40">
        <f t="shared" ref="K5:K14" si="2">J5*I5</f>
        <v>9.9343750000000008E-2</v>
      </c>
    </row>
    <row r="6" spans="1:18">
      <c r="A6" s="36">
        <v>3</v>
      </c>
      <c r="B6" s="37" t="s">
        <v>161</v>
      </c>
      <c r="C6" s="38">
        <f>AVERAGEIF('Pengkinian Data'!$C:$C, Overview!C$2, 'Pengkinian Data'!$D:$D)</f>
        <v>0.82072727272727264</v>
      </c>
      <c r="D6" s="39">
        <v>0.1</v>
      </c>
      <c r="E6" s="38">
        <f t="shared" si="0"/>
        <v>8.2072727272727269E-2</v>
      </c>
      <c r="F6" s="38">
        <f>AVERAGEIF('Pengkinian Data'!$C:$C, Overview!F$2, 'Pengkinian Data'!$D:$D)</f>
        <v>0.84215384615384636</v>
      </c>
      <c r="G6" s="39">
        <v>0.1</v>
      </c>
      <c r="H6" s="40">
        <f t="shared" si="1"/>
        <v>8.4215384615384636E-2</v>
      </c>
      <c r="I6" s="38">
        <f>AVERAGEIF('Pengkinian Data'!$C:$C, Overview!I$2, 'Pengkinian Data'!$D:$D)</f>
        <v>0.84028749999999997</v>
      </c>
      <c r="J6" s="39">
        <v>0.1</v>
      </c>
      <c r="K6" s="40">
        <f t="shared" si="2"/>
        <v>8.4028749999999999E-2</v>
      </c>
      <c r="R6" t="s">
        <v>26</v>
      </c>
    </row>
    <row r="7" spans="1:18">
      <c r="A7" s="36">
        <v>4</v>
      </c>
      <c r="B7" s="37" t="s">
        <v>162</v>
      </c>
      <c r="C7" s="38" cm="1">
        <f t="array" ref="C7">IFERROR(SUMPRODUCT(--('[3]Uji Petik'!$E$3:$E$73&lt;&gt;""), --('[3]Uji Petik'!$C$3:$C$73=C2)) / SUMPRODUCT(--('[3]Uji Petik'!$C$3:$C$73=C2)), 0)</f>
        <v>0</v>
      </c>
      <c r="D7" s="39">
        <v>0</v>
      </c>
      <c r="E7" s="38">
        <f t="shared" si="0"/>
        <v>0</v>
      </c>
      <c r="F7" s="38" cm="1">
        <f t="array" ref="F7">IFERROR(SUMPRODUCT(--('[3]Uji Petik'!$E$3:$E$73&lt;&gt;""), --('[3]Uji Petik'!$C$3:$C$73=F2)) / SUMPRODUCT(--('[3]Uji Petik'!$C$3:$C$73=F2)), 0)</f>
        <v>0</v>
      </c>
      <c r="G7" s="39">
        <v>0</v>
      </c>
      <c r="H7" s="40">
        <f t="shared" si="1"/>
        <v>0</v>
      </c>
      <c r="I7" s="38" cm="1">
        <f t="array" ref="I7">IFERROR(SUMPRODUCT(--('[3]Uji Petik'!$E$3:$E$73&lt;&gt;""), --('[3]Uji Petik'!$C$3:$C$73=I2)) / SUMPRODUCT(--('[3]Uji Petik'!$C$3:$C$73=I2)), 0)</f>
        <v>0</v>
      </c>
      <c r="J7" s="39">
        <v>0</v>
      </c>
      <c r="K7" s="40">
        <f t="shared" si="2"/>
        <v>0</v>
      </c>
    </row>
    <row r="8" spans="1:18">
      <c r="A8" s="36">
        <v>5</v>
      </c>
      <c r="B8" s="37" t="s">
        <v>163</v>
      </c>
      <c r="C8" s="41" cm="1">
        <f t="array" ref="C8">IFERROR(AVERAGE(IF([1]Sosialisasi!$C$1:$C$10000=C2, [1]Sosialisasi!$D$1:$D$10000)), 0)</f>
        <v>0.27272727272727271</v>
      </c>
      <c r="D8" s="39">
        <v>0.15</v>
      </c>
      <c r="E8" s="38">
        <f t="shared" si="0"/>
        <v>4.0909090909090902E-2</v>
      </c>
      <c r="F8" s="41" cm="1">
        <f t="array" ref="F8">IFERROR(AVERAGE(IF([1]Sosialisasi!$C$1:$C$10000=F2, [1]Sosialisasi!$D$1:$D$10000)), 0)</f>
        <v>0.23076923076923078</v>
      </c>
      <c r="G8" s="39">
        <v>0.15</v>
      </c>
      <c r="H8" s="40">
        <f t="shared" si="1"/>
        <v>3.4615384615384617E-2</v>
      </c>
      <c r="I8" s="41" cm="1">
        <f t="array" ref="I8">IFERROR(AVERAGE(IF([1]Sosialisasi!$C$1:$C$10000=I2, [1]Sosialisasi!$D$1:$D$10000)), 0)</f>
        <v>0.25</v>
      </c>
      <c r="J8" s="39">
        <v>0.15</v>
      </c>
      <c r="K8" s="40">
        <f t="shared" si="2"/>
        <v>3.7499999999999999E-2</v>
      </c>
    </row>
    <row r="9" spans="1:18">
      <c r="A9" s="36">
        <v>6</v>
      </c>
      <c r="B9" s="37" t="s">
        <v>164</v>
      </c>
      <c r="C9" s="38">
        <f>AVERAGEIF('EDD PEP PPATK'!$C:$C, Overview!C$2, 'EDD PEP PPATK'!$D:$D)</f>
        <v>1</v>
      </c>
      <c r="D9" s="39">
        <v>0.1</v>
      </c>
      <c r="E9" s="38">
        <f t="shared" si="0"/>
        <v>0.1</v>
      </c>
      <c r="F9" s="38">
        <f>AVERAGEIF('EDD PEP PPATK'!$C:$C, Overview!F$2, 'EDD PEP PPATK'!$D:$D)</f>
        <v>0.99540475890721392</v>
      </c>
      <c r="G9" s="39">
        <v>0.1</v>
      </c>
      <c r="H9" s="40">
        <f t="shared" si="1"/>
        <v>9.9540475890721403E-2</v>
      </c>
      <c r="I9" s="38">
        <f>AVERAGEIF('EDD PEP PPATK'!$C:$C, Overview!I$2, 'EDD PEP PPATK'!$D:$D)</f>
        <v>0.99934895833333326</v>
      </c>
      <c r="J9" s="39">
        <v>0.1</v>
      </c>
      <c r="K9" s="40">
        <f t="shared" si="2"/>
        <v>9.9934895833333329E-2</v>
      </c>
    </row>
    <row r="10" spans="1:18">
      <c r="A10" s="36">
        <v>7</v>
      </c>
      <c r="B10" s="37" t="s">
        <v>165</v>
      </c>
      <c r="C10" s="38" cm="1">
        <f t="array" ref="C10">IF(IFERROR(AVERAGE(IF('[1]Sheet2 (2)'!$C$1:$C$10000=C$2, '[1]Sheet2 (2)'!$D$1:$D$10000)), 0)&gt;0.9, 1, IFERROR(AVERAGE(IF('[1]Sheet2 (2)'!$C$1:$C$10000=C$2, '[1]Sheet2 (2)'!$D$1:$D$10000)), 0))</f>
        <v>0.83950261811221727</v>
      </c>
      <c r="D10" s="39">
        <v>0.05</v>
      </c>
      <c r="E10" s="38">
        <f t="shared" si="0"/>
        <v>4.1975130905610863E-2</v>
      </c>
      <c r="F10" s="38" cm="1">
        <f t="array" ref="F10">IF(IFERROR(AVERAGE(IF('[1]Sheet2 (2)'!$C$1:$C$10000=F$2, '[1]Sheet2 (2)'!$D$1:$D$10000)), 0)&gt;0.9, 1, IFERROR(AVERAGE(IF('[1]Sheet2 (2)'!$C$1:$C$10000=F$2, '[1]Sheet2 (2)'!$D$1:$D$10000)), 0))</f>
        <v>0.8366468142550284</v>
      </c>
      <c r="G10" s="39">
        <v>0.05</v>
      </c>
      <c r="H10" s="40">
        <f t="shared" si="1"/>
        <v>4.1832340712751423E-2</v>
      </c>
      <c r="I10" s="38" cm="1">
        <f t="array" ref="I10">IF(IFERROR(AVERAGE(IF('[1]Sheet2 (2)'!$C$1:$C$10000=I$2, '[1]Sheet2 (2)'!$D$1:$D$10000)), 0)&gt;0.9, 1, IFERROR(AVERAGE(IF('[1]Sheet2 (2)'!$C$1:$C$10000=I$2, '[1]Sheet2 (2)'!$D$1:$D$10000)), 0))</f>
        <v>1</v>
      </c>
      <c r="J10" s="39">
        <v>0.05</v>
      </c>
      <c r="K10" s="40">
        <f t="shared" si="2"/>
        <v>0.05</v>
      </c>
    </row>
    <row r="11" spans="1:18">
      <c r="A11" s="36">
        <v>8</v>
      </c>
      <c r="B11" s="37" t="s">
        <v>166</v>
      </c>
      <c r="C11" s="38" cm="1">
        <f t="array" ref="C11">IF(IFERROR(AVERAGE(IF('[1]Sheet2 (3)'!$C$1:$C$10000=C2, '[1]Sheet2 (3)'!$D$1:$D$10000)), 0)&gt;90, 1, IFERROR(AVERAGE(IF('[1]Sheet2 (3)'!$C$1:$C$10000=C2, '[1]Sheet2 (3)'!$D$1:$D$10000)), 0)/90)</f>
        <v>1</v>
      </c>
      <c r="D11" s="39">
        <v>0.05</v>
      </c>
      <c r="E11" s="38">
        <f t="shared" si="0"/>
        <v>0.05</v>
      </c>
      <c r="F11" s="38" cm="1">
        <f t="array" ref="F11">IF(IFERROR(AVERAGE(IF('[1]Sheet2 (3)'!$C$1:$C$10000=F2, '[1]Sheet2 (3)'!$D$1:$D$10000)), 0)&gt;90, 1, IFERROR(AVERAGE(IF('[1]Sheet2 (3)'!$C$1:$C$10000=F2, '[1]Sheet2 (3)'!$D$1:$D$10000)), 0)/90)</f>
        <v>1</v>
      </c>
      <c r="G11" s="39">
        <v>0.05</v>
      </c>
      <c r="H11" s="40">
        <f t="shared" si="1"/>
        <v>0.05</v>
      </c>
      <c r="I11" s="38" cm="1">
        <f t="array" ref="I11">IF(IFERROR(AVERAGE(IF('[1]Sheet2 (3)'!$C$1:$C$10000=I2, '[1]Sheet2 (3)'!$D$1:$D$10000)), 0)&gt;90, 1, IFERROR(AVERAGE(IF('[1]Sheet2 (3)'!$C$1:$C$10000=I2, '[1]Sheet2 (3)'!$D$1:$D$10000)), 0)/90)</f>
        <v>1</v>
      </c>
      <c r="J11" s="39">
        <v>0.05</v>
      </c>
      <c r="K11" s="40">
        <f t="shared" si="2"/>
        <v>0.05</v>
      </c>
    </row>
    <row r="12" spans="1:18">
      <c r="A12" s="36">
        <v>9</v>
      </c>
      <c r="B12" s="37" t="s">
        <v>167</v>
      </c>
      <c r="C12" s="38">
        <f>IF(AVERAGEIF('Nilai Maturitas'!$C:$C, Overview!C2, 'Nilai Maturitas'!$D:$D) &gt; 8, 110%, AVERAGEIF('Nilai Maturitas'!$C:$C, Overview!C2, 'Nilai Maturitas'!$D:$D)/8*100%)</f>
        <v>1.1000000000000001</v>
      </c>
      <c r="D12" s="39">
        <v>0.1</v>
      </c>
      <c r="E12" s="38">
        <f t="shared" si="0"/>
        <v>0.11000000000000001</v>
      </c>
      <c r="F12" s="38">
        <f>IF(AVERAGEIF('Nilai Maturitas'!$C:$C, Overview!F2, 'Nilai Maturitas'!$D:$D) &gt; 8, 110%, AVERAGEIF('Nilai Maturitas'!$C:$C, Overview!F2, 'Nilai Maturitas'!$D:$D)/8*100%)</f>
        <v>1.1000000000000001</v>
      </c>
      <c r="G12" s="39">
        <v>0.1</v>
      </c>
      <c r="H12" s="40">
        <f t="shared" si="1"/>
        <v>0.11000000000000001</v>
      </c>
      <c r="I12" s="38">
        <f>IF(AVERAGEIF('Nilai Maturitas'!$C:$C, Overview!I2, 'Nilai Maturitas'!$D:$D) &gt; 8, 110%, AVERAGEIF('Nilai Maturitas'!$C:$C, Overview!I2, 'Nilai Maturitas'!$D:$D)/8*100%)</f>
        <v>1.1000000000000001</v>
      </c>
      <c r="J12" s="39">
        <v>0.1</v>
      </c>
      <c r="K12" s="40">
        <f t="shared" si="2"/>
        <v>0.11000000000000001</v>
      </c>
    </row>
    <row r="13" spans="1:18">
      <c r="A13" s="36">
        <v>10</v>
      </c>
      <c r="B13" s="37" t="s">
        <v>168</v>
      </c>
      <c r="C13" s="38">
        <f>IF(AVERAGEIF('Maturitas Dashboard'!$C:$C, Overview!C$2, 'Maturitas Dashboard'!$D:$D) &gt; 8, 110%, AVERAGEIF('Maturitas Dashboard'!$C:$C, Overview!C$2, 'Maturitas Dashboard'!$D:$D)/8*100%)</f>
        <v>0.95880681818181823</v>
      </c>
      <c r="D13" s="39">
        <v>0.1</v>
      </c>
      <c r="E13" s="38">
        <f t="shared" si="0"/>
        <v>9.5880681818181823E-2</v>
      </c>
      <c r="F13" s="38">
        <f>IF(AVERAGEIF('Maturitas Dashboard'!$C:$C, Overview!F$2, 'Maturitas Dashboard'!$D:$D) &gt; 8, 110%, AVERAGEIF('Maturitas Dashboard'!$C:$C, Overview!F$2, 'Maturitas Dashboard'!$D:$D)/8*100%)</f>
        <v>0.95673076923076927</v>
      </c>
      <c r="G13" s="39">
        <v>0.1</v>
      </c>
      <c r="H13" s="40">
        <f t="shared" si="1"/>
        <v>9.567307692307693E-2</v>
      </c>
      <c r="I13" s="38">
        <f>IF(AVERAGEIF('Maturitas Dashboard'!$C:$C, Overview!I$2, 'Maturitas Dashboard'!$D:$D) &gt; 8, 110%, AVERAGEIF('Maturitas Dashboard'!$C:$C, Overview!I$2, 'Maturitas Dashboard'!$D:$D)/8*100%)</f>
        <v>0.970703125</v>
      </c>
      <c r="J13" s="39">
        <v>0.1</v>
      </c>
      <c r="K13" s="40">
        <f t="shared" si="2"/>
        <v>9.7070312500000006E-2</v>
      </c>
    </row>
    <row r="14" spans="1:18">
      <c r="A14" s="42">
        <v>11</v>
      </c>
      <c r="B14" s="43" t="s">
        <v>169</v>
      </c>
      <c r="C14" s="44">
        <f>IF(AVERAGEIF('Penilaian Resiko'!$C:$C, Overview!C$2, 'Penilaian Resiko'!$D:$D) &lt; 5.8, 110%, IF(AVERAGEIF('Penilaian Resiko'!$C:$C, Overview!C$2, 'Penilaian Resiko'!$D:$D) &lt;7.4, 3/4*100%, 3/5*100%))</f>
        <v>1.1000000000000001</v>
      </c>
      <c r="D14" s="45">
        <v>0.1</v>
      </c>
      <c r="E14" s="44">
        <f t="shared" si="0"/>
        <v>0.11000000000000001</v>
      </c>
      <c r="F14" s="44">
        <f>IF(AVERAGEIF('Penilaian Resiko'!$C:$C, Overview!F$2, 'Penilaian Resiko'!$D:$D) &lt; 5.8, 110%, IF(AVERAGEIF('Penilaian Resiko'!$C:$C, Overview!F$2, 'Penilaian Resiko'!$D:$D) &lt;7.4, 3/4*100%, 3/5*100%))</f>
        <v>1.1000000000000001</v>
      </c>
      <c r="G14" s="45">
        <v>0.1</v>
      </c>
      <c r="H14" s="46">
        <f t="shared" si="1"/>
        <v>0.11000000000000001</v>
      </c>
      <c r="I14" s="44">
        <f>IF(AVERAGEIF('Penilaian Resiko'!$C:$C, Overview!I$2, 'Penilaian Resiko'!$D:$D) &lt; 5.8, 110%, IF(AVERAGEIF('Penilaian Resiko'!$C:$C, Overview!I$2, 'Penilaian Resiko'!$D:$D) &lt;7.4, 3/4*100%, 3/5*100%))</f>
        <v>1.1000000000000001</v>
      </c>
      <c r="J14" s="45">
        <v>0.1</v>
      </c>
      <c r="K14" s="46">
        <f t="shared" si="2"/>
        <v>0.11000000000000001</v>
      </c>
    </row>
    <row r="15" spans="1:18">
      <c r="A15" s="47"/>
      <c r="B15" s="47"/>
      <c r="C15" s="60" t="s">
        <v>170</v>
      </c>
      <c r="D15" s="61"/>
      <c r="E15" s="48">
        <f>SUM(E4:E14)</f>
        <v>0.74896572181470178</v>
      </c>
      <c r="F15" s="60" t="s">
        <v>170</v>
      </c>
      <c r="G15" s="61"/>
      <c r="H15" s="48">
        <f>SUM(H4:H14)</f>
        <v>0.87525766275731898</v>
      </c>
      <c r="I15" s="60" t="s">
        <v>170</v>
      </c>
      <c r="J15" s="61"/>
      <c r="K15" s="48">
        <f>SUM(K4:K14)</f>
        <v>0.8691277083333333</v>
      </c>
    </row>
  </sheetData>
  <mergeCells count="8">
    <mergeCell ref="I2:K2"/>
    <mergeCell ref="I15:J15"/>
    <mergeCell ref="C15:D15"/>
    <mergeCell ref="F15:G15"/>
    <mergeCell ref="A2:A3"/>
    <mergeCell ref="B2:B3"/>
    <mergeCell ref="C2:E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CA4A9-F8F6-4E6C-8B87-BAB31A543725}">
  <dimension ref="A2:O16"/>
  <sheetViews>
    <sheetView workbookViewId="0">
      <selection activeCell="I8" sqref="I8"/>
    </sheetView>
  </sheetViews>
  <sheetFormatPr defaultRowHeight="15"/>
  <cols>
    <col min="1" max="1" width="4" bestFit="1" customWidth="1"/>
    <col min="2" max="2" width="27.140625" bestFit="1" customWidth="1"/>
    <col min="3" max="11" width="12" customWidth="1"/>
  </cols>
  <sheetData>
    <row r="2" spans="1:15">
      <c r="A2" s="62" t="s">
        <v>154</v>
      </c>
      <c r="B2" s="62" t="s">
        <v>155</v>
      </c>
      <c r="C2" s="63" t="s">
        <v>25</v>
      </c>
      <c r="D2" s="63"/>
      <c r="E2" s="63"/>
      <c r="F2" s="63" t="s">
        <v>24</v>
      </c>
      <c r="G2" s="63"/>
      <c r="H2" s="63"/>
      <c r="I2" s="57" t="s">
        <v>27</v>
      </c>
      <c r="J2" s="58"/>
      <c r="K2" s="59"/>
    </row>
    <row r="3" spans="1:15">
      <c r="A3" s="62"/>
      <c r="B3" s="62"/>
      <c r="C3" s="35" t="s">
        <v>156</v>
      </c>
      <c r="D3" s="35" t="s">
        <v>157</v>
      </c>
      <c r="E3" s="35" t="s">
        <v>158</v>
      </c>
      <c r="F3" s="35" t="s">
        <v>156</v>
      </c>
      <c r="G3" s="35" t="s">
        <v>157</v>
      </c>
      <c r="H3" s="35" t="s">
        <v>158</v>
      </c>
      <c r="I3" s="35" t="s">
        <v>156</v>
      </c>
      <c r="J3" s="35" t="s">
        <v>157</v>
      </c>
      <c r="K3" s="35" t="s">
        <v>158</v>
      </c>
    </row>
    <row r="4" spans="1:15">
      <c r="A4" s="36">
        <v>1</v>
      </c>
      <c r="B4" s="37" t="s">
        <v>159</v>
      </c>
      <c r="C4" s="38">
        <f>IFERROR(COUNTIFS(STR!$V:$V, 'Overview KPI'!C$2, STR!$X:$X, "TRUE")/COUNTIFS(STR!$V:$V, 'Overview KPI'!C2), 0)</f>
        <v>0.125</v>
      </c>
      <c r="D4" s="49">
        <v>0.05</v>
      </c>
      <c r="E4" s="38">
        <f>D4*C4</f>
        <v>6.2500000000000003E-3</v>
      </c>
      <c r="F4" s="38">
        <f>IFERROR(COUNTIFS(STR!$V:$V, 'Overview KPI'!F$2, STR!$X:$X, "TRUE")/COUNTIFS(STR!$V:$V, 'Overview KPI'!F2), 0)</f>
        <v>1</v>
      </c>
      <c r="G4" s="49">
        <v>0.05</v>
      </c>
      <c r="H4" s="40">
        <f>G4*F4</f>
        <v>0.05</v>
      </c>
      <c r="I4" s="38">
        <f>IFERROR(COUNTIFS(STR!$V:$V, 'Overview KPI'!I$2, STR!$X:$X, "TRUE")/COUNTIFS(STR!$V:$V, 'Overview KPI'!I2), 0)</f>
        <v>0.875</v>
      </c>
      <c r="J4" s="49">
        <v>0.05</v>
      </c>
      <c r="K4" s="40">
        <f>J4*I4</f>
        <v>4.3750000000000004E-2</v>
      </c>
    </row>
    <row r="5" spans="1:15">
      <c r="A5" s="36">
        <v>2</v>
      </c>
      <c r="B5" s="37" t="s">
        <v>171</v>
      </c>
      <c r="C5" s="38">
        <f>IFERROR(AVERAGEIF(STR!$V:$V, 'Overview KPI'!C2, STR!$Y:$Y), 0)/4</f>
        <v>0.61383928571428581</v>
      </c>
      <c r="D5" s="49">
        <v>0.15</v>
      </c>
      <c r="E5" s="38">
        <f>D5*C5</f>
        <v>9.2075892857142863E-2</v>
      </c>
      <c r="F5" s="38">
        <f>IFERROR(AVERAGEIF(STR!$V:$V, 'Overview KPI'!F2, STR!$Y:$Y), 0)/4</f>
        <v>0.76718749999999991</v>
      </c>
      <c r="G5" s="49">
        <v>0.15</v>
      </c>
      <c r="H5" s="38">
        <f>G5*F5</f>
        <v>0.11507812499999998</v>
      </c>
      <c r="I5" s="38">
        <f>IFERROR(AVERAGEIF(STR!$V:$V, 'Overview KPI'!I2, STR!$Y:$Y), 0)/4</f>
        <v>0</v>
      </c>
      <c r="J5" s="49">
        <v>0.15</v>
      </c>
      <c r="K5" s="38">
        <f>J5*I5</f>
        <v>0</v>
      </c>
    </row>
    <row r="6" spans="1:15">
      <c r="A6" s="36">
        <v>3</v>
      </c>
      <c r="B6" s="37" t="s">
        <v>160</v>
      </c>
      <c r="C6" s="38">
        <f>1-AVERAGEIF('Bad Data'!$C:$C, 'Overview KPI'!C$2, 'Bad Data'!$D:$D)</f>
        <v>0.9937809090909091</v>
      </c>
      <c r="D6" s="49">
        <v>0.1</v>
      </c>
      <c r="E6" s="38">
        <f t="shared" ref="E6:E15" si="0">D6*C6</f>
        <v>9.9378090909090916E-2</v>
      </c>
      <c r="F6" s="38">
        <f>1-AVERAGEIF('Bad Data'!$C:$C, 'Overview KPI'!F$2, 'Bad Data'!$D:$D)</f>
        <v>0.99380999999999997</v>
      </c>
      <c r="G6" s="49">
        <v>0.1</v>
      </c>
      <c r="H6" s="40">
        <f t="shared" ref="H6:H15" si="1">G6*F6</f>
        <v>9.9380999999999997E-2</v>
      </c>
      <c r="I6" s="38">
        <f>1-AVERAGEIF('Bad Data'!$C:$C, 'Overview KPI'!I$2, 'Bad Data'!$D:$D)</f>
        <v>0.99343749999999997</v>
      </c>
      <c r="J6" s="49">
        <v>0.1</v>
      </c>
      <c r="K6" s="40">
        <f t="shared" ref="K6:K15" si="2">J6*I6</f>
        <v>9.9343750000000008E-2</v>
      </c>
    </row>
    <row r="7" spans="1:15">
      <c r="A7" s="36">
        <v>4</v>
      </c>
      <c r="B7" s="37" t="s">
        <v>161</v>
      </c>
      <c r="C7" s="38">
        <f>AVERAGEIF('Pengkinian Data'!$C:$C, 'Overview KPI'!C$2, 'Pengkinian Data'!$D:$D)</f>
        <v>0.82072727272727264</v>
      </c>
      <c r="D7" s="49">
        <v>0.1</v>
      </c>
      <c r="E7" s="38">
        <f t="shared" si="0"/>
        <v>8.2072727272727269E-2</v>
      </c>
      <c r="F7" s="38">
        <f>AVERAGEIF('Pengkinian Data'!$C:$C, 'Overview KPI'!F$2, 'Pengkinian Data'!$D:$D)</f>
        <v>0.84215384615384636</v>
      </c>
      <c r="G7" s="49">
        <v>0.1</v>
      </c>
      <c r="H7" s="40">
        <f t="shared" si="1"/>
        <v>8.4215384615384636E-2</v>
      </c>
      <c r="I7" s="38">
        <f>AVERAGEIF('Pengkinian Data'!$C:$C, 'Overview KPI'!I$2, 'Pengkinian Data'!$D:$D)</f>
        <v>0.84028749999999997</v>
      </c>
      <c r="J7" s="49">
        <v>0.1</v>
      </c>
      <c r="K7" s="40">
        <f t="shared" si="2"/>
        <v>8.4028749999999999E-2</v>
      </c>
      <c r="O7" t="s">
        <v>26</v>
      </c>
    </row>
    <row r="8" spans="1:15">
      <c r="A8" s="36">
        <v>5</v>
      </c>
      <c r="B8" s="37" t="s">
        <v>162</v>
      </c>
      <c r="C8" s="38" cm="1">
        <f t="array" ref="C8">IFERROR(SUMPRODUCT(--('[3]Uji Petik'!$E$3:$E$73&lt;&gt;""), --('[3]Uji Petik'!$C$3:$C$73=C3)) / SUMPRODUCT(--('[3]Uji Petik'!$C$3:$C$73=C3)), 0)</f>
        <v>0</v>
      </c>
      <c r="D8" s="49">
        <v>7.4999999999999997E-2</v>
      </c>
      <c r="E8" s="38">
        <f t="shared" si="0"/>
        <v>0</v>
      </c>
      <c r="F8" s="38" cm="1">
        <f t="array" ref="F8">IFERROR(SUMPRODUCT(--('[3]Uji Petik'!$E$3:$E$73&lt;&gt;""), --('[3]Uji Petik'!$C$3:$C$73=F3)) / SUMPRODUCT(--('[3]Uji Petik'!$C$3:$C$73=F3)), 0)</f>
        <v>0</v>
      </c>
      <c r="G8" s="49">
        <v>7.4999999999999997E-2</v>
      </c>
      <c r="H8" s="40">
        <f t="shared" si="1"/>
        <v>0</v>
      </c>
      <c r="I8" s="38" cm="1">
        <f t="array" ref="I8">IFERROR(SUMPRODUCT(--('[3]Uji Petik'!$E$3:$E$73&lt;&gt;""), --('[3]Uji Petik'!$C$3:$C$73=I3)) / SUMPRODUCT(--('[3]Uji Petik'!$C$3:$C$73=I3)), 0)</f>
        <v>0</v>
      </c>
      <c r="J8" s="49">
        <v>7.4999999999999997E-2</v>
      </c>
      <c r="K8" s="40">
        <f t="shared" si="2"/>
        <v>0</v>
      </c>
    </row>
    <row r="9" spans="1:15">
      <c r="A9" s="36">
        <v>6</v>
      </c>
      <c r="B9" s="37" t="s">
        <v>163</v>
      </c>
      <c r="C9" s="41" cm="1">
        <f t="array" ref="C9">IFERROR(AVERAGE(IF([1]Sosialisasi!$C$1:$C$10000=C2, [1]Sosialisasi!$D$1:$D$10000)), 0)</f>
        <v>0.27272727272727271</v>
      </c>
      <c r="D9" s="49">
        <v>7.4999999999999997E-2</v>
      </c>
      <c r="E9" s="38">
        <f t="shared" si="0"/>
        <v>2.0454545454545451E-2</v>
      </c>
      <c r="F9" s="41" cm="1">
        <f t="array" ref="F9">IFERROR(AVERAGE(IF([1]Sosialisasi!$C$1:$C$10000=F2, [1]Sosialisasi!$D$1:$D$10000)), 0)</f>
        <v>0.23076923076923078</v>
      </c>
      <c r="G9" s="49">
        <v>7.4999999999999997E-2</v>
      </c>
      <c r="H9" s="40">
        <f t="shared" si="1"/>
        <v>1.7307692307692309E-2</v>
      </c>
      <c r="I9" s="41" cm="1">
        <f t="array" ref="I9">IFERROR(AVERAGE(IF([1]Sosialisasi!$C$1:$C$10000=I2, [1]Sosialisasi!$D$1:$D$10000)), 0)</f>
        <v>0.25</v>
      </c>
      <c r="J9" s="49">
        <v>7.4999999999999997E-2</v>
      </c>
      <c r="K9" s="40">
        <f t="shared" si="2"/>
        <v>1.8749999999999999E-2</v>
      </c>
    </row>
    <row r="10" spans="1:15">
      <c r="A10" s="36">
        <v>7</v>
      </c>
      <c r="B10" s="37" t="s">
        <v>164</v>
      </c>
      <c r="C10" s="38">
        <f>AVERAGEIF('EDD PEP PPATK'!$C:$C, 'Overview KPI'!C$2, 'EDD PEP PPATK'!$D:$D)</f>
        <v>1</v>
      </c>
      <c r="D10" s="49">
        <v>0.1</v>
      </c>
      <c r="E10" s="38">
        <f t="shared" si="0"/>
        <v>0.1</v>
      </c>
      <c r="F10" s="38">
        <f>AVERAGEIF('EDD PEP PPATK'!$C:$C, 'Overview KPI'!F$2, 'EDD PEP PPATK'!$D:$D)</f>
        <v>0.99540475890721392</v>
      </c>
      <c r="G10" s="49">
        <v>0.1</v>
      </c>
      <c r="H10" s="40">
        <f t="shared" si="1"/>
        <v>9.9540475890721403E-2</v>
      </c>
      <c r="I10" s="38">
        <f>AVERAGEIF('EDD PEP PPATK'!$C:$C, 'Overview KPI'!I$2, 'EDD PEP PPATK'!$D:$D)</f>
        <v>0.99934895833333326</v>
      </c>
      <c r="J10" s="49">
        <v>0.1</v>
      </c>
      <c r="K10" s="40">
        <f t="shared" si="2"/>
        <v>9.9934895833333329E-2</v>
      </c>
    </row>
    <row r="11" spans="1:15">
      <c r="A11" s="36">
        <v>8</v>
      </c>
      <c r="B11" s="37" t="s">
        <v>165</v>
      </c>
      <c r="C11" s="38" cm="1">
        <f t="array" ref="C11">IF(IFERROR(AVERAGE(IF('[1]Sheet2 (2)'!$C$1:$C$10000=C$2, '[1]Sheet2 (2)'!$D$1:$D$10000)), 0)&gt;0.9, 1, IFERROR(AVERAGE(IF('[1]Sheet2 (2)'!$C$1:$C$10000=C$2, '[1]Sheet2 (2)'!$D$1:$D$10000)), 0))</f>
        <v>0.83950261811221727</v>
      </c>
      <c r="D11" s="49">
        <v>2.5000000000000001E-2</v>
      </c>
      <c r="E11" s="38">
        <f t="shared" si="0"/>
        <v>2.0987565452805432E-2</v>
      </c>
      <c r="F11" s="38" cm="1">
        <f t="array" ref="F11">IF(IFERROR(AVERAGE(IF('[1]Sheet2 (2)'!$C$1:$C$10000=F$2, '[1]Sheet2 (2)'!$D$1:$D$10000)), 0)&gt;0.9, 1, IFERROR(AVERAGE(IF('[1]Sheet2 (2)'!$C$1:$C$10000=F$2, '[1]Sheet2 (2)'!$D$1:$D$10000)), 0))</f>
        <v>0.8366468142550284</v>
      </c>
      <c r="G11" s="49">
        <v>2.5000000000000001E-2</v>
      </c>
      <c r="H11" s="40">
        <f t="shared" si="1"/>
        <v>2.0916170356375711E-2</v>
      </c>
      <c r="I11" s="38" cm="1">
        <f t="array" ref="I11">IF(IFERROR(AVERAGE(IF('[1]Sheet2 (2)'!$C$1:$C$10000=I$2, '[1]Sheet2 (2)'!$D$1:$D$10000)), 0)&gt;0.9, 1, IFERROR(AVERAGE(IF('[1]Sheet2 (2)'!$C$1:$C$10000=I$2, '[1]Sheet2 (2)'!$D$1:$D$10000)), 0))</f>
        <v>1</v>
      </c>
      <c r="J11" s="49">
        <v>2.5000000000000001E-2</v>
      </c>
      <c r="K11" s="40">
        <f t="shared" si="2"/>
        <v>2.5000000000000001E-2</v>
      </c>
    </row>
    <row r="12" spans="1:15">
      <c r="A12" s="36">
        <v>9</v>
      </c>
      <c r="B12" s="37" t="s">
        <v>166</v>
      </c>
      <c r="C12" s="38" cm="1">
        <f t="array" ref="C12">IF(IFERROR(AVERAGE(IF('[1]Sheet2 (3)'!$C$1:$C$10000=C2, '[1]Sheet2 (3)'!$D$1:$D$10000)), 0)&gt;90, 1, IFERROR(AVERAGE(IF('[1]Sheet2 (3)'!$C$1:$C$10000=C2, '[1]Sheet2 (3)'!$D$1:$D$10000)), 0)/90)</f>
        <v>1</v>
      </c>
      <c r="D12" s="49">
        <v>2.5000000000000001E-2</v>
      </c>
      <c r="E12" s="38">
        <f t="shared" si="0"/>
        <v>2.5000000000000001E-2</v>
      </c>
      <c r="F12" s="38" cm="1">
        <f t="array" ref="F12">IF(IFERROR(AVERAGE(IF('[1]Sheet2 (3)'!$C$1:$C$10000=F2, '[1]Sheet2 (3)'!$D$1:$D$10000)), 0)&gt;90, 1, IFERROR(AVERAGE(IF('[1]Sheet2 (3)'!$C$1:$C$10000=F2, '[1]Sheet2 (3)'!$D$1:$D$10000)), 0)/90)</f>
        <v>1</v>
      </c>
      <c r="G12" s="49">
        <v>2.5000000000000001E-2</v>
      </c>
      <c r="H12" s="40">
        <f t="shared" si="1"/>
        <v>2.5000000000000001E-2</v>
      </c>
      <c r="I12" s="38" cm="1">
        <f t="array" ref="I12">IF(IFERROR(AVERAGE(IF('[1]Sheet2 (3)'!$C$1:$C$10000=I2, '[1]Sheet2 (3)'!$D$1:$D$10000)), 0)&gt;90, 1, IFERROR(AVERAGE(IF('[1]Sheet2 (3)'!$C$1:$C$10000=I2, '[1]Sheet2 (3)'!$D$1:$D$10000)), 0)/90)</f>
        <v>1</v>
      </c>
      <c r="J12" s="49">
        <v>2.5000000000000001E-2</v>
      </c>
      <c r="K12" s="40">
        <f t="shared" si="2"/>
        <v>2.5000000000000001E-2</v>
      </c>
    </row>
    <row r="13" spans="1:15">
      <c r="A13" s="36">
        <v>10</v>
      </c>
      <c r="B13" s="37" t="s">
        <v>167</v>
      </c>
      <c r="C13" s="38">
        <f>IF(AVERAGEIF('Nilai Maturitas'!$C:$C, 'Overview KPI'!C2, 'Nilai Maturitas'!$D:$D) &gt; 8, 110%, AVERAGEIF('Nilai Maturitas'!$C:$C, 'Overview KPI'!C2, 'Nilai Maturitas'!$D:$D)/8*100%)</f>
        <v>1.1000000000000001</v>
      </c>
      <c r="D13" s="49">
        <v>0.1</v>
      </c>
      <c r="E13" s="38">
        <f t="shared" si="0"/>
        <v>0.11000000000000001</v>
      </c>
      <c r="F13" s="38">
        <f>IF(AVERAGEIF('Nilai Maturitas'!$C:$C, 'Overview KPI'!F2, 'Nilai Maturitas'!$D:$D) &gt; 8, 110%, AVERAGEIF('Nilai Maturitas'!$C:$C, 'Overview KPI'!F2, 'Nilai Maturitas'!$D:$D)/8*100%)</f>
        <v>1.1000000000000001</v>
      </c>
      <c r="G13" s="49">
        <v>0.1</v>
      </c>
      <c r="H13" s="40">
        <f t="shared" si="1"/>
        <v>0.11000000000000001</v>
      </c>
      <c r="I13" s="38">
        <f>IF(AVERAGEIF('Nilai Maturitas'!$C:$C, 'Overview KPI'!I2, 'Nilai Maturitas'!$D:$D) &gt; 8, 110%, AVERAGEIF('Nilai Maturitas'!$C:$C, 'Overview KPI'!I2, 'Nilai Maturitas'!$D:$D)/8*100%)</f>
        <v>1.1000000000000001</v>
      </c>
      <c r="J13" s="49">
        <v>0.1</v>
      </c>
      <c r="K13" s="40">
        <f t="shared" si="2"/>
        <v>0.11000000000000001</v>
      </c>
    </row>
    <row r="14" spans="1:15">
      <c r="A14" s="36">
        <v>11</v>
      </c>
      <c r="B14" s="37" t="s">
        <v>168</v>
      </c>
      <c r="C14" s="38">
        <f>IF(AVERAGEIF('Maturitas Dashboard'!$C:$C, 'Overview KPI'!C$2, 'Maturitas Dashboard'!$D:$D) &gt; 8, 110%, AVERAGEIF('Maturitas Dashboard'!$C:$C, 'Overview KPI'!C$2, 'Maturitas Dashboard'!$D:$D)/8*100%)</f>
        <v>0.95880681818181823</v>
      </c>
      <c r="D14" s="49">
        <v>0.1</v>
      </c>
      <c r="E14" s="38">
        <f t="shared" si="0"/>
        <v>9.5880681818181823E-2</v>
      </c>
      <c r="F14" s="38">
        <f>IF(AVERAGEIF('Maturitas Dashboard'!$C:$C, 'Overview KPI'!F$2, 'Maturitas Dashboard'!$D:$D) &gt; 8, 110%, AVERAGEIF('Maturitas Dashboard'!$C:$C, 'Overview KPI'!F$2, 'Maturitas Dashboard'!$D:$D)/8*100%)</f>
        <v>0.95673076923076927</v>
      </c>
      <c r="G14" s="49">
        <v>0.1</v>
      </c>
      <c r="H14" s="40">
        <f t="shared" si="1"/>
        <v>9.567307692307693E-2</v>
      </c>
      <c r="I14" s="38">
        <f>IF(AVERAGEIF('Maturitas Dashboard'!$C:$C, 'Overview KPI'!I$2, 'Maturitas Dashboard'!$D:$D) &gt; 8, 110%, AVERAGEIF('Maturitas Dashboard'!$C:$C, 'Overview KPI'!I$2, 'Maturitas Dashboard'!$D:$D)/8*100%)</f>
        <v>0.970703125</v>
      </c>
      <c r="J14" s="49">
        <v>0.1</v>
      </c>
      <c r="K14" s="40">
        <f t="shared" si="2"/>
        <v>9.7070312500000006E-2</v>
      </c>
    </row>
    <row r="15" spans="1:15">
      <c r="A15" s="36">
        <v>12</v>
      </c>
      <c r="B15" s="43" t="s">
        <v>169</v>
      </c>
      <c r="C15" s="44">
        <f>IF(AVERAGEIF('Penilaian Resiko'!$C:$C, 'Overview KPI'!C$2, 'Penilaian Resiko'!$D:$D) &lt; 5.8, 110%, IF(AVERAGEIF('Penilaian Resiko'!$C:$C, 'Overview KPI'!C$2, 'Penilaian Resiko'!$D:$D) &lt;7.4, 3/4*100%, 3/5*100%))</f>
        <v>1.1000000000000001</v>
      </c>
      <c r="D15" s="50">
        <v>0.1</v>
      </c>
      <c r="E15" s="44">
        <f t="shared" si="0"/>
        <v>0.11000000000000001</v>
      </c>
      <c r="F15" s="44">
        <f>IF(AVERAGEIF('Penilaian Resiko'!$C:$C, 'Overview KPI'!F$2, 'Penilaian Resiko'!$D:$D) &lt; 5.8, 110%, IF(AVERAGEIF('Penilaian Resiko'!$C:$C, 'Overview KPI'!F$2, 'Penilaian Resiko'!$D:$D) &lt;7.4, 3/4*100%, 3/5*100%))</f>
        <v>1.1000000000000001</v>
      </c>
      <c r="G15" s="50">
        <v>0.1</v>
      </c>
      <c r="H15" s="46">
        <f t="shared" si="1"/>
        <v>0.11000000000000001</v>
      </c>
      <c r="I15" s="44">
        <f>IF(AVERAGEIF('Penilaian Resiko'!$C:$C, 'Overview KPI'!I$2, 'Penilaian Resiko'!$D:$D) &lt; 5.8, 110%, IF(AVERAGEIF('Penilaian Resiko'!$C:$C, 'Overview KPI'!I$2, 'Penilaian Resiko'!$D:$D) &lt;7.4, 3/4*100%, 3/5*100%))</f>
        <v>1.1000000000000001</v>
      </c>
      <c r="J15" s="50">
        <v>0.1</v>
      </c>
      <c r="K15" s="46">
        <f t="shared" si="2"/>
        <v>0.11000000000000001</v>
      </c>
    </row>
    <row r="16" spans="1:15">
      <c r="A16" s="47"/>
      <c r="B16" s="47"/>
      <c r="C16" s="60" t="s">
        <v>170</v>
      </c>
      <c r="D16" s="61"/>
      <c r="E16" s="48">
        <f>SUM(E4:E15)</f>
        <v>0.76209950376449387</v>
      </c>
      <c r="F16" s="60" t="s">
        <v>170</v>
      </c>
      <c r="G16" s="61"/>
      <c r="H16" s="48">
        <f>SUM(H4:H15)</f>
        <v>0.82711192509325093</v>
      </c>
      <c r="I16" s="60" t="s">
        <v>170</v>
      </c>
      <c r="J16" s="61"/>
      <c r="K16" s="48">
        <f>SUM(K4:K15)</f>
        <v>0.7128777083333333</v>
      </c>
    </row>
  </sheetData>
  <mergeCells count="8">
    <mergeCell ref="C16:D16"/>
    <mergeCell ref="F16:G16"/>
    <mergeCell ref="I16:J16"/>
    <mergeCell ref="A2:A3"/>
    <mergeCell ref="B2:B3"/>
    <mergeCell ref="C2:E2"/>
    <mergeCell ref="F2:H2"/>
    <mergeCell ref="I2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7B79-0330-4A0C-A51B-D505A260ABCC}">
  <dimension ref="A2:R15"/>
  <sheetViews>
    <sheetView workbookViewId="0">
      <selection activeCell="I7" sqref="I7"/>
    </sheetView>
  </sheetViews>
  <sheetFormatPr defaultRowHeight="15"/>
  <cols>
    <col min="1" max="1" width="4" bestFit="1" customWidth="1"/>
    <col min="2" max="2" width="27.140625" bestFit="1" customWidth="1"/>
    <col min="3" max="11" width="12" customWidth="1"/>
  </cols>
  <sheetData>
    <row r="2" spans="1:18">
      <c r="A2" s="62" t="s">
        <v>154</v>
      </c>
      <c r="B2" s="62" t="s">
        <v>155</v>
      </c>
      <c r="C2" s="63" t="s">
        <v>25</v>
      </c>
      <c r="D2" s="63"/>
      <c r="E2" s="63"/>
      <c r="F2" s="63" t="s">
        <v>24</v>
      </c>
      <c r="G2" s="63"/>
      <c r="H2" s="63"/>
      <c r="I2" s="57" t="s">
        <v>27</v>
      </c>
      <c r="J2" s="58"/>
      <c r="K2" s="59"/>
    </row>
    <row r="3" spans="1:18">
      <c r="A3" s="62"/>
      <c r="B3" s="62"/>
      <c r="C3" s="35" t="s">
        <v>156</v>
      </c>
      <c r="D3" s="35" t="s">
        <v>157</v>
      </c>
      <c r="E3" s="35" t="s">
        <v>158</v>
      </c>
      <c r="F3" s="35" t="s">
        <v>156</v>
      </c>
      <c r="G3" s="35" t="s">
        <v>157</v>
      </c>
      <c r="H3" s="35" t="s">
        <v>158</v>
      </c>
      <c r="I3" s="35" t="s">
        <v>156</v>
      </c>
      <c r="J3" s="35" t="s">
        <v>157</v>
      </c>
      <c r="K3" s="35" t="s">
        <v>158</v>
      </c>
    </row>
    <row r="4" spans="1:18">
      <c r="A4" s="36">
        <v>1</v>
      </c>
      <c r="B4" s="37" t="s">
        <v>159</v>
      </c>
      <c r="C4" s="38">
        <f>IFERROR(COUNTIFS(STR!$V:$V, 'Overview tanpa KPI'!C$2, STR!$X:$X, "TRUE")/COUNTIFS(STR!$V:$V, 'Overview tanpa KPI'!C2), 0)</f>
        <v>0.125</v>
      </c>
      <c r="D4" s="39">
        <v>0.15</v>
      </c>
      <c r="E4" s="38">
        <f>D4*C4</f>
        <v>1.8749999999999999E-2</v>
      </c>
      <c r="F4" s="38">
        <f>IFERROR(COUNTIFS(STR!$V:$V, 'Overview tanpa KPI'!F$2, STR!$X:$X, "TRUE")/COUNTIFS(STR!$V:$V, 'Overview tanpa KPI'!F2), 0)</f>
        <v>1</v>
      </c>
      <c r="G4" s="39">
        <v>0.15</v>
      </c>
      <c r="H4" s="40">
        <f>G4*F4</f>
        <v>0.15</v>
      </c>
      <c r="I4" s="38">
        <f>IFERROR(COUNTIFS(STR!$V:$V, 'Overview tanpa KPI'!I$2, STR!$X:$X, "TRUE")/COUNTIFS(STR!$V:$V, 'Overview tanpa KPI'!I2), 0)</f>
        <v>0.875</v>
      </c>
      <c r="J4" s="39">
        <v>0.15</v>
      </c>
      <c r="K4" s="40">
        <f>J4*I4</f>
        <v>0.13125000000000001</v>
      </c>
    </row>
    <row r="5" spans="1:18">
      <c r="A5" s="36">
        <v>2</v>
      </c>
      <c r="B5" s="37" t="s">
        <v>160</v>
      </c>
      <c r="C5" s="38">
        <f>1-AVERAGEIF('Bad Data'!$C:$C, 'Overview tanpa KPI'!C$2, 'Bad Data'!$D:$D)</f>
        <v>0.9937809090909091</v>
      </c>
      <c r="D5" s="39">
        <v>0.1</v>
      </c>
      <c r="E5" s="38">
        <f t="shared" ref="E5:E14" si="0">D5*C5</f>
        <v>9.9378090909090916E-2</v>
      </c>
      <c r="F5" s="38">
        <f>1-AVERAGEIF('Bad Data'!$C:$C, 'Overview tanpa KPI'!F$2, 'Bad Data'!$D:$D)</f>
        <v>0.99380999999999997</v>
      </c>
      <c r="G5" s="39">
        <v>0.1</v>
      </c>
      <c r="H5" s="40">
        <f t="shared" ref="H5:H14" si="1">G5*F5</f>
        <v>9.9380999999999997E-2</v>
      </c>
      <c r="I5" s="38">
        <f>1-AVERAGEIF('Bad Data'!$C:$C, 'Overview tanpa KPI'!I$2, 'Bad Data'!$D:$D)</f>
        <v>0.99343749999999997</v>
      </c>
      <c r="J5" s="39">
        <v>0.1</v>
      </c>
      <c r="K5" s="40">
        <f t="shared" ref="K5:K14" si="2">J5*I5</f>
        <v>9.9343750000000008E-2</v>
      </c>
    </row>
    <row r="6" spans="1:18">
      <c r="A6" s="36">
        <v>3</v>
      </c>
      <c r="B6" s="37" t="s">
        <v>161</v>
      </c>
      <c r="C6" s="38">
        <f>AVERAGEIF('Pengkinian Data'!$C:$C, 'Overview tanpa KPI'!C$2, 'Pengkinian Data'!$D:$D)</f>
        <v>0.82072727272727264</v>
      </c>
      <c r="D6" s="39">
        <v>0.1</v>
      </c>
      <c r="E6" s="38">
        <f t="shared" si="0"/>
        <v>8.2072727272727269E-2</v>
      </c>
      <c r="F6" s="38">
        <f>AVERAGEIF('Pengkinian Data'!$C:$C, 'Overview tanpa KPI'!F$2, 'Pengkinian Data'!$D:$D)</f>
        <v>0.84215384615384636</v>
      </c>
      <c r="G6" s="39">
        <v>0.1</v>
      </c>
      <c r="H6" s="40">
        <f t="shared" si="1"/>
        <v>8.4215384615384636E-2</v>
      </c>
      <c r="I6" s="38">
        <f>AVERAGEIF('Pengkinian Data'!$C:$C, 'Overview tanpa KPI'!I$2, 'Pengkinian Data'!$D:$D)</f>
        <v>0.84028749999999997</v>
      </c>
      <c r="J6" s="39">
        <v>0.1</v>
      </c>
      <c r="K6" s="40">
        <f t="shared" si="2"/>
        <v>8.4028749999999999E-2</v>
      </c>
      <c r="R6" t="s">
        <v>26</v>
      </c>
    </row>
    <row r="7" spans="1:18">
      <c r="A7" s="36">
        <v>4</v>
      </c>
      <c r="B7" s="37" t="s">
        <v>162</v>
      </c>
      <c r="C7" s="38" cm="1">
        <f t="array" ref="C7">IFERROR(SUMPRODUCT(--('[3]Uji Petik'!$E$3:$E$73&lt;&gt;""), --('[3]Uji Petik'!$C$3:$C$73=C2)) / SUMPRODUCT(--('[3]Uji Petik'!$C$3:$C$73=C2)), 0)</f>
        <v>0</v>
      </c>
      <c r="D7" s="39">
        <v>0</v>
      </c>
      <c r="E7" s="38">
        <f t="shared" si="0"/>
        <v>0</v>
      </c>
      <c r="F7" s="38" cm="1">
        <f t="array" ref="F7">IFERROR(SUMPRODUCT(--('[3]Uji Petik'!$E$3:$E$73&lt;&gt;""), --('[3]Uji Petik'!$C$3:$C$73=F2)) / SUMPRODUCT(--('[3]Uji Petik'!$C$3:$C$73=F2)), 0)</f>
        <v>0</v>
      </c>
      <c r="G7" s="39">
        <v>0</v>
      </c>
      <c r="H7" s="40">
        <f t="shared" si="1"/>
        <v>0</v>
      </c>
      <c r="I7" s="38" cm="1">
        <f t="array" ref="I7">IFERROR(SUMPRODUCT(--('[3]Uji Petik'!$E$3:$E$73&lt;&gt;""), --('[3]Uji Petik'!$C$3:$C$73=I2)) / SUMPRODUCT(--('[3]Uji Petik'!$C$3:$C$73=I2)), 0)</f>
        <v>0</v>
      </c>
      <c r="J7" s="39">
        <v>0</v>
      </c>
      <c r="K7" s="40">
        <f t="shared" si="2"/>
        <v>0</v>
      </c>
    </row>
    <row r="8" spans="1:18">
      <c r="A8" s="36">
        <v>5</v>
      </c>
      <c r="B8" s="37" t="s">
        <v>163</v>
      </c>
      <c r="C8" s="41" cm="1">
        <f t="array" ref="C8">IFERROR(AVERAGE(IF([1]Sosialisasi!$C$1:$C$10000=C2, [1]Sosialisasi!$D$1:$D$10000)), 0)</f>
        <v>0.27272727272727271</v>
      </c>
      <c r="D8" s="39">
        <v>0.15</v>
      </c>
      <c r="E8" s="38">
        <f t="shared" si="0"/>
        <v>4.0909090909090902E-2</v>
      </c>
      <c r="F8" s="41" cm="1">
        <f t="array" ref="F8">IFERROR(AVERAGE(IF([1]Sosialisasi!$C$1:$C$10000=F2, [1]Sosialisasi!$D$1:$D$10000)), 0)</f>
        <v>0.23076923076923078</v>
      </c>
      <c r="G8" s="39">
        <v>0.15</v>
      </c>
      <c r="H8" s="40">
        <f t="shared" si="1"/>
        <v>3.4615384615384617E-2</v>
      </c>
      <c r="I8" s="41" cm="1">
        <f t="array" ref="I8">IFERROR(AVERAGE(IF([1]Sosialisasi!$C$1:$C$10000=I2, [1]Sosialisasi!$D$1:$D$10000)), 0)</f>
        <v>0.25</v>
      </c>
      <c r="J8" s="39">
        <v>0.15</v>
      </c>
      <c r="K8" s="40">
        <f t="shared" si="2"/>
        <v>3.7499999999999999E-2</v>
      </c>
    </row>
    <row r="9" spans="1:18">
      <c r="A9" s="36">
        <v>6</v>
      </c>
      <c r="B9" s="37" t="s">
        <v>164</v>
      </c>
      <c r="C9" s="38">
        <f>AVERAGEIF('EDD PEP PPATK'!$C:$C, 'Overview tanpa KPI'!C$2, 'EDD PEP PPATK'!$D:$D)</f>
        <v>1</v>
      </c>
      <c r="D9" s="39">
        <v>0.1</v>
      </c>
      <c r="E9" s="38">
        <f t="shared" si="0"/>
        <v>0.1</v>
      </c>
      <c r="F9" s="38">
        <f>AVERAGEIF('EDD PEP PPATK'!$C:$C, 'Overview tanpa KPI'!F$2, 'EDD PEP PPATK'!$D:$D)</f>
        <v>0.99540475890721392</v>
      </c>
      <c r="G9" s="39">
        <v>0.1</v>
      </c>
      <c r="H9" s="40">
        <f t="shared" si="1"/>
        <v>9.9540475890721403E-2</v>
      </c>
      <c r="I9" s="38">
        <f>AVERAGEIF('EDD PEP PPATK'!$C:$C, 'Overview tanpa KPI'!I$2, 'EDD PEP PPATK'!$D:$D)</f>
        <v>0.99934895833333326</v>
      </c>
      <c r="J9" s="39">
        <v>0.1</v>
      </c>
      <c r="K9" s="40">
        <f t="shared" si="2"/>
        <v>9.9934895833333329E-2</v>
      </c>
    </row>
    <row r="10" spans="1:18">
      <c r="A10" s="36">
        <v>7</v>
      </c>
      <c r="B10" s="37" t="s">
        <v>165</v>
      </c>
      <c r="C10" s="38" cm="1">
        <f t="array" ref="C10">IFERROR(AVERAGE(IF('[1]Sheet2 (2)'!$C$1:$C$10000=C$2, '[1]Sheet2 (2)'!$D$1:$D$10000)), 0)</f>
        <v>0.83950261811221727</v>
      </c>
      <c r="D10" s="39">
        <v>0.05</v>
      </c>
      <c r="E10" s="38">
        <f t="shared" si="0"/>
        <v>4.1975130905610863E-2</v>
      </c>
      <c r="F10" s="38" cm="1">
        <f t="array" ref="F10">IFERROR(AVERAGE(IF('[1]Sheet2 (2)'!$C$1:$C$10000=F$2, '[1]Sheet2 (2)'!$D$1:$D$10000)), 0)</f>
        <v>0.8366468142550284</v>
      </c>
      <c r="G10" s="39">
        <v>0.05</v>
      </c>
      <c r="H10" s="40">
        <f t="shared" si="1"/>
        <v>4.1832340712751423E-2</v>
      </c>
      <c r="I10" s="38" cm="1">
        <f t="array" ref="I10">IFERROR(AVERAGE(IF('[1]Sheet2 (2)'!$C$1:$C$10000=I$2, '[1]Sheet2 (2)'!$D$1:$D$10000)), 0)</f>
        <v>0.90374985835856292</v>
      </c>
      <c r="J10" s="39">
        <v>0.05</v>
      </c>
      <c r="K10" s="40">
        <f t="shared" si="2"/>
        <v>4.5187492917928146E-2</v>
      </c>
    </row>
    <row r="11" spans="1:18">
      <c r="A11" s="36">
        <v>8</v>
      </c>
      <c r="B11" s="37" t="s">
        <v>166</v>
      </c>
      <c r="C11" s="38" cm="1">
        <f t="array" ref="C11">IFERROR(AVERAGE(IF('[1]Sheet2 (3)'!$C$1:$C$10000=C2, '[1]Sheet2 (3)'!$D$1:$D$10000)), 0)</f>
        <v>97.781021436363645</v>
      </c>
      <c r="D11" s="39">
        <v>0.05</v>
      </c>
      <c r="E11" s="38">
        <f t="shared" si="0"/>
        <v>4.8890510718181828</v>
      </c>
      <c r="F11" s="38" cm="1">
        <f t="array" ref="F11">IFERROR(AVERAGE(IF('[1]Sheet2 (3)'!$C$1:$C$10000=F2, '[1]Sheet2 (3)'!$D$1:$D$10000)), 0)</f>
        <v>96.847783848461532</v>
      </c>
      <c r="G11" s="39">
        <v>0.05</v>
      </c>
      <c r="H11" s="40">
        <f t="shared" si="1"/>
        <v>4.8423891924230773</v>
      </c>
      <c r="I11" s="38" cm="1">
        <f t="array" ref="I11">IFERROR(AVERAGE(IF('[1]Sheet2 (3)'!$C$1:$C$10000=I2, '[1]Sheet2 (3)'!$D$1:$D$10000)), 0)</f>
        <v>97.556771361250014</v>
      </c>
      <c r="J11" s="39">
        <v>0.05</v>
      </c>
      <c r="K11" s="40">
        <f t="shared" si="2"/>
        <v>4.8778385680625007</v>
      </c>
    </row>
    <row r="12" spans="1:18">
      <c r="A12" s="36">
        <v>9</v>
      </c>
      <c r="B12" s="37" t="s">
        <v>167</v>
      </c>
      <c r="C12" s="38">
        <f>AVERAGEIF('Nilai Maturitas'!$C:$C, 'Overview tanpa KPI'!C2, 'Nilai Maturitas'!$D:$D)</f>
        <v>8.364925602719719</v>
      </c>
      <c r="D12" s="39">
        <v>0.1</v>
      </c>
      <c r="E12" s="38">
        <f t="shared" si="0"/>
        <v>0.83649256027197194</v>
      </c>
      <c r="F12" s="38">
        <f>AVERAGEIF('Nilai Maturitas'!$C:$C, 'Overview tanpa KPI'!F2, 'Nilai Maturitas'!$D:$D)</f>
        <v>8.1833122165946452</v>
      </c>
      <c r="G12" s="39">
        <v>0.1</v>
      </c>
      <c r="H12" s="40">
        <f t="shared" si="1"/>
        <v>0.81833122165946459</v>
      </c>
      <c r="I12" s="38">
        <f>AVERAGEIF('Nilai Maturitas'!$C:$C, 'Overview tanpa KPI'!I2, 'Nilai Maturitas'!$D:$D)</f>
        <v>8.4125952033963678</v>
      </c>
      <c r="J12" s="39">
        <v>0.1</v>
      </c>
      <c r="K12" s="40">
        <f t="shared" si="2"/>
        <v>0.8412595203396368</v>
      </c>
    </row>
    <row r="13" spans="1:18">
      <c r="A13" s="36">
        <v>10</v>
      </c>
      <c r="B13" s="37" t="s">
        <v>168</v>
      </c>
      <c r="C13" s="38">
        <f>AVERAGEIF('Maturitas Dashboard'!$C:$C, 'Overview tanpa KPI'!C$2, 'Maturitas Dashboard'!$D:$D)</f>
        <v>7.6704545454545459</v>
      </c>
      <c r="D13" s="39">
        <v>0.1</v>
      </c>
      <c r="E13" s="38">
        <f t="shared" si="0"/>
        <v>0.76704545454545459</v>
      </c>
      <c r="F13" s="38">
        <f>AVERAGEIF('Maturitas Dashboard'!$C:$C, 'Overview tanpa KPI'!F$2, 'Maturitas Dashboard'!$D:$D)</f>
        <v>7.6538461538461542</v>
      </c>
      <c r="G13" s="39">
        <v>0.1</v>
      </c>
      <c r="H13" s="40">
        <f t="shared" si="1"/>
        <v>0.76538461538461544</v>
      </c>
      <c r="I13" s="38">
        <f>AVERAGEIF('Maturitas Dashboard'!$C:$C, 'Overview tanpa KPI'!I$2, 'Maturitas Dashboard'!$D:$D)</f>
        <v>7.765625</v>
      </c>
      <c r="J13" s="39">
        <v>0.1</v>
      </c>
      <c r="K13" s="40">
        <f t="shared" si="2"/>
        <v>0.77656250000000004</v>
      </c>
    </row>
    <row r="14" spans="1:18">
      <c r="A14" s="42">
        <v>11</v>
      </c>
      <c r="B14" s="43" t="s">
        <v>169</v>
      </c>
      <c r="C14" s="44">
        <f>AVERAGEIF('Penilaian Resiko'!$C:$C, 'Overview tanpa KPI'!C$2, 'Penilaian Resiko'!$D:$D)</f>
        <v>5.2774631128951519</v>
      </c>
      <c r="D14" s="45">
        <v>0.1</v>
      </c>
      <c r="E14" s="44">
        <f t="shared" si="0"/>
        <v>0.52774631128951521</v>
      </c>
      <c r="F14" s="44">
        <f>AVERAGEIF('Penilaian Resiko'!$C:$C, 'Overview tanpa KPI'!F$2, 'Penilaian Resiko'!$D:$D)</f>
        <v>5.0043059391874367</v>
      </c>
      <c r="G14" s="45">
        <v>0.1</v>
      </c>
      <c r="H14" s="46">
        <f t="shared" si="1"/>
        <v>0.50043059391874367</v>
      </c>
      <c r="I14" s="44">
        <f>AVERAGEIF('Penilaian Resiko'!$C:$C, 'Overview tanpa KPI'!I$2, 'Penilaian Resiko'!$D:$D)</f>
        <v>5.0944105939789264</v>
      </c>
      <c r="J14" s="45">
        <v>0.1</v>
      </c>
      <c r="K14" s="46">
        <f t="shared" si="2"/>
        <v>0.50944105939789264</v>
      </c>
    </row>
    <row r="15" spans="1:18">
      <c r="A15" s="47"/>
      <c r="B15" s="47"/>
      <c r="C15" s="60" t="s">
        <v>170</v>
      </c>
      <c r="D15" s="61"/>
      <c r="E15" s="48">
        <f>SUM(E4:E14)</f>
        <v>7.4034204379216444</v>
      </c>
      <c r="F15" s="60" t="s">
        <v>170</v>
      </c>
      <c r="G15" s="61"/>
      <c r="H15" s="48">
        <f>SUM(H4:H14)</f>
        <v>7.4361202092201424</v>
      </c>
      <c r="I15" s="60" t="s">
        <v>170</v>
      </c>
      <c r="J15" s="61"/>
      <c r="K15" s="48">
        <f>SUM(K4:K14)</f>
        <v>7.5023465365512916</v>
      </c>
    </row>
  </sheetData>
  <mergeCells count="8">
    <mergeCell ref="C15:D15"/>
    <mergeCell ref="F15:G15"/>
    <mergeCell ref="I15:J15"/>
    <mergeCell ref="A2:A3"/>
    <mergeCell ref="B2:B3"/>
    <mergeCell ref="C2:E2"/>
    <mergeCell ref="F2:H2"/>
    <mergeCell ref="I2:K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2026-09-29T03:19:32Z</dcterms:modified>
  <cp:category/>
  <cp:contentStatus/>
</cp:coreProperties>
</file>