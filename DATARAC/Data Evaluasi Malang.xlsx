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578" documentId="8_{CBB978E0-DA6C-437E-96CC-89A4C9D131CC}" xr6:coauthVersionLast="47" xr6:coauthVersionMax="47" xr10:uidLastSave="{FC4951B9-1218-4E5C-B3B9-6EB6C29937BA}"/>
  <bookViews>
    <workbookView xWindow="-96" yWindow="0" windowWidth="11712" windowHeight="12336" firstSheet="10" activeTab="9" xr2:uid="{28B6D053-1D7F-4EEF-8978-633F77751EF4}"/>
  </bookViews>
  <sheets>
    <sheet name="STR" sheetId="5" r:id="rId1"/>
    <sheet name="EDD PEP PPATK" sheetId="1" r:id="rId2"/>
    <sheet name="Bad Data" sheetId="9" r:id="rId3"/>
    <sheet name="Pengkinian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</sheets>
  <externalReferences>
    <externalReference r:id="rId12"/>
    <externalReference r:id="rId13"/>
    <externalReference r:id="rId14"/>
  </externalReferences>
  <definedNames>
    <definedName name="_xlnm._FilterDatabase" localSheetId="1" hidden="1">'EDD PEP PPATK'!$B$2:$D$2</definedName>
    <definedName name="_xlnm._FilterDatabase" localSheetId="2" hidden="1">'Bad Data'!$B$2:$D$2</definedName>
    <definedName name="_xlnm._FilterDatabase" localSheetId="3" hidden="1">'Pengkinian Data'!$B$2:$D$2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" i="5" l="1" a="1"/>
  <c r="A2" i="5"/>
  <c r="F7" i="10" a="1"/>
  <c r="F7" i="10" s="1"/>
  <c r="C7" i="10" a="1"/>
  <c r="C7" i="10" s="1"/>
  <c r="F7" i="11" a="1"/>
  <c r="F7" i="11" s="1"/>
  <c r="C7" i="11" a="1"/>
  <c r="C7" i="11" s="1"/>
  <c r="C11" i="11" a="1"/>
  <c r="C11" i="1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" i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3" i="9"/>
  <c r="F5" i="10" s="1"/>
  <c r="H5" i="10" s="1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F6" i="11" s="1"/>
  <c r="H6" i="11" s="1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2" i="5"/>
  <c r="C12" i="11"/>
  <c r="F12" i="11"/>
  <c r="C13" i="11"/>
  <c r="F13" i="11"/>
  <c r="C14" i="11"/>
  <c r="F14" i="11"/>
  <c r="C4" i="11"/>
  <c r="F4" i="11"/>
  <c r="C5" i="11"/>
  <c r="E5" i="11" s="1"/>
  <c r="H7" i="11" s="1"/>
  <c r="F5" i="11"/>
  <c r="C6" i="11"/>
  <c r="C9" i="11"/>
  <c r="F9" i="11"/>
  <c r="H14" i="11"/>
  <c r="E14" i="11"/>
  <c r="H13" i="11"/>
  <c r="E13" i="11"/>
  <c r="H12" i="11"/>
  <c r="E12" i="11"/>
  <c r="F11" i="11" a="1"/>
  <c r="F11" i="11" s="1"/>
  <c r="H11" i="11" s="1"/>
  <c r="E11" i="11"/>
  <c r="F10" i="11" a="1"/>
  <c r="F10" i="11" s="1"/>
  <c r="H10" i="11" s="1"/>
  <c r="C10" i="11" a="1"/>
  <c r="C10" i="11" s="1"/>
  <c r="E10" i="11" s="1"/>
  <c r="H9" i="11"/>
  <c r="E9" i="11"/>
  <c r="F8" i="11" a="1"/>
  <c r="F8" i="11" s="1"/>
  <c r="H8" i="11" s="1"/>
  <c r="C8" i="11" a="1"/>
  <c r="C8" i="11" s="1"/>
  <c r="E8" i="11" s="1"/>
  <c r="E7" i="11"/>
  <c r="E6" i="11"/>
  <c r="H5" i="11"/>
  <c r="H4" i="11"/>
  <c r="E4" i="11"/>
  <c r="C9" i="10"/>
  <c r="F9" i="10"/>
  <c r="C12" i="10"/>
  <c r="F12" i="10"/>
  <c r="C13" i="10"/>
  <c r="F13" i="10"/>
  <c r="C14" i="10"/>
  <c r="F14" i="10"/>
  <c r="C4" i="10"/>
  <c r="F4" i="10"/>
  <c r="C5" i="10"/>
  <c r="C6" i="10"/>
  <c r="F6" i="10"/>
  <c r="H6" i="10" s="1"/>
  <c r="H14" i="10"/>
  <c r="E14" i="10"/>
  <c r="H13" i="10"/>
  <c r="E13" i="10"/>
  <c r="H12" i="10"/>
  <c r="E12" i="10"/>
  <c r="F11" i="10" a="1"/>
  <c r="F11" i="10" s="1"/>
  <c r="H11" i="10" s="1"/>
  <c r="C11" i="10" a="1"/>
  <c r="C11" i="10" s="1"/>
  <c r="E11" i="10" s="1"/>
  <c r="F10" i="10" a="1"/>
  <c r="F10" i="10" s="1"/>
  <c r="H10" i="10" s="1"/>
  <c r="C10" i="10" a="1"/>
  <c r="C10" i="10" s="1"/>
  <c r="E10" i="10" s="1"/>
  <c r="H9" i="10"/>
  <c r="E9" i="10"/>
  <c r="F8" i="10" a="1"/>
  <c r="F8" i="10" s="1"/>
  <c r="H8" i="10" s="1"/>
  <c r="C8" i="10" a="1"/>
  <c r="C8" i="10" s="1"/>
  <c r="E8" i="10" s="1"/>
  <c r="E7" i="10"/>
  <c r="E6" i="10"/>
  <c r="E5" i="10"/>
  <c r="H7" i="10" s="1"/>
  <c r="H4" i="10"/>
  <c r="E4" i="10"/>
  <c r="E15" i="8"/>
  <c r="E2" i="8"/>
  <c r="E15" i="7"/>
  <c r="E2" i="7"/>
  <c r="E15" i="6"/>
  <c r="E2" i="6"/>
  <c r="E16" i="2"/>
  <c r="E16" i="9"/>
  <c r="E3" i="9"/>
  <c r="E16" i="1"/>
  <c r="E3" i="1"/>
  <c r="H15" i="11" l="1"/>
  <c r="E3" i="2"/>
  <c r="H15" i="10"/>
  <c r="E15" i="10"/>
  <c r="E15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<sst xmlns="http://schemas.openxmlformats.org/spreadsheetml/2006/main" count="594" uniqueCount="178">
  <si>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</si>
  <si>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</si>
  <si>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</si>
  <si>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</si>
  <si>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</si>
  <si>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</si>
  <si>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</si>
  <si>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</si>
  <si>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</si>
  <si>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</si>
  <si>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</si>
  <si>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</si>
  <si>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</si>
  <si>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</si>
  <si>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</si>
  <si>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</si>
  <si>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</si>
  <si>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</si>
  <si>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</si>
  <si>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</si>
  <si>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</si>
  <si>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</si>
  <si>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</si>
  <si>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</si>
  <si>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Made Windu Kuntara</t>
  </si>
  <si>
    <t>.</t>
  </si>
  <si>
    <t>Febri Dwi Prabowo</t>
  </si>
  <si>
    <t>No.</t>
  </si>
  <si>
    <t>Unit Kerja</t>
  </si>
  <si>
    <t>PIC RAC</t>
  </si>
  <si>
    <t>%TL PEP Done</t>
  </si>
  <si>
    <t>Average</t>
  </si>
  <si>
    <t>KC Bondowoso</t>
  </si>
  <si>
    <t>KC Genteng</t>
  </si>
  <si>
    <t>KC Kediri</t>
  </si>
  <si>
    <t>KC Kepanjen</t>
  </si>
  <si>
    <t>KC Magetan</t>
  </si>
  <si>
    <t>KC Malang Martadinata</t>
  </si>
  <si>
    <t>KC Malang Soekarno Hatta</t>
  </si>
  <si>
    <t>KC Nganjuk</t>
  </si>
  <si>
    <t>KC Ngawi</t>
  </si>
  <si>
    <t>KC Pacitan</t>
  </si>
  <si>
    <t>KC Pare</t>
  </si>
  <si>
    <t>KC Trenggalek</t>
  </si>
  <si>
    <t>KC Tulungagung</t>
  </si>
  <si>
    <t>KC Banyuwangi</t>
  </si>
  <si>
    <t>KC Blitar</t>
  </si>
  <si>
    <t>KC Jember</t>
  </si>
  <si>
    <t>KC Lumajang</t>
  </si>
  <si>
    <t>KC Madiun</t>
  </si>
  <si>
    <t>KC Malang Kawi</t>
  </si>
  <si>
    <t>KC Malang Sutoyo</t>
  </si>
  <si>
    <t>KC Pasuruan</t>
  </si>
  <si>
    <t>KC Ponorogo</t>
  </si>
  <si>
    <t>KC Probolinggo</t>
  </si>
  <si>
    <t>KC Situbondo</t>
  </si>
  <si>
    <t>KC Batu</t>
  </si>
  <si>
    <t>%Bad Data</t>
  </si>
  <si>
    <t>%Pengkinian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</si>
  <si>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</si>
  <si>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</si>
  <si>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</si>
  <si>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</si>
  <si>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</si>
  <si>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</si>
  <si>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</si>
  <si>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</si>
  <si>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</si>
  <si>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</si>
  <si>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</si>
  <si>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</si>
  <si>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</si>
  <si>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</si>
  <si>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</si>
  <si>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</si>
  <si>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</si>
  <si>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</si>
  <si>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</si>
  <si>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</si>
  <si>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</si>
  <si>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</si>
  <si>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</si>
  <si>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</si>
  <si>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</si>
  <si>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</si>
  <si>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</si>
  <si>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</si>
  <si>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</si>
  <si>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</si>
  <si>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</si>
  <si>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</si>
  <si>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</si>
  <si>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</si>
  <si>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</si>
  <si>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</si>
  <si>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</si>
  <si>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</si>
  <si>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</si>
  <si>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</si>
  <si>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BO Malang Kawi</t>
  </si>
  <si>
    <t>Made Windu K</t>
  </si>
  <si>
    <t>BO Malang Soekarno Hatta</t>
  </si>
  <si>
    <t>BO Batu</t>
  </si>
  <si>
    <t>Made Wndu K</t>
  </si>
  <si>
    <t>BO Malang Martadinata</t>
  </si>
  <si>
    <t>BO Pasuruan</t>
  </si>
  <si>
    <t>BO Probolinggo</t>
  </si>
  <si>
    <t>BO Lumajang</t>
  </si>
  <si>
    <t>BO Jember</t>
  </si>
  <si>
    <t>BO Bondowoso</t>
  </si>
  <si>
    <t>BO Pacitan</t>
  </si>
  <si>
    <t>5 Oktober 2026</t>
  </si>
  <si>
    <t>Bo Ponorogo</t>
  </si>
  <si>
    <t>Made Windu k</t>
  </si>
  <si>
    <t>6 Oktober 2026</t>
  </si>
  <si>
    <t>BO Madiun</t>
  </si>
  <si>
    <t>7 Oktober 2026</t>
  </si>
  <si>
    <t>BO Magetan</t>
  </si>
  <si>
    <t>8 Oktober 2026</t>
  </si>
  <si>
    <t>BO Ngawi</t>
  </si>
  <si>
    <t>9 Oktober 2026</t>
  </si>
  <si>
    <t>BO Trenggalek</t>
  </si>
  <si>
    <t>12 Oktober 2026</t>
  </si>
  <si>
    <t>BO Tulungangung</t>
  </si>
  <si>
    <t>13 Oktober 2026</t>
  </si>
  <si>
    <t>BO Kediri</t>
  </si>
  <si>
    <t>Ferbri Dwi Prabowo</t>
  </si>
  <si>
    <t>14 Oktober 2026</t>
  </si>
  <si>
    <t>BO Pare</t>
  </si>
  <si>
    <t>15 Oktober 2026</t>
  </si>
  <si>
    <t>BO Nganjuk</t>
  </si>
  <si>
    <t>16 Oktober 2026</t>
  </si>
  <si>
    <t>BO Banyuwangi</t>
  </si>
  <si>
    <t>19 Oktober 2026</t>
  </si>
  <si>
    <t>BO Genteng</t>
  </si>
  <si>
    <t>20 Oktober 2026</t>
  </si>
  <si>
    <t>BO Situbondo</t>
  </si>
  <si>
    <t>21 Oktober 2026</t>
  </si>
  <si>
    <t>BO Blitar</t>
  </si>
  <si>
    <t>22 Oktober 2026</t>
  </si>
  <si>
    <t>BO Kepanjen</t>
  </si>
  <si>
    <t>23 Oktober 2026</t>
  </si>
  <si>
    <t>BO Malang Sutoyo</t>
  </si>
  <si>
    <t>24 Oktober 2026</t>
  </si>
  <si>
    <t>**https://bri2-my.sharepoint.com/:f:/g/personal/00136153_hq_bri_co_id/IgDKyb_LCrC8RL6aLet5fhAnAVgP5YmVANRkNo95lLX-DEw?e=1Igwpo</t>
  </si>
  <si>
    <t>4.Kertas Kerja</t>
  </si>
  <si>
    <t>5. Laporan Uji Petik</t>
  </si>
  <si>
    <t>Nilai maturitas</t>
  </si>
  <si>
    <t>Rating maturitas</t>
  </si>
  <si>
    <t>AB</t>
  </si>
  <si>
    <t>BO Malang Marthadinata</t>
  </si>
  <si>
    <t>BO Tulungagung</t>
  </si>
  <si>
    <t>BO Ponorogo</t>
  </si>
  <si>
    <t>Nilai Risiko</t>
  </si>
  <si>
    <t>Nilai Risiko PIC</t>
  </si>
  <si>
    <t>Rating Risiko PIC</t>
  </si>
  <si>
    <t>Medium to High</t>
  </si>
  <si>
    <t>Nilai Maturitas</t>
  </si>
  <si>
    <t>Nilai Maturitas PIC</t>
  </si>
  <si>
    <t>Rating Maturitas PIC</t>
  </si>
  <si>
    <t>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</si>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</sst>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8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5" fontId="0" fillId="0" borderId="1" xfId="0" applyNumberFormat="1" applyBorder="1"/>
    <xf numFmtId="0" fontId="1" fillId="2" borderId="3" xfId="0" applyFont="1" applyFill="1" applyBorder="1" applyAlignment="1">
      <alignment horizontal="center"/>
    </xf>
    <xf numFmtId="0" fontId="6" fillId="5" borderId="3" xfId="0" applyFont="1" applyFill="1" applyBorder="1"/>
    <xf numFmtId="0" fontId="8" fillId="0" borderId="3" xfId="0" applyFont="1" applyBorder="1"/>
    <xf numFmtId="0" fontId="8" fillId="0" borderId="0" xfId="0" applyFont="1"/>
    <xf numFmtId="0" fontId="6" fillId="0" borderId="3" xfId="0" applyFont="1" applyBorder="1"/>
    <xf numFmtId="0" fontId="0" fillId="0" borderId="4" xfId="0" applyBorder="1"/>
    <xf numFmtId="164" fontId="9" fillId="0" borderId="3" xfId="0" applyNumberFormat="1" applyFont="1" applyBorder="1"/>
    <xf numFmtId="0" fontId="7" fillId="0" borderId="3" xfId="0" applyFont="1" applyBorder="1"/>
    <xf numFmtId="15" fontId="1" fillId="2" borderId="6" xfId="0" applyNumberFormat="1" applyFont="1" applyFill="1" applyBorder="1"/>
    <xf numFmtId="15" fontId="1" fillId="2" borderId="7" xfId="0" applyNumberFormat="1" applyFont="1" applyFill="1" applyBorder="1"/>
    <xf numFmtId="15" fontId="1" fillId="2" borderId="3" xfId="0" applyNumberFormat="1" applyFont="1" applyFill="1" applyBorder="1"/>
    <xf numFmtId="10" fontId="0" fillId="0" borderId="3" xfId="1" applyNumberFormat="1" applyFont="1" applyBorder="1"/>
    <xf numFmtId="0" fontId="8" fillId="0" borderId="9" xfId="0" applyFont="1" applyBorder="1"/>
    <xf numFmtId="0" fontId="1" fillId="2" borderId="4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left" vertical="center"/>
    </xf>
    <xf numFmtId="164" fontId="11" fillId="0" borderId="3" xfId="0" applyNumberFormat="1" applyFont="1" applyBorder="1" applyAlignment="1">
      <alignment horizontal="center"/>
    </xf>
    <xf numFmtId="9" fontId="11" fillId="0" borderId="3" xfId="0" applyNumberFormat="1" applyFont="1" applyBorder="1" applyAlignment="1">
      <alignment horizontal="center"/>
    </xf>
    <xf numFmtId="2" fontId="11" fillId="0" borderId="3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left" vertical="center"/>
    </xf>
    <xf numFmtId="164" fontId="11" fillId="0" borderId="4" xfId="0" applyNumberFormat="1" applyFont="1" applyBorder="1" applyAlignment="1">
      <alignment horizontal="center"/>
    </xf>
    <xf numFmtId="9" fontId="11" fillId="0" borderId="4" xfId="0" applyNumberFormat="1" applyFont="1" applyBorder="1" applyAlignment="1">
      <alignment horizontal="center"/>
    </xf>
    <xf numFmtId="2" fontId="11" fillId="0" borderId="4" xfId="0" applyNumberFormat="1" applyFont="1" applyBorder="1" applyAlignment="1">
      <alignment horizontal="center"/>
    </xf>
    <xf numFmtId="0" fontId="12" fillId="7" borderId="3" xfId="0" applyFont="1" applyFill="1" applyBorder="1" applyAlignment="1">
      <alignment horizontal="center"/>
    </xf>
    <xf numFmtId="10" fontId="12" fillId="7" borderId="3" xfId="0" applyNumberFormat="1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/>
    </xf>
    <xf numFmtId="0" fontId="12" fillId="7" borderId="10" xfId="0" applyFont="1" applyFill="1" applyBorder="1" applyAlignment="1">
      <alignment horizontal="center"/>
    </xf>
    <xf numFmtId="15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0" fontId="0" fillId="0" borderId="8" xfId="1" applyNumberFormat="1" applyFont="1" applyBorder="1" applyAlignment="1">
      <alignment horizontal="center"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3%20-%20Malang/Data%20Evaluasi%20Malang.xlsx" TargetMode="External"/><Relationship Id="rId2" Type="http://schemas.openxmlformats.org/officeDocument/2006/relationships/externalLinkPath" Target="https://bri2-my.sharepoint.com/personal/00136153_hq_bri_co_id/Documents/Assurance%20Team/RAC%20Team/Moneva/Region%2013%20-%20Malang/Data%20Evaluasi%20Malang.xlsx" TargetMode="External"/><Relationship Id="rId1" Type="http://schemas.openxmlformats.org/officeDocument/2006/relationships/externalLinkPath" Target="/personal/00136153_hq_bri_co_id/Documents/Assurance%20Team/RAC%20Team/Moneva/Region%2013%20-%20Malang/Data%20Evaluasi%20Mala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  <sheetName val="A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QEV5EJG2WVKRFYYVDMFIDHAENV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1</v>
          </cell>
        </row>
        <row r="3">
          <cell r="X3" t="b">
            <v>1</v>
          </cell>
        </row>
        <row r="4">
          <cell r="X4" t="b">
            <v>1</v>
          </cell>
        </row>
        <row r="5">
          <cell r="X5" t="b">
            <v>1</v>
          </cell>
        </row>
        <row r="6">
          <cell r="X6" t="b">
            <v>1</v>
          </cell>
        </row>
        <row r="7">
          <cell r="X7" t="b">
            <v>1</v>
          </cell>
        </row>
        <row r="8">
          <cell r="X8" t="b">
            <v>1</v>
          </cell>
        </row>
        <row r="9">
          <cell r="X9" t="b">
            <v>1</v>
          </cell>
        </row>
        <row r="10">
          <cell r="X10" t="b">
            <v>1</v>
          </cell>
        </row>
        <row r="11">
          <cell r="X11" t="b">
            <v>1</v>
          </cell>
        </row>
        <row r="12">
          <cell r="X12" t="b">
            <v>1</v>
          </cell>
        </row>
        <row r="13">
          <cell r="X13" t="b">
            <v>1</v>
          </cell>
        </row>
        <row r="14">
          <cell r="X14" t="b">
            <v>1</v>
          </cell>
        </row>
        <row r="15">
          <cell r="X15" t="b">
            <v>1</v>
          </cell>
        </row>
        <row r="16">
          <cell r="X16" t="b">
            <v>1</v>
          </cell>
        </row>
        <row r="17">
          <cell r="X17" t="b">
            <v>1</v>
          </cell>
        </row>
        <row r="18">
          <cell r="X18" t="b">
            <v>1</v>
          </cell>
        </row>
        <row r="19">
          <cell r="X19" t="b">
            <v>1</v>
          </cell>
        </row>
        <row r="20">
          <cell r="X20" t="b">
            <v>1</v>
          </cell>
        </row>
        <row r="21">
          <cell r="X21" t="b">
            <v>1</v>
          </cell>
        </row>
        <row r="22">
          <cell r="X22" t="b">
            <v>1</v>
          </cell>
        </row>
        <row r="23">
          <cell r="X23" t="b">
            <v>1</v>
          </cell>
        </row>
        <row r="24">
          <cell r="X24" t="b">
            <v>1</v>
          </cell>
        </row>
        <row r="25">
          <cell r="X25" t="b">
            <v>1</v>
          </cell>
        </row>
        <row r="26">
          <cell r="X26" t="b">
            <v>1</v>
          </cell>
        </row>
        <row r="27">
          <cell r="X27" t="b">
            <v>1</v>
          </cell>
        </row>
        <row r="28">
          <cell r="X28" t="b">
            <v>1</v>
          </cell>
        </row>
        <row r="29">
          <cell r="X29" t="b">
            <v>1</v>
          </cell>
        </row>
        <row r="30">
          <cell r="X30" t="b">
            <v>1</v>
          </cell>
        </row>
        <row r="31">
          <cell r="X31" t="b">
            <v>1</v>
          </cell>
        </row>
        <row r="32">
          <cell r="X32" t="b">
            <v>1</v>
          </cell>
        </row>
        <row r="33">
          <cell r="X33" t="b">
            <v>1</v>
          </cell>
        </row>
        <row r="34">
          <cell r="X34" t="b">
            <v>1</v>
          </cell>
        </row>
        <row r="35">
          <cell r="X35" t="b">
            <v>1</v>
          </cell>
        </row>
        <row r="36">
          <cell r="X36" t="b">
            <v>1</v>
          </cell>
        </row>
        <row r="37">
          <cell r="X37" t="b">
            <v>1</v>
          </cell>
        </row>
        <row r="38">
          <cell r="X38" t="b">
            <v>1</v>
          </cell>
        </row>
        <row r="39">
          <cell r="X39" t="b">
            <v>1</v>
          </cell>
        </row>
        <row r="40">
          <cell r="X40" t="b">
            <v>1</v>
          </cell>
        </row>
        <row r="41">
          <cell r="X41" t="b">
            <v>1</v>
          </cell>
        </row>
        <row r="42">
          <cell r="X42" t="b">
            <v>1</v>
          </cell>
        </row>
        <row r="43">
          <cell r="X43" t="b">
            <v>1</v>
          </cell>
        </row>
        <row r="44">
          <cell r="X44" t="b">
            <v>1</v>
          </cell>
        </row>
      </sheetData>
      <sheetData sheetId="1"/>
      <sheetData sheetId="2"/>
      <sheetData sheetId="3"/>
      <sheetData sheetId="4">
        <row r="3">
          <cell r="C3"/>
          <cell r="E3">
            <v>46273</v>
          </cell>
        </row>
        <row r="4">
          <cell r="C4"/>
          <cell r="E4">
            <v>46274</v>
          </cell>
        </row>
        <row r="5">
          <cell r="C5"/>
          <cell r="E5">
            <v>46275</v>
          </cell>
        </row>
        <row r="6">
          <cell r="C6"/>
          <cell r="E6">
            <v>46276</v>
          </cell>
        </row>
        <row r="7">
          <cell r="C7"/>
          <cell r="E7">
            <v>46286</v>
          </cell>
        </row>
        <row r="8">
          <cell r="C8"/>
          <cell r="E8">
            <v>46287</v>
          </cell>
        </row>
        <row r="9">
          <cell r="C9"/>
          <cell r="E9">
            <v>46288</v>
          </cell>
        </row>
        <row r="10">
          <cell r="C10"/>
          <cell r="E10">
            <v>46289</v>
          </cell>
        </row>
        <row r="11">
          <cell r="C11"/>
          <cell r="E11">
            <v>46290</v>
          </cell>
        </row>
        <row r="12">
          <cell r="C12"/>
          <cell r="E12" t="str">
            <v>5 Oktober 2026</v>
          </cell>
        </row>
        <row r="13">
          <cell r="C13"/>
          <cell r="E13" t="str">
            <v>6 Oktober 2026</v>
          </cell>
        </row>
        <row r="14">
          <cell r="C14"/>
          <cell r="E14" t="str">
            <v>7 Oktober 2026</v>
          </cell>
        </row>
        <row r="15">
          <cell r="C15"/>
          <cell r="E15" t="str">
            <v>8 Oktober 2026</v>
          </cell>
        </row>
        <row r="16">
          <cell r="C16"/>
          <cell r="E16" t="str">
            <v>9 Oktober 2026</v>
          </cell>
        </row>
        <row r="17">
          <cell r="C17"/>
          <cell r="E17" t="str">
            <v>12 Oktober 2026</v>
          </cell>
        </row>
        <row r="18">
          <cell r="C18"/>
          <cell r="E18" t="str">
            <v>13 Oktober 2026</v>
          </cell>
        </row>
        <row r="19">
          <cell r="C19"/>
          <cell r="E19" t="str">
            <v>14 Oktober 2026</v>
          </cell>
        </row>
        <row r="20">
          <cell r="C20"/>
          <cell r="E20" t="str">
            <v>15 Oktober 2026</v>
          </cell>
        </row>
        <row r="21">
          <cell r="C21"/>
          <cell r="E21" t="str">
            <v>16 Oktober 2026</v>
          </cell>
        </row>
        <row r="22">
          <cell r="C22"/>
          <cell r="E22" t="str">
            <v>19 Oktober 2026</v>
          </cell>
        </row>
        <row r="23">
          <cell r="C23"/>
          <cell r="E23" t="str">
            <v>20 Oktober 2026</v>
          </cell>
        </row>
        <row r="24">
          <cell r="C24"/>
          <cell r="E24" t="str">
            <v>21 Oktober 2026</v>
          </cell>
        </row>
        <row r="25">
          <cell r="C25"/>
          <cell r="E25" t="str">
            <v>22 Oktober 2026</v>
          </cell>
        </row>
        <row r="26">
          <cell r="C26"/>
          <cell r="E26" t="str">
            <v>23 Oktober 2026</v>
          </cell>
        </row>
        <row r="27">
          <cell r="C27"/>
          <cell r="E27" t="str">
            <v>24 Oktober 2026</v>
          </cell>
        </row>
        <row r="30">
          <cell r="C30"/>
        </row>
        <row r="31">
          <cell r="C31"/>
        </row>
        <row r="32">
          <cell r="C32"/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44"/>
  <sheetViews>
    <sheetView workbookViewId="0">
      <selection activeCell="A2" sqref="A2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19.42578125" bestFit="1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</cols>
  <sheetData>
    <row r="1" spans="1:2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>
      <c r="A2" s="8" cm="1">
        <f t="array" ref="A2:U44">_xlfn._xlws.FILTER('[2]STR-2026-8-2026-8'!$A:$U, ISNUMBER(SEARCH("Malang", '[2]STR-2026-8-2026-8'!$O:$O)), "")</f>
        <v>46265</v>
      </c>
      <c r="B2" s="9" t="str">
        <v xml:space="preserve">ADIPUTRO WIRASEJATI PT.                 </v>
      </c>
      <c r="C2" s="9" t="str">
        <v>A274622</v>
      </c>
      <c r="D2" s="9">
        <v>5101005001569</v>
      </c>
      <c r="E2" s="9" t="str">
        <v>SEDANG</v>
      </c>
      <c r="F2" s="9" t="str">
        <v>Tidak</v>
      </c>
      <c r="G2" s="9" t="str">
        <v>Tidak</v>
      </c>
      <c r="H2" s="9" t="str">
        <v>Tidak</v>
      </c>
      <c r="I2" s="9" t="str">
        <v>Perpajakan</v>
      </c>
      <c r="J2" s="9">
        <v>48</v>
      </c>
      <c r="K2" s="9">
        <v>1.33</v>
      </c>
      <c r="L2" s="9" t="str">
        <v>Perpajakan</v>
      </c>
      <c r="M2" s="9" t="str">
        <v xml:space="preserve">KC Malang Kawi                          </v>
      </c>
      <c r="N2" s="9" t="str">
        <v xml:space="preserve">KC Malang Kawi                          </v>
      </c>
      <c r="O2" s="9" t="str">
        <v xml:space="preserve">KANWIL MALANG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00336949 - Mochammad Al Farabi</v>
      </c>
      <c r="U2" s="9" t="str">
        <v>"-"</v>
      </c>
      <c r="V2" s="12" t="s">
        <v>24</v>
      </c>
      <c r="W2" s="13"/>
      <c r="X2" s="14" t="b">
        <f>[3]STR!$X2</f>
        <v>1</v>
      </c>
    </row>
    <row r="3" spans="1:26">
      <c r="A3" s="8">
        <v>46265</v>
      </c>
      <c r="B3" s="9" t="str">
        <v xml:space="preserve">AMAL JUM'AT MASJID AL MANAR             </v>
      </c>
      <c r="C3" s="9" t="str">
        <v>ACPMC89</v>
      </c>
      <c r="D3" s="9">
        <v>612901000004565</v>
      </c>
      <c r="E3" s="9" t="str">
        <v>SEDANG</v>
      </c>
      <c r="F3" s="9" t="str">
        <v>Tidak</v>
      </c>
      <c r="G3" s="9" t="str">
        <v>Tidak</v>
      </c>
      <c r="H3" s="9" t="str">
        <v>Tidak</v>
      </c>
      <c r="I3" s="9" t="str">
        <v>Perpajakan</v>
      </c>
      <c r="J3" s="9">
        <v>48</v>
      </c>
      <c r="K3" s="9">
        <v>41</v>
      </c>
      <c r="L3" s="9" t="str">
        <v>Perpajakan</v>
      </c>
      <c r="M3" s="9" t="str">
        <v xml:space="preserve">UNIT SAMBIREJO BANYUWANGI               </v>
      </c>
      <c r="N3" s="9" t="str">
        <v xml:space="preserve">KC Banyuwangi                           </v>
      </c>
      <c r="O3" s="9" t="str">
        <v xml:space="preserve">KANWIL MALANG   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90170665 - Mutiara Ayuningtyas</v>
      </c>
      <c r="U3" s="9" t="str">
        <v>"-"</v>
      </c>
      <c r="V3" s="12" t="s">
        <v>24</v>
      </c>
      <c r="W3" s="12"/>
      <c r="X3" s="14" t="b">
        <f>[3]STR!$X3</f>
        <v>1</v>
      </c>
    </row>
    <row r="4" spans="1:26">
      <c r="A4" s="8">
        <v>46265</v>
      </c>
      <c r="B4" s="9" t="str">
        <v xml:space="preserve">ANDIKA PRAYUDO                          </v>
      </c>
      <c r="C4" s="9" t="str">
        <v>AEUAW19</v>
      </c>
      <c r="D4" s="9">
        <v>652901034665539</v>
      </c>
      <c r="E4" s="9">
        <v>0</v>
      </c>
      <c r="F4" s="9" t="str">
        <v>Tidak</v>
      </c>
      <c r="G4" s="9" t="str">
        <v>Tidak</v>
      </c>
      <c r="H4" s="9">
        <v>0</v>
      </c>
      <c r="I4" s="9" t="str">
        <v>Jual Beli Rekening - E channel Trx</v>
      </c>
      <c r="J4" s="9">
        <v>33</v>
      </c>
      <c r="K4" s="9">
        <v>113</v>
      </c>
      <c r="L4" s="9" t="str">
        <v>Narkotika/Judi Online/Penipuan</v>
      </c>
      <c r="M4" s="9" t="str">
        <v xml:space="preserve">UNIT BANYUPUTIH SITUBONDO               </v>
      </c>
      <c r="N4" s="9" t="str">
        <v xml:space="preserve">KC Situbondo                            </v>
      </c>
      <c r="O4" s="9" t="str">
        <v xml:space="preserve">KANWIL MALANG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>
        <v>0</v>
      </c>
      <c r="U4" s="9" t="str">
        <v>"-"</v>
      </c>
      <c r="V4" s="12" t="s">
        <v>24</v>
      </c>
      <c r="W4" s="12"/>
      <c r="X4" s="14" t="b">
        <f>[3]STR!$X4</f>
        <v>1</v>
      </c>
    </row>
    <row r="5" spans="1:26">
      <c r="A5" s="8">
        <v>46265</v>
      </c>
      <c r="B5" s="9" t="str">
        <v xml:space="preserve">BINTANG PUTRI KARISMA                   </v>
      </c>
      <c r="C5" s="9" t="str">
        <v>BFH6079</v>
      </c>
      <c r="D5" s="9">
        <v>2101307308309</v>
      </c>
      <c r="E5" s="9" t="str">
        <v>SEDANG</v>
      </c>
      <c r="F5" s="9" t="str">
        <v>Tidak</v>
      </c>
      <c r="G5" s="9" t="str">
        <v>Tidak</v>
      </c>
      <c r="H5" s="9" t="str">
        <v>Tidak</v>
      </c>
      <c r="I5" s="9" t="str">
        <v>Perpajakan</v>
      </c>
      <c r="J5" s="9">
        <v>48</v>
      </c>
      <c r="K5" s="9">
        <v>41</v>
      </c>
      <c r="L5" s="9" t="str">
        <v>Perpajakan</v>
      </c>
      <c r="M5" s="9" t="str">
        <v xml:space="preserve">KC Jember                               </v>
      </c>
      <c r="N5" s="9" t="str">
        <v xml:space="preserve">KC Jember                               </v>
      </c>
      <c r="O5" s="9" t="str">
        <v xml:space="preserve">KANWIL MALANG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90185538 - Muhammad Fahikal Auz</v>
      </c>
      <c r="U5" s="9" t="str">
        <v>"-"</v>
      </c>
      <c r="V5" s="12" t="s">
        <v>24</v>
      </c>
      <c r="W5" s="12"/>
      <c r="X5" s="14" t="b">
        <f>[3]STR!$X5</f>
        <v>1</v>
      </c>
      <c r="Z5" t="s">
        <v>25</v>
      </c>
    </row>
    <row r="6" spans="1:26">
      <c r="A6" s="8">
        <v>46265</v>
      </c>
      <c r="B6" s="9" t="str">
        <v xml:space="preserve">BUDIANTO                                </v>
      </c>
      <c r="C6" s="9" t="str">
        <v>BHX6448</v>
      </c>
      <c r="D6" s="9">
        <v>17701027578532</v>
      </c>
      <c r="E6" s="9">
        <v>0</v>
      </c>
      <c r="F6" s="9" t="str">
        <v>Tidak</v>
      </c>
      <c r="G6" s="9" t="str">
        <v>Tidak</v>
      </c>
      <c r="H6" s="9" t="str">
        <v>Tidak</v>
      </c>
      <c r="I6" s="9" t="str">
        <v>Narkotika - Area Lapas</v>
      </c>
      <c r="J6" s="9">
        <v>34</v>
      </c>
      <c r="K6" s="9">
        <v>46</v>
      </c>
      <c r="L6" s="9" t="str">
        <v>Narkotika</v>
      </c>
      <c r="M6" s="9" t="str">
        <v>KC Trenggalek</v>
      </c>
      <c r="N6" s="9" t="str">
        <v>KC Trenggalek</v>
      </c>
      <c r="O6" s="9" t="str">
        <v>KANWIL MALANG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90185538 - Muhammad Fahikal Auz</v>
      </c>
      <c r="U6" s="9" t="str">
        <v>"-"</v>
      </c>
      <c r="V6" s="12" t="s">
        <v>26</v>
      </c>
      <c r="W6" s="12"/>
      <c r="X6" s="14" t="b">
        <f>[3]STR!$X6</f>
        <v>1</v>
      </c>
    </row>
    <row r="7" spans="1:26">
      <c r="A7" s="8">
        <v>46265</v>
      </c>
      <c r="B7" s="9" t="str">
        <v xml:space="preserve">CV RIZQY MAJU MAKMUR SEJAHTERA          </v>
      </c>
      <c r="C7" s="9" t="str">
        <v>CA62663</v>
      </c>
      <c r="D7" s="9">
        <v>6501001303308</v>
      </c>
      <c r="E7" s="9" t="str">
        <v>SEDANG</v>
      </c>
      <c r="F7" s="9" t="str">
        <v>Tidak</v>
      </c>
      <c r="G7" s="9" t="str">
        <v>Tidak</v>
      </c>
      <c r="H7" s="9" t="str">
        <v>Tidak</v>
      </c>
      <c r="I7" s="9" t="str">
        <v>Perpajakan</v>
      </c>
      <c r="J7" s="9">
        <v>50</v>
      </c>
      <c r="K7" s="9">
        <v>41</v>
      </c>
      <c r="L7" s="9" t="str">
        <v>Perpajakan</v>
      </c>
      <c r="M7" s="9" t="str">
        <v xml:space="preserve">KC Pasuruan                             </v>
      </c>
      <c r="N7" s="9" t="str">
        <v xml:space="preserve">KC Pasuruan                             </v>
      </c>
      <c r="O7" s="9" t="str">
        <v xml:space="preserve">KANWIL MALANG                           </v>
      </c>
      <c r="P7" s="9">
        <v>0</v>
      </c>
      <c r="Q7" s="9">
        <v>0</v>
      </c>
      <c r="R7" s="9" t="str">
        <v>Belum TL</v>
      </c>
      <c r="S7" s="9" t="str">
        <v>Belum TL</v>
      </c>
      <c r="T7" s="9" t="str">
        <v>90185538 - Muhammad Fahikal Auz</v>
      </c>
      <c r="U7" s="9" t="str">
        <v>"-"</v>
      </c>
      <c r="V7" s="12" t="s">
        <v>24</v>
      </c>
      <c r="W7" s="12"/>
      <c r="X7" s="14" t="b">
        <f>[3]STR!$X7</f>
        <v>1</v>
      </c>
    </row>
    <row r="8" spans="1:26">
      <c r="A8" s="8">
        <v>46265</v>
      </c>
      <c r="B8" s="9" t="str">
        <v xml:space="preserve">BUKIT ANUGERAH SENTOSA                  </v>
      </c>
      <c r="C8" s="9" t="str">
        <v>CG39577</v>
      </c>
      <c r="D8" s="9">
        <v>51801000336305</v>
      </c>
      <c r="E8" s="9" t="str">
        <v>SEDANG</v>
      </c>
      <c r="F8" s="9" t="str">
        <v>Tidak</v>
      </c>
      <c r="G8" s="9" t="str">
        <v>Tidak</v>
      </c>
      <c r="H8" s="9" t="str">
        <v>Tidak</v>
      </c>
      <c r="I8" s="9" t="str">
        <v>Perpajakan</v>
      </c>
      <c r="J8" s="9">
        <v>48</v>
      </c>
      <c r="K8" s="9">
        <v>41</v>
      </c>
      <c r="L8" s="9" t="str">
        <v>Perpajakan</v>
      </c>
      <c r="M8" s="9" t="str">
        <v xml:space="preserve">KCP Pandaan                             </v>
      </c>
      <c r="N8" s="9" t="str">
        <v xml:space="preserve">KC Pasuruan                             </v>
      </c>
      <c r="O8" s="9" t="str">
        <v xml:space="preserve">KANWIL MALANG                           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90185537 - Moh.Khoerul Fajar Ar</v>
      </c>
      <c r="U8" s="9" t="str">
        <v>"-"</v>
      </c>
      <c r="V8" s="12" t="s">
        <v>24</v>
      </c>
      <c r="W8" s="12"/>
      <c r="X8" s="14" t="b">
        <f>[3]STR!$X8</f>
        <v>1</v>
      </c>
    </row>
    <row r="9" spans="1:26">
      <c r="A9" s="8">
        <v>46265</v>
      </c>
      <c r="B9" s="9" t="str">
        <v xml:space="preserve">CV FAJAR TOBACCO                        </v>
      </c>
      <c r="C9" s="9" t="str">
        <v>CJ57325</v>
      </c>
      <c r="D9" s="9">
        <v>51801000458563</v>
      </c>
      <c r="E9" s="9" t="str">
        <v>SEDANG</v>
      </c>
      <c r="F9" s="9" t="str">
        <v>Tidak</v>
      </c>
      <c r="G9" s="9" t="str">
        <v>Tidak</v>
      </c>
      <c r="H9" s="9" t="str">
        <v>Tidak</v>
      </c>
      <c r="I9" s="9" t="str">
        <v>Perpajakan</v>
      </c>
      <c r="J9" s="9">
        <v>51</v>
      </c>
      <c r="K9" s="9">
        <v>41</v>
      </c>
      <c r="L9" s="9" t="str">
        <v>Perpajakan</v>
      </c>
      <c r="M9" s="9" t="str">
        <v xml:space="preserve">KCP Pandaan                             </v>
      </c>
      <c r="N9" s="9" t="str">
        <v xml:space="preserve">KC Pasuruan                             </v>
      </c>
      <c r="O9" s="9" t="str">
        <v xml:space="preserve">KANWIL MALANG   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 t="str">
        <v>90171841 - Rifqi Aziz</v>
      </c>
      <c r="U9" s="9" t="str">
        <v>"-"</v>
      </c>
      <c r="V9" s="12" t="s">
        <v>24</v>
      </c>
      <c r="W9" s="12"/>
      <c r="X9" s="14" t="b">
        <f>[3]STR!$X9</f>
        <v>1</v>
      </c>
    </row>
    <row r="10" spans="1:26">
      <c r="A10" s="8">
        <v>46265</v>
      </c>
      <c r="B10" s="9" t="str">
        <v xml:space="preserve">CV TENTREM JAYA SENTOSA                 </v>
      </c>
      <c r="C10" s="9" t="str">
        <v>CR64018</v>
      </c>
      <c r="D10" s="9">
        <v>11001002726560</v>
      </c>
      <c r="E10" s="9" t="str">
        <v>SEDANG</v>
      </c>
      <c r="F10" s="9" t="str">
        <v>Tidak</v>
      </c>
      <c r="G10" s="9" t="str">
        <v>Tidak</v>
      </c>
      <c r="H10" s="9" t="str">
        <v>Tidak</v>
      </c>
      <c r="I10" s="9" t="str">
        <v>Perpajakan</v>
      </c>
      <c r="J10" s="9">
        <v>50</v>
      </c>
      <c r="K10" s="9">
        <v>41</v>
      </c>
      <c r="L10" s="9" t="str">
        <v>Perpajakan</v>
      </c>
      <c r="M10" s="9" t="str">
        <v xml:space="preserve">KC Tulungagung                          </v>
      </c>
      <c r="N10" s="9" t="str">
        <v xml:space="preserve">KC Tulungagung                          </v>
      </c>
      <c r="O10" s="9" t="str">
        <v xml:space="preserve">KANWIL MALANG   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 t="str">
        <v>90185538 - Muhammad Fahikal Auz</v>
      </c>
      <c r="U10" s="9" t="str">
        <v>"-"</v>
      </c>
      <c r="V10" s="12" t="s">
        <v>24</v>
      </c>
      <c r="W10" s="12"/>
      <c r="X10" s="14" t="b">
        <f>[3]STR!$X10</f>
        <v>1</v>
      </c>
    </row>
    <row r="11" spans="1:26">
      <c r="A11" s="8">
        <v>46265</v>
      </c>
      <c r="B11" s="9" t="str">
        <v xml:space="preserve">DJAIMAN                                 </v>
      </c>
      <c r="C11" s="9" t="str">
        <v>DALX370</v>
      </c>
      <c r="D11" s="9">
        <v>640201039747538</v>
      </c>
      <c r="E11" s="9" t="str">
        <v>SEDANG</v>
      </c>
      <c r="F11" s="9" t="str">
        <v>Ya</v>
      </c>
      <c r="G11" s="9" t="str">
        <v>Tidak</v>
      </c>
      <c r="H11" s="9" t="str">
        <v>Tidak</v>
      </c>
      <c r="I11" s="9" t="str">
        <v>Narkotika - Area Lapas</v>
      </c>
      <c r="J11" s="9">
        <v>50</v>
      </c>
      <c r="K11" s="9">
        <v>46</v>
      </c>
      <c r="L11" s="9" t="str">
        <v>Narkotika</v>
      </c>
      <c r="M11" s="9" t="str">
        <v>UNIT SUMBERMANJING MLG MARTA</v>
      </c>
      <c r="N11" s="9" t="str">
        <v>KC Malang Martadinata</v>
      </c>
      <c r="O11" s="9" t="str">
        <v>KANWIL MALANG</v>
      </c>
      <c r="P11" s="9">
        <v>0</v>
      </c>
      <c r="Q11" s="9">
        <v>0</v>
      </c>
      <c r="R11" s="9" t="str">
        <v>Belum TL</v>
      </c>
      <c r="S11" s="9" t="str">
        <v>Belum TL</v>
      </c>
      <c r="T11" s="9" t="str">
        <v>90186790 - Muhammad Alfin Farha</v>
      </c>
      <c r="U11" s="9" t="str">
        <v>"-"</v>
      </c>
      <c r="V11" s="12" t="s">
        <v>26</v>
      </c>
      <c r="W11" s="12"/>
      <c r="X11" s="14" t="b">
        <f>[3]STR!$X11</f>
        <v>1</v>
      </c>
    </row>
    <row r="12" spans="1:26">
      <c r="A12" s="8">
        <v>46265</v>
      </c>
      <c r="B12" s="9" t="str">
        <v xml:space="preserve">DELLY INDRA SETIAWAN                    </v>
      </c>
      <c r="C12" s="9" t="str">
        <v>DTZ8649</v>
      </c>
      <c r="D12" s="9">
        <v>766701006801534</v>
      </c>
      <c r="E12" s="9" t="str">
        <v>SEDANG</v>
      </c>
      <c r="F12" s="9" t="str">
        <v>Tidak</v>
      </c>
      <c r="G12" s="9" t="str">
        <v>Tidak</v>
      </c>
      <c r="H12" s="9" t="str">
        <v>Tidak</v>
      </c>
      <c r="I12" s="9" t="str">
        <v>Prostitusi</v>
      </c>
      <c r="J12" s="9">
        <v>46</v>
      </c>
      <c r="K12" s="9">
        <v>104</v>
      </c>
      <c r="L12" s="9" t="str">
        <v>Prostitusi</v>
      </c>
      <c r="M12" s="9" t="str">
        <v xml:space="preserve">UNIT MLILIR MADIUN                      </v>
      </c>
      <c r="N12" s="9" t="str">
        <v xml:space="preserve">KC Madiun                               </v>
      </c>
      <c r="O12" s="9" t="str">
        <v xml:space="preserve">KANWIL MALANG   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 t="str">
        <v>90186790 - Muhammad Alfin Farha</v>
      </c>
      <c r="U12" s="9" t="str">
        <v>"-"</v>
      </c>
      <c r="V12" s="12" t="s">
        <v>24</v>
      </c>
      <c r="W12" s="12"/>
      <c r="X12" s="14" t="b">
        <f>[3]STR!$X12</f>
        <v>1</v>
      </c>
    </row>
    <row r="13" spans="1:26">
      <c r="A13" s="8">
        <v>46265</v>
      </c>
      <c r="B13" s="9" t="str">
        <v xml:space="preserve">GUNADI                                  </v>
      </c>
      <c r="C13" s="9" t="str">
        <v>G025100</v>
      </c>
      <c r="D13" s="9">
        <v>5101483199504</v>
      </c>
      <c r="E13" s="9" t="str">
        <v>SEDANG</v>
      </c>
      <c r="F13" s="9" t="str">
        <v>Tidak</v>
      </c>
      <c r="G13" s="9" t="str">
        <v>Tidak</v>
      </c>
      <c r="H13" s="9" t="str">
        <v>Tidak</v>
      </c>
      <c r="I13" s="9" t="str">
        <v>Perpajakan</v>
      </c>
      <c r="J13" s="9">
        <v>60</v>
      </c>
      <c r="K13" s="9">
        <v>1.33</v>
      </c>
      <c r="L13" s="9" t="str">
        <v>Perpajakan</v>
      </c>
      <c r="M13" s="9" t="str">
        <v xml:space="preserve">KC Malang Kawi                          </v>
      </c>
      <c r="N13" s="9" t="str">
        <v xml:space="preserve">KC Malang Kawi                          </v>
      </c>
      <c r="O13" s="9" t="str">
        <v xml:space="preserve">KANWIL MALANG                           </v>
      </c>
      <c r="P13" s="9">
        <v>0</v>
      </c>
      <c r="Q13" s="9">
        <v>0</v>
      </c>
      <c r="R13" s="9" t="str">
        <v>Belum TL</v>
      </c>
      <c r="S13" s="9" t="str">
        <v>Belum TL</v>
      </c>
      <c r="T13" s="9" t="str">
        <v>90186790 - Muhammad Alfin Farha</v>
      </c>
      <c r="U13" s="9" t="str">
        <v>"-"</v>
      </c>
      <c r="V13" s="12" t="s">
        <v>24</v>
      </c>
      <c r="W13" s="12"/>
      <c r="X13" s="14" t="b">
        <f>[3]STR!$X13</f>
        <v>1</v>
      </c>
    </row>
    <row r="14" spans="1:26">
      <c r="A14" s="8">
        <v>46265</v>
      </c>
      <c r="B14" s="9" t="str">
        <v xml:space="preserve">GRAMITRAMA BATTERY                      </v>
      </c>
      <c r="C14" s="9" t="str">
        <v>GV88489</v>
      </c>
      <c r="D14" s="9">
        <v>51601188888309</v>
      </c>
      <c r="E14" s="9">
        <v>0</v>
      </c>
      <c r="F14" s="9" t="str">
        <v>Tidak</v>
      </c>
      <c r="G14" s="9" t="str">
        <v>Tidak</v>
      </c>
      <c r="H14" s="9" t="str">
        <v>Tidak</v>
      </c>
      <c r="I14" s="9" t="str">
        <v>Perpajakan</v>
      </c>
      <c r="J14" s="9">
        <v>33</v>
      </c>
      <c r="K14" s="9">
        <v>41</v>
      </c>
      <c r="L14" s="9" t="str">
        <v>Perpajakan</v>
      </c>
      <c r="M14" s="9" t="str">
        <v xml:space="preserve">KC Kepanjen                             </v>
      </c>
      <c r="N14" s="9" t="str">
        <v xml:space="preserve">KC Kepanjen                             </v>
      </c>
      <c r="O14" s="9" t="str">
        <v xml:space="preserve">KANWIL MALANG                           </v>
      </c>
      <c r="P14" s="9">
        <v>0</v>
      </c>
      <c r="Q14" s="9">
        <v>0</v>
      </c>
      <c r="R14" s="9" t="str">
        <v>Belum TL</v>
      </c>
      <c r="S14" s="9" t="str">
        <v>Belum TL</v>
      </c>
      <c r="T14" s="9" t="str">
        <v>90150130 - Intan Aida Pratiwi</v>
      </c>
      <c r="U14" s="9" t="str">
        <v>"-"</v>
      </c>
      <c r="V14" s="12" t="s">
        <v>26</v>
      </c>
      <c r="W14" s="12"/>
      <c r="X14" s="14" t="b">
        <f>[3]STR!$X14</f>
        <v>1</v>
      </c>
    </row>
    <row r="15" spans="1:26">
      <c r="A15" s="8">
        <v>46265</v>
      </c>
      <c r="B15" s="9" t="str">
        <v xml:space="preserve">LILIANA WINOTO                          </v>
      </c>
      <c r="C15" s="9" t="str">
        <v>L353117</v>
      </c>
      <c r="D15" s="9">
        <v>3301024333505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Perpajakan</v>
      </c>
      <c r="J15" s="9">
        <v>59</v>
      </c>
      <c r="K15" s="9">
        <v>1.33</v>
      </c>
      <c r="L15" s="9" t="str">
        <v>Perpajakan</v>
      </c>
      <c r="M15" s="9" t="str">
        <v xml:space="preserve">KC Kediri                               </v>
      </c>
      <c r="N15" s="9" t="str">
        <v xml:space="preserve">KC Kediri                               </v>
      </c>
      <c r="O15" s="9" t="str">
        <v xml:space="preserve">KANWIL MALANG                           </v>
      </c>
      <c r="P15" s="9">
        <v>0</v>
      </c>
      <c r="Q15" s="9">
        <v>0</v>
      </c>
      <c r="R15" s="9" t="str">
        <v>Belum TL</v>
      </c>
      <c r="S15" s="9" t="str">
        <v>Belum TL</v>
      </c>
      <c r="T15" s="9" t="str">
        <v>90185538 - Muhammad Fahikal Auz</v>
      </c>
      <c r="U15" s="9" t="str">
        <v>"-"</v>
      </c>
      <c r="V15" s="12" t="s">
        <v>26</v>
      </c>
      <c r="W15" s="12"/>
      <c r="X15" s="14" t="b">
        <f>[3]STR!$X15</f>
        <v>1</v>
      </c>
    </row>
    <row r="16" spans="1:26">
      <c r="A16" s="8">
        <v>46265</v>
      </c>
      <c r="B16" s="9" t="str">
        <v xml:space="preserve">MUHAMAD FIRMAN PUTRA MAULANA            </v>
      </c>
      <c r="C16" s="9" t="str">
        <v>MEMHZ61</v>
      </c>
      <c r="D16" s="9">
        <v>626501005766506</v>
      </c>
      <c r="E16" s="9">
        <v>0</v>
      </c>
      <c r="F16" s="9" t="str">
        <v>Tidak</v>
      </c>
      <c r="G16" s="9" t="str">
        <v>Tidak</v>
      </c>
      <c r="H16" s="9">
        <v>0</v>
      </c>
      <c r="I16" s="9" t="str">
        <v>Jual Beli Rekening - E channel Trx</v>
      </c>
      <c r="J16" s="9">
        <v>33</v>
      </c>
      <c r="K16" s="9">
        <v>113</v>
      </c>
      <c r="L16" s="9" t="str">
        <v>Narkotika/Judi Online/Penipuan</v>
      </c>
      <c r="M16" s="9" t="str">
        <v xml:space="preserve">UNIT PELAS KEDIRI                       </v>
      </c>
      <c r="N16" s="9" t="str">
        <v xml:space="preserve">KC Kediri                               </v>
      </c>
      <c r="O16" s="9" t="str">
        <v xml:space="preserve">KANWIL MALANG                           </v>
      </c>
      <c r="P16" s="9">
        <v>0</v>
      </c>
      <c r="Q16" s="9">
        <v>0</v>
      </c>
      <c r="R16" s="9" t="str">
        <v>Belum TL</v>
      </c>
      <c r="S16" s="9" t="str">
        <v>Belum TL</v>
      </c>
      <c r="T16" s="9">
        <v>0</v>
      </c>
      <c r="U16" s="9" t="str">
        <v>"-"</v>
      </c>
      <c r="V16" s="12" t="s">
        <v>26</v>
      </c>
      <c r="W16" s="12"/>
      <c r="X16" s="14" t="b">
        <f>[3]STR!$X16</f>
        <v>1</v>
      </c>
    </row>
    <row r="17" spans="1:24">
      <c r="A17" s="8">
        <v>46265</v>
      </c>
      <c r="B17" s="9" t="str">
        <v xml:space="preserve">RAKHMAT RAMDHAN IKHSAN PRAKOSO          </v>
      </c>
      <c r="C17" s="9" t="str">
        <v>RQWZ333</v>
      </c>
      <c r="D17" s="9">
        <v>216601888883567</v>
      </c>
      <c r="E17" s="9">
        <v>0</v>
      </c>
      <c r="F17" s="9" t="str">
        <v>Tidak</v>
      </c>
      <c r="G17" s="9" t="str">
        <v>Tidak</v>
      </c>
      <c r="H17" s="9" t="str">
        <v>Tidak</v>
      </c>
      <c r="I17" s="9" t="str">
        <v>Perpajakan</v>
      </c>
      <c r="J17" s="9">
        <v>34</v>
      </c>
      <c r="K17" s="9">
        <v>1.33</v>
      </c>
      <c r="L17" s="9" t="str">
        <v>Perpajakan</v>
      </c>
      <c r="M17" s="9" t="str">
        <v xml:space="preserve">KCP SAWOJAJAR                           </v>
      </c>
      <c r="N17" s="9" t="str">
        <v xml:space="preserve">KC Malang Sutoyo                        </v>
      </c>
      <c r="O17" s="9" t="str">
        <v xml:space="preserve">KANWIL MALANG                           </v>
      </c>
      <c r="P17" s="9">
        <v>0</v>
      </c>
      <c r="Q17" s="9">
        <v>0</v>
      </c>
      <c r="R17" s="9" t="str">
        <v>Belum TL</v>
      </c>
      <c r="S17" s="9" t="str">
        <v>Belum TL</v>
      </c>
      <c r="T17" s="9" t="str">
        <v>90171841 - Rifqi Aziz</v>
      </c>
      <c r="U17" s="9" t="str">
        <v>"-"</v>
      </c>
      <c r="V17" s="12" t="s">
        <v>24</v>
      </c>
      <c r="W17" s="12"/>
      <c r="X17" s="14" t="b">
        <f>[3]STR!$X17</f>
        <v>1</v>
      </c>
    </row>
    <row r="18" spans="1:24">
      <c r="A18" s="8">
        <v>46265</v>
      </c>
      <c r="B18" s="9" t="str">
        <v xml:space="preserve">SITI BINTARKIMUNA NY                    </v>
      </c>
      <c r="C18" s="9" t="str">
        <v>S759970</v>
      </c>
      <c r="D18" s="9">
        <v>5326590002125170</v>
      </c>
      <c r="E18" s="9" t="str">
        <v>TINGGI</v>
      </c>
      <c r="F18" s="9" t="str">
        <v>Tidak</v>
      </c>
      <c r="G18" s="9" t="str">
        <v>Ya</v>
      </c>
      <c r="H18" s="9" t="str">
        <v>Tidak</v>
      </c>
      <c r="I18" s="9" t="str">
        <v>Private or Priority Customer Investment</v>
      </c>
      <c r="J18" s="9">
        <v>93</v>
      </c>
      <c r="K18" s="9">
        <v>93</v>
      </c>
      <c r="L18" s="9" t="str">
        <v>Pasar Modal</v>
      </c>
      <c r="M18" s="9" t="str">
        <v xml:space="preserve">SLP MALANG                              </v>
      </c>
      <c r="N18" s="9" t="str">
        <v xml:space="preserve">KC Malang Kawi                          </v>
      </c>
      <c r="O18" s="9" t="str">
        <v xml:space="preserve">KANWIL MALANG                           </v>
      </c>
      <c r="P18" s="9">
        <v>0</v>
      </c>
      <c r="Q18" s="9">
        <v>0</v>
      </c>
      <c r="R18" s="9" t="str">
        <v>Belum TL</v>
      </c>
      <c r="S18" s="9" t="str">
        <v>Belum TL</v>
      </c>
      <c r="T18" s="9" t="str">
        <v>90170665 - Mutiara Ayuningtyas</v>
      </c>
      <c r="U18" s="9" t="str">
        <v>"-"</v>
      </c>
      <c r="V18" s="12" t="s">
        <v>24</v>
      </c>
      <c r="W18" s="12"/>
      <c r="X18" s="14" t="b">
        <f>[3]STR!$X18</f>
        <v>1</v>
      </c>
    </row>
    <row r="19" spans="1:24">
      <c r="A19" s="8">
        <v>46265</v>
      </c>
      <c r="B19" s="9" t="str">
        <v xml:space="preserve">VANESA ANGEL ROSANANTA                  </v>
      </c>
      <c r="C19" s="9" t="str">
        <v>V829146</v>
      </c>
      <c r="D19" s="9">
        <v>387801009518509</v>
      </c>
      <c r="E19" s="9" t="str">
        <v>SEDANG</v>
      </c>
      <c r="F19" s="9" t="str">
        <v>Tidak</v>
      </c>
      <c r="G19" s="9" t="str">
        <v>Tidak</v>
      </c>
      <c r="H19" s="9" t="str">
        <v>Tidak</v>
      </c>
      <c r="I19" s="9" t="str">
        <v>Perpajakan</v>
      </c>
      <c r="J19" s="9">
        <v>48</v>
      </c>
      <c r="K19" s="9">
        <v>41</v>
      </c>
      <c r="L19" s="9" t="str">
        <v>Perpajakan</v>
      </c>
      <c r="M19" s="9" t="str">
        <v xml:space="preserve">UNIT PARANG MAGETAN                     </v>
      </c>
      <c r="N19" s="9" t="str">
        <v xml:space="preserve">KC Magetan                              </v>
      </c>
      <c r="O19" s="9" t="str">
        <v xml:space="preserve">KANWIL MALANG                           </v>
      </c>
      <c r="P19" s="9">
        <v>0</v>
      </c>
      <c r="Q19" s="9">
        <v>0</v>
      </c>
      <c r="R19" s="9" t="str">
        <v>Belum TL</v>
      </c>
      <c r="S19" s="9" t="str">
        <v>Belum TL</v>
      </c>
      <c r="T19" s="9" t="str">
        <v>90185537 - Moh.Khoerul Fajar Ar</v>
      </c>
      <c r="U19" s="9" t="str">
        <v>"-"</v>
      </c>
      <c r="V19" s="12" t="s">
        <v>26</v>
      </c>
      <c r="W19" s="12"/>
      <c r="X19" s="14" t="b">
        <f>[3]STR!$X19</f>
        <v>1</v>
      </c>
    </row>
    <row r="20" spans="1:24">
      <c r="A20" s="8">
        <v>46265</v>
      </c>
      <c r="B20" s="9" t="str">
        <v xml:space="preserve">EKO CAHYO SAPUTRO                       </v>
      </c>
      <c r="C20" s="9" t="str">
        <v>EAY9464</v>
      </c>
      <c r="D20" s="9">
        <v>644901000592500</v>
      </c>
      <c r="E20" s="9" t="str">
        <v>SEDANG</v>
      </c>
      <c r="F20" s="9" t="str">
        <v>Tidak</v>
      </c>
      <c r="G20" s="9" t="str">
        <v>Tidak</v>
      </c>
      <c r="H20" s="9" t="str">
        <v>Tidak</v>
      </c>
      <c r="I20" s="9" t="str">
        <v>Perikanan dan Kelautan</v>
      </c>
      <c r="J20" s="9">
        <v>48</v>
      </c>
      <c r="K20" s="9">
        <v>98</v>
      </c>
      <c r="L20" s="9" t="str">
        <v>Perikanan dan Kelautan</v>
      </c>
      <c r="M20" s="9" t="str">
        <v xml:space="preserve">UNIT TEGUHAN NGAWI                      </v>
      </c>
      <c r="N20" s="9" t="str">
        <v xml:space="preserve">KC Ngawi                                </v>
      </c>
      <c r="O20" s="9" t="str">
        <v xml:space="preserve">KANWIL MALANG                           </v>
      </c>
      <c r="P20" s="9" t="str">
        <v>Ya</v>
      </c>
      <c r="Q20" s="9">
        <v>0</v>
      </c>
      <c r="R20" s="9" t="str">
        <v>Done</v>
      </c>
      <c r="S20" s="9" t="str">
        <v>Belum TL</v>
      </c>
      <c r="T20" s="9" t="str">
        <v>00394520 - Frida Akbar Rani</v>
      </c>
      <c r="U20" s="9" t="str">
        <v>"-"</v>
      </c>
      <c r="V20" s="12" t="s">
        <v>26</v>
      </c>
      <c r="W20" s="12"/>
      <c r="X20" s="14" t="b">
        <f>[3]STR!$X20</f>
        <v>1</v>
      </c>
    </row>
    <row r="21" spans="1:24">
      <c r="A21" s="8">
        <v>46265</v>
      </c>
      <c r="B21" s="9" t="str">
        <v xml:space="preserve">DAVID SURJA SAPUTRA                     </v>
      </c>
      <c r="C21" s="9" t="str">
        <v>DFYX126</v>
      </c>
      <c r="D21" s="9">
        <v>702000239502</v>
      </c>
      <c r="E21" s="9">
        <v>0</v>
      </c>
      <c r="F21" s="9" t="str">
        <v>Tidak</v>
      </c>
      <c r="G21" s="9" t="str">
        <v>Tidak</v>
      </c>
      <c r="H21" s="9" t="str">
        <v>Tidak</v>
      </c>
      <c r="I21" s="9" t="str">
        <v>Perikanan dan Kelautan</v>
      </c>
      <c r="J21" s="9">
        <v>43</v>
      </c>
      <c r="K21" s="9">
        <v>98</v>
      </c>
      <c r="L21" s="9" t="str">
        <v>Perikanan dan Kelautan</v>
      </c>
      <c r="M21" s="9" t="str">
        <v xml:space="preserve">KC Banyuwangi                           </v>
      </c>
      <c r="N21" s="9" t="str">
        <v xml:space="preserve">KC Banyuwangi                           </v>
      </c>
      <c r="O21" s="9" t="str">
        <v xml:space="preserve">KANWIL MALANG                           </v>
      </c>
      <c r="P21" s="9" t="str">
        <v>Tidak</v>
      </c>
      <c r="Q21" s="9" t="str">
        <v>Tidak</v>
      </c>
      <c r="R21" s="9" t="str">
        <v>Done</v>
      </c>
      <c r="S21" s="9" t="str">
        <v>Pending Checker</v>
      </c>
      <c r="T21" s="9" t="str">
        <v>00394520 - Frida Akbar Rani</v>
      </c>
      <c r="U21" s="9" t="str">
        <v>"-"</v>
      </c>
      <c r="V21" s="12" t="s">
        <v>24</v>
      </c>
      <c r="W21" s="12"/>
      <c r="X21" s="14" t="b">
        <f>[3]STR!$X21</f>
        <v>1</v>
      </c>
    </row>
    <row r="22" spans="1:24">
      <c r="A22" s="8">
        <v>46265</v>
      </c>
      <c r="B22" s="9" t="str">
        <v xml:space="preserve">EMPAT MACAN ASIA                        </v>
      </c>
      <c r="C22" s="9" t="str">
        <v>EYV9064</v>
      </c>
      <c r="D22" s="9">
        <v>51601601602567</v>
      </c>
      <c r="E22" s="9">
        <v>0</v>
      </c>
      <c r="F22" s="9" t="str">
        <v>Tidak</v>
      </c>
      <c r="G22" s="9" t="str">
        <v>Tidak</v>
      </c>
      <c r="H22" s="9" t="str">
        <v>Tidak</v>
      </c>
      <c r="I22" s="9" t="str">
        <v>Perpajakan</v>
      </c>
      <c r="J22" s="9">
        <v>33</v>
      </c>
      <c r="K22" s="9">
        <v>41</v>
      </c>
      <c r="L22" s="9" t="str">
        <v>Perpajakan</v>
      </c>
      <c r="M22" s="9" t="str">
        <v xml:space="preserve">KC Kepanjen                             </v>
      </c>
      <c r="N22" s="9" t="str">
        <v xml:space="preserve">KC Kepanjen                             </v>
      </c>
      <c r="O22" s="9" t="str">
        <v xml:space="preserve">KANWIL MALANG                           </v>
      </c>
      <c r="P22" s="9" t="str">
        <v>Tidak</v>
      </c>
      <c r="Q22" s="9" t="str">
        <v>Tidak</v>
      </c>
      <c r="R22" s="9" t="str">
        <v>Done</v>
      </c>
      <c r="S22" s="9" t="str">
        <v>Approved</v>
      </c>
      <c r="T22" s="9" t="str">
        <v>90185537 - Moh.Khoerul Fajar Ar</v>
      </c>
      <c r="U22" s="9" t="str">
        <v>"-"</v>
      </c>
      <c r="V22" s="12" t="s">
        <v>26</v>
      </c>
      <c r="W22" s="12"/>
      <c r="X22" s="14" t="b">
        <f>[3]STR!$X22</f>
        <v>1</v>
      </c>
    </row>
    <row r="23" spans="1:24">
      <c r="A23" s="8">
        <v>46265</v>
      </c>
      <c r="B23" s="9" t="str">
        <v xml:space="preserve">GELANG EMAS                             </v>
      </c>
      <c r="C23" s="9" t="str">
        <v>GK86225</v>
      </c>
      <c r="D23" s="9">
        <v>5101013300567</v>
      </c>
      <c r="E23" s="9" t="str">
        <v>SEDANG</v>
      </c>
      <c r="F23" s="9" t="str">
        <v>Tidak</v>
      </c>
      <c r="G23" s="9" t="str">
        <v>Tidak</v>
      </c>
      <c r="H23" s="9" t="str">
        <v>Tidak</v>
      </c>
      <c r="I23" s="9" t="str">
        <v>Perpajakan</v>
      </c>
      <c r="J23" s="9">
        <v>48</v>
      </c>
      <c r="K23" s="9">
        <v>41</v>
      </c>
      <c r="L23" s="9" t="str">
        <v>Perpajakan</v>
      </c>
      <c r="M23" s="9" t="str">
        <v xml:space="preserve">KC Malang Kawi                          </v>
      </c>
      <c r="N23" s="9" t="str">
        <v xml:space="preserve">KC Malang Kawi                          </v>
      </c>
      <c r="O23" s="9" t="str">
        <v xml:space="preserve">KANWIL MALANG                           </v>
      </c>
      <c r="P23" s="9" t="str">
        <v>Tidak</v>
      </c>
      <c r="Q23" s="9" t="str">
        <v>Tidak</v>
      </c>
      <c r="R23" s="9" t="str">
        <v>Done</v>
      </c>
      <c r="S23" s="9" t="str">
        <v>Approved</v>
      </c>
      <c r="T23" s="9" t="str">
        <v>90185538 - Muhammad Fahikal Auz</v>
      </c>
      <c r="U23" s="9" t="str">
        <v>"-"</v>
      </c>
      <c r="V23" s="12" t="s">
        <v>24</v>
      </c>
      <c r="W23" s="12"/>
      <c r="X23" s="14" t="b">
        <f>[3]STR!$X23</f>
        <v>1</v>
      </c>
    </row>
    <row r="24" spans="1:24">
      <c r="A24" s="8">
        <v>46265</v>
      </c>
      <c r="B24" s="9" t="str">
        <v xml:space="preserve">KOPONTREN SIDOGIRI                      </v>
      </c>
      <c r="C24" s="9" t="str">
        <v>KFF0449</v>
      </c>
      <c r="D24" s="9">
        <v>6501001182566</v>
      </c>
      <c r="E24" s="9" t="str">
        <v>SEDANG</v>
      </c>
      <c r="F24" s="9" t="str">
        <v>Tidak</v>
      </c>
      <c r="G24" s="9" t="str">
        <v>Tidak</v>
      </c>
      <c r="H24" s="9" t="str">
        <v>Tidak</v>
      </c>
      <c r="I24" s="9" t="str">
        <v>Perpajakan</v>
      </c>
      <c r="J24" s="9">
        <v>50</v>
      </c>
      <c r="K24" s="9">
        <v>1.33</v>
      </c>
      <c r="L24" s="9" t="str">
        <v>Perpajakan</v>
      </c>
      <c r="M24" s="9" t="str">
        <v xml:space="preserve">KC Pasuruan                             </v>
      </c>
      <c r="N24" s="9" t="str">
        <v xml:space="preserve">KC Pasuruan                             </v>
      </c>
      <c r="O24" s="9" t="str">
        <v xml:space="preserve">KANWIL MALANG                           </v>
      </c>
      <c r="P24" s="9" t="str">
        <v>Tidak</v>
      </c>
      <c r="Q24" s="9" t="str">
        <v>Tidak</v>
      </c>
      <c r="R24" s="9" t="str">
        <v>Done</v>
      </c>
      <c r="S24" s="9" t="str">
        <v>Approved</v>
      </c>
      <c r="T24" s="9" t="str">
        <v>00394520 - Frida Akbar Rani</v>
      </c>
      <c r="U24" s="9" t="str">
        <v>"-"</v>
      </c>
      <c r="V24" s="12" t="s">
        <v>24</v>
      </c>
      <c r="W24" s="12"/>
      <c r="X24" s="14" t="b">
        <f>[3]STR!$X24</f>
        <v>1</v>
      </c>
    </row>
    <row r="25" spans="1:24">
      <c r="A25" s="8">
        <v>46265</v>
      </c>
      <c r="B25" s="9" t="str">
        <v xml:space="preserve">KHOIRUL ANHAR                           </v>
      </c>
      <c r="C25" s="9" t="str">
        <v>KDQ6630</v>
      </c>
      <c r="D25" s="9">
        <v>51801001064561</v>
      </c>
      <c r="E25" s="9" t="str">
        <v>TINGGI</v>
      </c>
      <c r="F25" s="9" t="str">
        <v>Tidak</v>
      </c>
      <c r="G25" s="9" t="str">
        <v>Tidak</v>
      </c>
      <c r="H25" s="9" t="str">
        <v>Tidak</v>
      </c>
      <c r="I25" s="9" t="str">
        <v>Perpajakan</v>
      </c>
      <c r="J25" s="9">
        <v>75</v>
      </c>
      <c r="K25" s="9">
        <v>1.33</v>
      </c>
      <c r="L25" s="9" t="str">
        <v>Perpajakan</v>
      </c>
      <c r="M25" s="9" t="str">
        <v xml:space="preserve">KCP Pandaan                             </v>
      </c>
      <c r="N25" s="9" t="str">
        <v xml:space="preserve">KC Pasuruan                             </v>
      </c>
      <c r="O25" s="9" t="str">
        <v xml:space="preserve">KANWIL MALANG                           </v>
      </c>
      <c r="P25" s="9" t="str">
        <v>Tidak</v>
      </c>
      <c r="Q25" s="9" t="str">
        <v>Tidak</v>
      </c>
      <c r="R25" s="9" t="str">
        <v>Done</v>
      </c>
      <c r="S25" s="9" t="str">
        <v>Approved</v>
      </c>
      <c r="T25" s="9" t="str">
        <v>90171841 - Rifqi Aziz</v>
      </c>
      <c r="U25" s="9" t="str">
        <v>"-"</v>
      </c>
      <c r="V25" s="12" t="s">
        <v>24</v>
      </c>
      <c r="W25" s="12"/>
      <c r="X25" s="14" t="b">
        <f>[3]STR!$X25</f>
        <v>1</v>
      </c>
    </row>
    <row r="26" spans="1:24">
      <c r="A26" s="8">
        <v>46265</v>
      </c>
      <c r="B26" s="9" t="str">
        <v xml:space="preserve">IMAM HANAFI                             </v>
      </c>
      <c r="C26" s="9" t="str">
        <v>ICT3541</v>
      </c>
      <c r="D26" s="9">
        <v>321201041256537</v>
      </c>
      <c r="E26" s="9" t="str">
        <v>SEDANG</v>
      </c>
      <c r="F26" s="9" t="str">
        <v>Ya</v>
      </c>
      <c r="G26" s="9" t="str">
        <v>Tidak</v>
      </c>
      <c r="H26" s="9" t="str">
        <v>Tidak</v>
      </c>
      <c r="I26" s="9" t="str">
        <v>Pencurian Rekening</v>
      </c>
      <c r="J26" s="9">
        <v>49</v>
      </c>
      <c r="K26" s="9">
        <v>59</v>
      </c>
      <c r="L26" s="9" t="str">
        <v>Perbankan</v>
      </c>
      <c r="M26" s="9" t="str">
        <v xml:space="preserve">UNIT DOLOPO MADIUN                      </v>
      </c>
      <c r="N26" s="9" t="str">
        <v xml:space="preserve">KC Madiun                               </v>
      </c>
      <c r="O26" s="9" t="str">
        <v xml:space="preserve">KANWIL MALANG                           </v>
      </c>
      <c r="P26" s="9" t="str">
        <v>Tidak</v>
      </c>
      <c r="Q26" s="9" t="str">
        <v>Tidak</v>
      </c>
      <c r="R26" s="9" t="str">
        <v>Done</v>
      </c>
      <c r="S26" s="9" t="str">
        <v>Approved</v>
      </c>
      <c r="T26" s="9" t="str">
        <v>00394520 - Frida Akbar Rani</v>
      </c>
      <c r="U26" s="9" t="str">
        <v>"-"</v>
      </c>
      <c r="V26" s="12" t="s">
        <v>24</v>
      </c>
      <c r="W26" s="12"/>
      <c r="X26" s="14" t="b">
        <f>[3]STR!$X26</f>
        <v>1</v>
      </c>
    </row>
    <row r="27" spans="1:24">
      <c r="A27" s="8">
        <v>46265</v>
      </c>
      <c r="B27" s="9" t="str">
        <v xml:space="preserve">AMARTA WISESA                           </v>
      </c>
      <c r="C27" s="9" t="str">
        <v>ACGLL30</v>
      </c>
      <c r="D27" s="9">
        <v>34401002514304</v>
      </c>
      <c r="E27" s="9" t="str">
        <v>SEDANG</v>
      </c>
      <c r="F27" s="9" t="str">
        <v>Tidak</v>
      </c>
      <c r="G27" s="9" t="str">
        <v>Tidak</v>
      </c>
      <c r="H27" s="9" t="str">
        <v>Tidak</v>
      </c>
      <c r="I27" s="9" t="str">
        <v>Perpajakan</v>
      </c>
      <c r="J27" s="9">
        <v>48</v>
      </c>
      <c r="K27" s="9">
        <v>41</v>
      </c>
      <c r="L27" s="9" t="str">
        <v>Perpajakan</v>
      </c>
      <c r="M27" s="9" t="str">
        <v xml:space="preserve">KC Malang Martadinata                   </v>
      </c>
      <c r="N27" s="9" t="str">
        <v xml:space="preserve">KC Malang Martadinata                   </v>
      </c>
      <c r="O27" s="9" t="str">
        <v xml:space="preserve">KANWIL MALANG                           </v>
      </c>
      <c r="P27" s="9" t="str">
        <v>Tidak</v>
      </c>
      <c r="Q27" s="9" t="str">
        <v>Tidak</v>
      </c>
      <c r="R27" s="9" t="str">
        <v>Done</v>
      </c>
      <c r="S27" s="9" t="str">
        <v>Approved</v>
      </c>
      <c r="T27" s="9" t="str">
        <v>00394521 - Muhammad Hibbanduta</v>
      </c>
      <c r="U27" s="9" t="str">
        <v>"-"</v>
      </c>
      <c r="V27" s="12" t="s">
        <v>26</v>
      </c>
      <c r="W27" s="12"/>
      <c r="X27" s="14" t="b">
        <f>[3]STR!$X27</f>
        <v>1</v>
      </c>
    </row>
    <row r="28" spans="1:24">
      <c r="A28" s="8">
        <v>46265</v>
      </c>
      <c r="B28" s="9" t="str">
        <v xml:space="preserve">BRITS INDONESIA BANDUNG                 </v>
      </c>
      <c r="C28" s="9" t="str">
        <v>BHV1485</v>
      </c>
      <c r="D28" s="9">
        <v>166201000208566</v>
      </c>
      <c r="E28" s="9">
        <v>0</v>
      </c>
      <c r="F28" s="9" t="str">
        <v>Tidak</v>
      </c>
      <c r="G28" s="9" t="str">
        <v>Tidak</v>
      </c>
      <c r="H28" s="9" t="str">
        <v>Tidak</v>
      </c>
      <c r="I28" s="9" t="str">
        <v>Perpajakan</v>
      </c>
      <c r="J28" s="9">
        <v>33</v>
      </c>
      <c r="K28" s="9">
        <v>41</v>
      </c>
      <c r="L28" s="9" t="str">
        <v>Perpajakan</v>
      </c>
      <c r="M28" s="9" t="str">
        <v xml:space="preserve">KK UIN MALANG                           </v>
      </c>
      <c r="N28" s="9" t="str">
        <v xml:space="preserve">KC Malang Martadinata                   </v>
      </c>
      <c r="O28" s="9" t="str">
        <v xml:space="preserve">KANWIL MALANG                           </v>
      </c>
      <c r="P28" s="9" t="str">
        <v>Tidak</v>
      </c>
      <c r="Q28" s="9" t="str">
        <v>Tidak</v>
      </c>
      <c r="R28" s="9" t="str">
        <v>Done</v>
      </c>
      <c r="S28" s="9" t="str">
        <v>Approved</v>
      </c>
      <c r="T28" s="9" t="str">
        <v>90150130 - Intan Aida Pratiwi</v>
      </c>
      <c r="U28" s="9" t="str">
        <v>"-"</v>
      </c>
      <c r="V28" s="12" t="s">
        <v>26</v>
      </c>
      <c r="W28" s="12"/>
      <c r="X28" s="14" t="b">
        <f>[3]STR!$X28</f>
        <v>1</v>
      </c>
    </row>
    <row r="29" spans="1:24">
      <c r="A29" s="8">
        <v>46265</v>
      </c>
      <c r="B29" s="9" t="str">
        <v xml:space="preserve">BRITS INDONESIA YOGYAKARTA              </v>
      </c>
      <c r="C29" s="9" t="str">
        <v>BHV1534</v>
      </c>
      <c r="D29" s="9">
        <v>166201000209562</v>
      </c>
      <c r="E29" s="9">
        <v>0</v>
      </c>
      <c r="F29" s="9" t="str">
        <v>Tidak</v>
      </c>
      <c r="G29" s="9" t="str">
        <v>Tidak</v>
      </c>
      <c r="H29" s="9" t="str">
        <v>Tidak</v>
      </c>
      <c r="I29" s="9" t="str">
        <v>Perpajakan</v>
      </c>
      <c r="J29" s="9">
        <v>36</v>
      </c>
      <c r="K29" s="9">
        <v>41</v>
      </c>
      <c r="L29" s="9" t="str">
        <v>Perpajakan</v>
      </c>
      <c r="M29" s="9" t="str">
        <v xml:space="preserve">KK UIN MALANG                           </v>
      </c>
      <c r="N29" s="9" t="str">
        <v xml:space="preserve">KC Malang Martadinata                   </v>
      </c>
      <c r="O29" s="9" t="str">
        <v xml:space="preserve">KANWIL MALANG                           </v>
      </c>
      <c r="P29" s="9" t="str">
        <v>Tidak</v>
      </c>
      <c r="Q29" s="9" t="str">
        <v>Tidak</v>
      </c>
      <c r="R29" s="9" t="str">
        <v>Done</v>
      </c>
      <c r="S29" s="9" t="str">
        <v>Approved</v>
      </c>
      <c r="T29" s="9" t="str">
        <v>90171841 - Rifqi Aziz</v>
      </c>
      <c r="U29" s="9" t="str">
        <v>"-"</v>
      </c>
      <c r="V29" s="12" t="s">
        <v>26</v>
      </c>
      <c r="W29" s="12"/>
      <c r="X29" s="14" t="b">
        <f>[3]STR!$X29</f>
        <v>1</v>
      </c>
    </row>
    <row r="30" spans="1:24">
      <c r="A30" s="8">
        <v>46265</v>
      </c>
      <c r="B30" s="9" t="str">
        <v xml:space="preserve">BRITS INDONESIA SAMARINDA               </v>
      </c>
      <c r="C30" s="9" t="str">
        <v>BHV2441</v>
      </c>
      <c r="D30" s="9">
        <v>166201000211569</v>
      </c>
      <c r="E30" s="9">
        <v>0</v>
      </c>
      <c r="F30" s="9" t="str">
        <v>Tidak</v>
      </c>
      <c r="G30" s="9" t="str">
        <v>Tidak</v>
      </c>
      <c r="H30" s="9" t="str">
        <v>Tidak</v>
      </c>
      <c r="I30" s="9" t="str">
        <v>Perpajakan</v>
      </c>
      <c r="J30" s="9">
        <v>35</v>
      </c>
      <c r="K30" s="9">
        <v>41</v>
      </c>
      <c r="L30" s="9" t="str">
        <v>Perpajakan</v>
      </c>
      <c r="M30" s="9" t="str">
        <v xml:space="preserve">KK UIN MALANG                           </v>
      </c>
      <c r="N30" s="9" t="str">
        <v xml:space="preserve">KC Malang Martadinata                   </v>
      </c>
      <c r="O30" s="9" t="str">
        <v xml:space="preserve">KANWIL MALANG                           </v>
      </c>
      <c r="P30" s="9" t="str">
        <v>Tidak</v>
      </c>
      <c r="Q30" s="9" t="str">
        <v>Tidak</v>
      </c>
      <c r="R30" s="9" t="str">
        <v>Done</v>
      </c>
      <c r="S30" s="9" t="str">
        <v>Approved</v>
      </c>
      <c r="T30" s="9" t="str">
        <v>00336949 - Mochammad Al Farabi</v>
      </c>
      <c r="U30" s="9" t="str">
        <v>"-"</v>
      </c>
      <c r="V30" s="12" t="s">
        <v>26</v>
      </c>
      <c r="W30" s="12"/>
      <c r="X30" s="14" t="b">
        <f>[3]STR!$X30</f>
        <v>1</v>
      </c>
    </row>
    <row r="31" spans="1:24">
      <c r="A31" s="8">
        <v>46265</v>
      </c>
      <c r="B31" s="9" t="str">
        <v xml:space="preserve">BRITS INDONESIA JOGJA TAMSIS            </v>
      </c>
      <c r="C31" s="9" t="str">
        <v>BIW4016</v>
      </c>
      <c r="D31" s="9">
        <v>166201000263566</v>
      </c>
      <c r="E31" s="9">
        <v>0</v>
      </c>
      <c r="F31" s="9" t="str">
        <v>Tidak</v>
      </c>
      <c r="G31" s="9" t="str">
        <v>Tidak</v>
      </c>
      <c r="H31" s="9" t="str">
        <v>Tidak</v>
      </c>
      <c r="I31" s="9" t="str">
        <v>Perpajakan</v>
      </c>
      <c r="J31" s="9">
        <v>33</v>
      </c>
      <c r="K31" s="9">
        <v>41</v>
      </c>
      <c r="L31" s="9" t="str">
        <v>Perpajakan</v>
      </c>
      <c r="M31" s="9" t="str">
        <v xml:space="preserve">KK UIN MALANG                           </v>
      </c>
      <c r="N31" s="9" t="str">
        <v xml:space="preserve">KC Malang Martadinata                   </v>
      </c>
      <c r="O31" s="9" t="str">
        <v xml:space="preserve">KANWIL MALANG                           </v>
      </c>
      <c r="P31" s="9" t="str">
        <v>Tidak</v>
      </c>
      <c r="Q31" s="9" t="str">
        <v>Tidak</v>
      </c>
      <c r="R31" s="9" t="str">
        <v>Done</v>
      </c>
      <c r="S31" s="9" t="str">
        <v>Approved</v>
      </c>
      <c r="T31" s="9" t="str">
        <v>90186790 - Muhammad Alfin Farha</v>
      </c>
      <c r="U31" s="9" t="str">
        <v>"-"</v>
      </c>
      <c r="V31" s="12" t="s">
        <v>26</v>
      </c>
      <c r="W31" s="12"/>
      <c r="X31" s="14" t="b">
        <f>[3]STR!$X31</f>
        <v>1</v>
      </c>
    </row>
    <row r="32" spans="1:24">
      <c r="A32" s="8">
        <v>46265</v>
      </c>
      <c r="B32" s="9" t="str">
        <v xml:space="preserve">BRITS INDONESIA SEMARANG                </v>
      </c>
      <c r="C32" s="9" t="str">
        <v>BIW4071</v>
      </c>
      <c r="D32" s="9">
        <v>166201000264562</v>
      </c>
      <c r="E32" s="9">
        <v>0</v>
      </c>
      <c r="F32" s="9" t="str">
        <v>Tidak</v>
      </c>
      <c r="G32" s="9" t="str">
        <v>Tidak</v>
      </c>
      <c r="H32" s="9" t="str">
        <v>Tidak</v>
      </c>
      <c r="I32" s="9" t="str">
        <v>Perpajakan</v>
      </c>
      <c r="J32" s="9">
        <v>33</v>
      </c>
      <c r="K32" s="9">
        <v>41</v>
      </c>
      <c r="L32" s="9" t="str">
        <v>Perpajakan</v>
      </c>
      <c r="M32" s="9" t="str">
        <v xml:space="preserve">KK UIN MALANG                           </v>
      </c>
      <c r="N32" s="9" t="str">
        <v xml:space="preserve">KC Malang Martadinata                   </v>
      </c>
      <c r="O32" s="9" t="str">
        <v xml:space="preserve">KANWIL MALANG                           </v>
      </c>
      <c r="P32" s="9" t="str">
        <v>Tidak</v>
      </c>
      <c r="Q32" s="9" t="str">
        <v>Tidak</v>
      </c>
      <c r="R32" s="9" t="str">
        <v>Done</v>
      </c>
      <c r="S32" s="9" t="str">
        <v>Approved</v>
      </c>
      <c r="T32" s="9" t="str">
        <v>90170665 - Mutiara Ayuningtyas</v>
      </c>
      <c r="U32" s="9" t="str">
        <v>"-"</v>
      </c>
      <c r="V32" s="12" t="s">
        <v>26</v>
      </c>
      <c r="W32" s="12"/>
      <c r="X32" s="14" t="b">
        <f>[3]STR!$X32</f>
        <v>1</v>
      </c>
    </row>
    <row r="33" spans="1:24">
      <c r="A33" s="8">
        <v>46265</v>
      </c>
      <c r="B33" s="9" t="str">
        <v xml:space="preserve">CV PUTRA AIRLANGGA SEJAHTERA            </v>
      </c>
      <c r="C33" s="9" t="str">
        <v>CL38835</v>
      </c>
      <c r="D33" s="9">
        <v>51801000497567</v>
      </c>
      <c r="E33" s="9" t="str">
        <v>TINGGI</v>
      </c>
      <c r="F33" s="9" t="str">
        <v>Tidak</v>
      </c>
      <c r="G33" s="9" t="str">
        <v>Tidak</v>
      </c>
      <c r="H33" s="9" t="str">
        <v>Tidak</v>
      </c>
      <c r="I33" s="9" t="str">
        <v>Perpajakan</v>
      </c>
      <c r="J33" s="9">
        <v>64</v>
      </c>
      <c r="K33" s="9">
        <v>1.33</v>
      </c>
      <c r="L33" s="9" t="str">
        <v>Perpajakan</v>
      </c>
      <c r="M33" s="9" t="str">
        <v xml:space="preserve">KCP Pandaan                             </v>
      </c>
      <c r="N33" s="9" t="str">
        <v xml:space="preserve">KC Pasuruan                             </v>
      </c>
      <c r="O33" s="9" t="str">
        <v xml:space="preserve">KANWIL MALANG                           </v>
      </c>
      <c r="P33" s="9" t="str">
        <v>Tidak</v>
      </c>
      <c r="Q33" s="9" t="str">
        <v>Tidak</v>
      </c>
      <c r="R33" s="9" t="str">
        <v>Done</v>
      </c>
      <c r="S33" s="9" t="str">
        <v>Approved</v>
      </c>
      <c r="T33" s="9" t="str">
        <v>90186796 - Devito Arya Wiradila</v>
      </c>
      <c r="U33" s="9" t="str">
        <v>"-"</v>
      </c>
      <c r="V33" s="12" t="s">
        <v>24</v>
      </c>
      <c r="W33" s="12"/>
      <c r="X33" s="14" t="b">
        <f>[3]STR!$X33</f>
        <v>1</v>
      </c>
    </row>
    <row r="34" spans="1:24">
      <c r="A34" s="8">
        <v>46265</v>
      </c>
      <c r="B34" s="9" t="str">
        <v xml:space="preserve">TRIJAYA FAJAR PERSADA                   </v>
      </c>
      <c r="C34" s="9" t="str">
        <v>TGG5477</v>
      </c>
      <c r="D34" s="9">
        <v>57701000775309</v>
      </c>
      <c r="E34" s="9" t="str">
        <v>TINGGI</v>
      </c>
      <c r="F34" s="9" t="str">
        <v>Tidak</v>
      </c>
      <c r="G34" s="9" t="str">
        <v>Tidak</v>
      </c>
      <c r="H34" s="9" t="str">
        <v>Tidak</v>
      </c>
      <c r="I34" s="9" t="str">
        <v>Perpajakan</v>
      </c>
      <c r="J34" s="9">
        <v>63</v>
      </c>
      <c r="K34" s="9">
        <v>41</v>
      </c>
      <c r="L34" s="9" t="str">
        <v>Perpajakan</v>
      </c>
      <c r="M34" s="9" t="str">
        <v xml:space="preserve">KC Genteng                              </v>
      </c>
      <c r="N34" s="9" t="str">
        <v xml:space="preserve">KC Genteng                              </v>
      </c>
      <c r="O34" s="9" t="str">
        <v xml:space="preserve">KANWIL MALANG                           </v>
      </c>
      <c r="P34" s="9" t="str">
        <v>Tidak</v>
      </c>
      <c r="Q34" s="9" t="str">
        <v>Tidak</v>
      </c>
      <c r="R34" s="9" t="str">
        <v>Done</v>
      </c>
      <c r="S34" s="9" t="str">
        <v>Approved</v>
      </c>
      <c r="T34" s="9" t="str">
        <v>00394520 - Frida Akbar Rani</v>
      </c>
      <c r="U34" s="9" t="str">
        <v>"-"</v>
      </c>
      <c r="V34" s="12" t="s">
        <v>26</v>
      </c>
      <c r="W34" s="12"/>
      <c r="X34" s="14" t="b">
        <f>[3]STR!$X34</f>
        <v>1</v>
      </c>
    </row>
    <row r="35" spans="1:24">
      <c r="A35" s="8">
        <v>46265</v>
      </c>
      <c r="B35" s="9" t="str">
        <v xml:space="preserve">RINAWATI                                </v>
      </c>
      <c r="C35" s="9" t="str">
        <v>RR20112</v>
      </c>
      <c r="D35" s="9">
        <v>646301000243501</v>
      </c>
      <c r="E35" s="9" t="str">
        <v>SEDANG</v>
      </c>
      <c r="F35" s="9" t="str">
        <v>Tidak</v>
      </c>
      <c r="G35" s="9" t="str">
        <v>Tidak</v>
      </c>
      <c r="H35" s="9" t="str">
        <v>Tidak</v>
      </c>
      <c r="I35" s="9" t="str">
        <v>Perikanan dan Kelautan</v>
      </c>
      <c r="J35" s="9">
        <v>49</v>
      </c>
      <c r="K35" s="9">
        <v>101</v>
      </c>
      <c r="L35" s="9" t="str">
        <v>Perikanan dan Kelautan</v>
      </c>
      <c r="M35" s="9" t="str">
        <v xml:space="preserve">UNIT PACITAN KOTA                       </v>
      </c>
      <c r="N35" s="9" t="str">
        <v xml:space="preserve">KC Pacitan                              </v>
      </c>
      <c r="O35" s="9" t="str">
        <v xml:space="preserve">KANWIL MALANG                           </v>
      </c>
      <c r="P35" s="9" t="str">
        <v>Tidak</v>
      </c>
      <c r="Q35" s="9" t="str">
        <v>Tidak</v>
      </c>
      <c r="R35" s="9" t="str">
        <v>Done</v>
      </c>
      <c r="S35" s="9" t="str">
        <v>Approved</v>
      </c>
      <c r="T35" s="9" t="str">
        <v>90185537 - Moh.Khoerul Fajar Ar</v>
      </c>
      <c r="U35" s="9" t="str">
        <v>"-"</v>
      </c>
      <c r="V35" s="12" t="s">
        <v>26</v>
      </c>
      <c r="W35" s="12"/>
      <c r="X35" s="14" t="b">
        <f>[3]STR!$X35</f>
        <v>1</v>
      </c>
    </row>
    <row r="36" spans="1:24">
      <c r="A36" s="8">
        <v>46265</v>
      </c>
      <c r="B36" s="9" t="str">
        <v xml:space="preserve">SERBA GUNA SEJATI                       </v>
      </c>
      <c r="C36" s="9" t="str">
        <v>SLEEI36</v>
      </c>
      <c r="D36" s="9">
        <v>5101035000567</v>
      </c>
      <c r="E36" s="9">
        <v>0</v>
      </c>
      <c r="F36" s="9" t="str">
        <v>Tidak</v>
      </c>
      <c r="G36" s="9" t="str">
        <v>Tidak</v>
      </c>
      <c r="H36" s="9" t="str">
        <v>Tidak</v>
      </c>
      <c r="I36" s="9" t="str">
        <v>Perpajakan</v>
      </c>
      <c r="J36" s="9">
        <v>33</v>
      </c>
      <c r="K36" s="9">
        <v>41</v>
      </c>
      <c r="L36" s="9" t="str">
        <v>Perpajakan</v>
      </c>
      <c r="M36" s="9" t="str">
        <v xml:space="preserve">KC Malang Kawi                          </v>
      </c>
      <c r="N36" s="9" t="str">
        <v xml:space="preserve">KC Malang Kawi                          </v>
      </c>
      <c r="O36" s="9" t="str">
        <v xml:space="preserve">KANWIL MALANG                           </v>
      </c>
      <c r="P36" s="9" t="str">
        <v>Tidak</v>
      </c>
      <c r="Q36" s="9" t="str">
        <v>Tidak</v>
      </c>
      <c r="R36" s="9" t="str">
        <v>Done</v>
      </c>
      <c r="S36" s="9" t="str">
        <v>Approved</v>
      </c>
      <c r="T36" s="9" t="str">
        <v>90150130 - Intan Aida Pratiwi</v>
      </c>
      <c r="U36" s="9" t="str">
        <v>"-"</v>
      </c>
      <c r="V36" s="12" t="s">
        <v>24</v>
      </c>
      <c r="W36" s="12"/>
      <c r="X36" s="14" t="b">
        <f>[3]STR!$X36</f>
        <v>1</v>
      </c>
    </row>
    <row r="37" spans="1:24">
      <c r="A37" s="8">
        <v>46265</v>
      </c>
      <c r="B37" s="9" t="str">
        <v xml:space="preserve">PT SIDOGIRI MITRA UTAMA                 </v>
      </c>
      <c r="C37" s="9" t="str">
        <v>PEC7409</v>
      </c>
      <c r="D37" s="9">
        <v>6501001583306</v>
      </c>
      <c r="E37" s="9" t="str">
        <v>TINGGI</v>
      </c>
      <c r="F37" s="9" t="str">
        <v>Tidak</v>
      </c>
      <c r="G37" s="9" t="str">
        <v>Tidak</v>
      </c>
      <c r="H37" s="9" t="str">
        <v>Tidak</v>
      </c>
      <c r="I37" s="9" t="str">
        <v>Perpajakan</v>
      </c>
      <c r="J37" s="9">
        <v>65</v>
      </c>
      <c r="K37" s="9">
        <v>1.33</v>
      </c>
      <c r="L37" s="9" t="str">
        <v>Perpajakan</v>
      </c>
      <c r="M37" s="9" t="str">
        <v xml:space="preserve">KC Pasuruan                             </v>
      </c>
      <c r="N37" s="9" t="str">
        <v xml:space="preserve">KC Pasuruan                             </v>
      </c>
      <c r="O37" s="9" t="str">
        <v xml:space="preserve">KANWIL MALANG                           </v>
      </c>
      <c r="P37" s="9" t="str">
        <v>Tidak</v>
      </c>
      <c r="Q37" s="9" t="str">
        <v>Tidak</v>
      </c>
      <c r="R37" s="9" t="str">
        <v>Done</v>
      </c>
      <c r="S37" s="9" t="str">
        <v>Approved</v>
      </c>
      <c r="T37" s="9" t="str">
        <v>90185538 - Muhammad Fahikal Auz</v>
      </c>
      <c r="U37" s="9" t="str">
        <v>"-"</v>
      </c>
      <c r="V37" s="12" t="s">
        <v>24</v>
      </c>
      <c r="W37" s="12"/>
      <c r="X37" s="14" t="b">
        <f>[3]STR!$X37</f>
        <v>1</v>
      </c>
    </row>
    <row r="38" spans="1:24">
      <c r="A38" s="8">
        <v>46265</v>
      </c>
      <c r="B38" s="9" t="str">
        <v xml:space="preserve">PT RODA MULIA ABADI                     </v>
      </c>
      <c r="C38" s="9" t="str">
        <v>PFK7831</v>
      </c>
      <c r="D38" s="9">
        <v>5101003235308</v>
      </c>
      <c r="E38" s="9" t="str">
        <v>SEDANG</v>
      </c>
      <c r="F38" s="9" t="str">
        <v>Tidak</v>
      </c>
      <c r="G38" s="9" t="str">
        <v>Tidak</v>
      </c>
      <c r="H38" s="9" t="str">
        <v>Tidak</v>
      </c>
      <c r="I38" s="9" t="str">
        <v>Perpajakan</v>
      </c>
      <c r="J38" s="9">
        <v>48</v>
      </c>
      <c r="K38" s="9">
        <v>41</v>
      </c>
      <c r="L38" s="9" t="str">
        <v>Perpajakan</v>
      </c>
      <c r="M38" s="9" t="str">
        <v xml:space="preserve">KC Malang Kawi                          </v>
      </c>
      <c r="N38" s="9" t="str">
        <v xml:space="preserve">KC Malang Kawi                          </v>
      </c>
      <c r="O38" s="9" t="str">
        <v xml:space="preserve">KANWIL MALANG                           </v>
      </c>
      <c r="P38" s="9" t="str">
        <v>Tidak</v>
      </c>
      <c r="Q38" s="9" t="str">
        <v>Tidak</v>
      </c>
      <c r="R38" s="9" t="str">
        <v>Done</v>
      </c>
      <c r="S38" s="9" t="str">
        <v>Approved</v>
      </c>
      <c r="T38" s="9" t="str">
        <v>90185537 - Moh.Khoerul Fajar Ar</v>
      </c>
      <c r="U38" s="9" t="str">
        <v>"-"</v>
      </c>
      <c r="V38" s="12" t="s">
        <v>24</v>
      </c>
      <c r="W38" s="12"/>
      <c r="X38" s="14" t="b">
        <f>[3]STR!$X38</f>
        <v>1</v>
      </c>
    </row>
    <row r="39" spans="1:24">
      <c r="A39" s="8">
        <v>46265</v>
      </c>
      <c r="B39" s="9" t="str">
        <v xml:space="preserve">POETRA SAKTI MAKMUR                     </v>
      </c>
      <c r="C39" s="9" t="str">
        <v>PKQ9443</v>
      </c>
      <c r="D39" s="9">
        <v>34401118899309</v>
      </c>
      <c r="E39" s="9" t="str">
        <v>TINGGI</v>
      </c>
      <c r="F39" s="9" t="str">
        <v>Tidak</v>
      </c>
      <c r="G39" s="9" t="str">
        <v>Tidak</v>
      </c>
      <c r="H39" s="9" t="str">
        <v>Tidak</v>
      </c>
      <c r="I39" s="9" t="str">
        <v>Perpajakan</v>
      </c>
      <c r="J39" s="9">
        <v>64</v>
      </c>
      <c r="K39" s="9">
        <v>1.33</v>
      </c>
      <c r="L39" s="9" t="str">
        <v>Perpajakan</v>
      </c>
      <c r="M39" s="9" t="str">
        <v xml:space="preserve">KC Malang Martadinata                   </v>
      </c>
      <c r="N39" s="9" t="str">
        <v xml:space="preserve">KC Malang Martadinata                   </v>
      </c>
      <c r="O39" s="9" t="str">
        <v xml:space="preserve">KANWIL MALANG                           </v>
      </c>
      <c r="P39" s="9" t="str">
        <v>Tidak</v>
      </c>
      <c r="Q39" s="9" t="str">
        <v>Tidak</v>
      </c>
      <c r="R39" s="9" t="str">
        <v>Done</v>
      </c>
      <c r="S39" s="9" t="str">
        <v>Approved</v>
      </c>
      <c r="T39" s="9" t="str">
        <v>90185537 - Moh.Khoerul Fajar Ar</v>
      </c>
      <c r="U39" s="9" t="str">
        <v>"-"</v>
      </c>
      <c r="V39" s="12" t="s">
        <v>26</v>
      </c>
      <c r="W39" s="12"/>
      <c r="X39" s="14" t="b">
        <f>[3]STR!$X39</f>
        <v>1</v>
      </c>
    </row>
    <row r="40" spans="1:24">
      <c r="A40" s="8">
        <v>46265</v>
      </c>
      <c r="B40" s="9" t="str">
        <v xml:space="preserve">PT INDOMARCO ADI PRIMA                  </v>
      </c>
      <c r="C40" s="9" t="str">
        <v>P595578</v>
      </c>
      <c r="D40" s="9">
        <v>34401000123301</v>
      </c>
      <c r="E40" s="9" t="str">
        <v>SEDANG</v>
      </c>
      <c r="F40" s="9" t="str">
        <v>Tidak</v>
      </c>
      <c r="G40" s="9" t="str">
        <v>Tidak</v>
      </c>
      <c r="H40" s="9" t="str">
        <v>Tidak</v>
      </c>
      <c r="I40" s="9" t="str">
        <v>Narkotika - Area Lapas</v>
      </c>
      <c r="J40" s="9">
        <v>50</v>
      </c>
      <c r="K40" s="9">
        <v>46</v>
      </c>
      <c r="L40" s="9" t="str">
        <v>Narkotika</v>
      </c>
      <c r="M40" s="9" t="str">
        <v>KC Malang Martadinata</v>
      </c>
      <c r="N40" s="9" t="str">
        <v>KC Malang Martadinata</v>
      </c>
      <c r="O40" s="9" t="str">
        <v>KANWIL MALANG</v>
      </c>
      <c r="P40" s="9" t="str">
        <v>Tidak</v>
      </c>
      <c r="Q40" s="9" t="str">
        <v>Tidak</v>
      </c>
      <c r="R40" s="9" t="str">
        <v>Done</v>
      </c>
      <c r="S40" s="9" t="str">
        <v>Approved</v>
      </c>
      <c r="T40" s="9" t="str">
        <v>90185537 - Moh.Khoerul Fajar Ar</v>
      </c>
      <c r="U40" s="9" t="str">
        <v>"-"</v>
      </c>
      <c r="V40" s="12" t="s">
        <v>26</v>
      </c>
      <c r="W40" s="12"/>
      <c r="X40" s="14" t="b">
        <f>[3]STR!$X40</f>
        <v>1</v>
      </c>
    </row>
    <row r="41" spans="1:24">
      <c r="A41" s="8">
        <v>46265</v>
      </c>
      <c r="B41" s="9" t="str">
        <v xml:space="preserve">BINTANG SAYAP UTAMA                     </v>
      </c>
      <c r="C41" s="9" t="str">
        <v>PCP8289</v>
      </c>
      <c r="D41" s="9">
        <v>5101004191303</v>
      </c>
      <c r="E41" s="9" t="str">
        <v>TINGGI</v>
      </c>
      <c r="F41" s="9" t="str">
        <v>Tidak</v>
      </c>
      <c r="G41" s="9" t="str">
        <v>Tidak</v>
      </c>
      <c r="H41" s="9" t="str">
        <v>Tidak</v>
      </c>
      <c r="I41" s="9" t="str">
        <v>Perpajakan</v>
      </c>
      <c r="J41" s="9">
        <v>65</v>
      </c>
      <c r="K41" s="9">
        <v>1.33</v>
      </c>
      <c r="L41" s="9" t="str">
        <v>Perpajakan</v>
      </c>
      <c r="M41" s="9" t="str">
        <v xml:space="preserve">KC Malang Kawi                          </v>
      </c>
      <c r="N41" s="9" t="str">
        <v xml:space="preserve">KC Malang Kawi                          </v>
      </c>
      <c r="O41" s="9" t="str">
        <v xml:space="preserve">KANWIL MALANG                           </v>
      </c>
      <c r="P41" s="9" t="str">
        <v>Tidak</v>
      </c>
      <c r="Q41" s="9" t="str">
        <v>Tidak</v>
      </c>
      <c r="R41" s="9" t="str">
        <v>Done</v>
      </c>
      <c r="S41" s="9" t="str">
        <v>Approved</v>
      </c>
      <c r="T41" s="9" t="str">
        <v>90185538 - Muhammad Fahikal Auz</v>
      </c>
      <c r="U41" s="9" t="str">
        <v>"-"</v>
      </c>
      <c r="V41" s="12" t="s">
        <v>24</v>
      </c>
      <c r="W41" s="12"/>
      <c r="X41" s="14" t="b">
        <f>[3]STR!$X41</f>
        <v>1</v>
      </c>
    </row>
    <row r="42" spans="1:24">
      <c r="A42" s="8">
        <v>46265</v>
      </c>
      <c r="B42" s="9" t="str">
        <v xml:space="preserve">BINTANG SAYAP UTAMA                     </v>
      </c>
      <c r="C42" s="9" t="str">
        <v>PCP8289</v>
      </c>
      <c r="D42" s="9">
        <v>51601000736303</v>
      </c>
      <c r="E42" s="9" t="str">
        <v>TINGGI</v>
      </c>
      <c r="F42" s="9" t="str">
        <v>Tidak</v>
      </c>
      <c r="G42" s="9" t="str">
        <v>Tidak</v>
      </c>
      <c r="H42" s="9" t="str">
        <v>Tidak</v>
      </c>
      <c r="I42" s="9" t="str">
        <v>Narkotika - Area Lapas</v>
      </c>
      <c r="J42" s="9">
        <v>65</v>
      </c>
      <c r="K42" s="9">
        <v>46</v>
      </c>
      <c r="L42" s="9" t="str">
        <v>Narkotika</v>
      </c>
      <c r="M42" s="9" t="str">
        <v>KC Kepanjen</v>
      </c>
      <c r="N42" s="9" t="str">
        <v>KC Kepanjen</v>
      </c>
      <c r="O42" s="9" t="str">
        <v>KANWIL MALANG</v>
      </c>
      <c r="P42" s="9" t="str">
        <v>Tidak</v>
      </c>
      <c r="Q42" s="9" t="str">
        <v>Tidak</v>
      </c>
      <c r="R42" s="9" t="str">
        <v>Done</v>
      </c>
      <c r="S42" s="9" t="str">
        <v>Approved</v>
      </c>
      <c r="T42" s="9" t="str">
        <v>00336949 - Mochammad Al Farabi</v>
      </c>
      <c r="U42" s="9" t="str">
        <v>"-"</v>
      </c>
      <c r="V42" s="12" t="s">
        <v>26</v>
      </c>
      <c r="W42" s="12"/>
      <c r="X42" s="14" t="b">
        <f>[3]STR!$X42</f>
        <v>1</v>
      </c>
    </row>
    <row r="43" spans="1:24">
      <c r="A43" s="8">
        <v>46265</v>
      </c>
      <c r="B43" s="9" t="str">
        <v xml:space="preserve">RODA JATI MAS                           </v>
      </c>
      <c r="C43" s="9" t="str">
        <v>RLBC962</v>
      </c>
      <c r="D43" s="9">
        <v>5101909192307</v>
      </c>
      <c r="E43" s="9" t="str">
        <v>SEDANG</v>
      </c>
      <c r="F43" s="9" t="str">
        <v>Tidak</v>
      </c>
      <c r="G43" s="9" t="str">
        <v>Tidak</v>
      </c>
      <c r="H43" s="9" t="str">
        <v>Tidak</v>
      </c>
      <c r="I43" s="9" t="str">
        <v>Perpajakan</v>
      </c>
      <c r="J43" s="9">
        <v>48</v>
      </c>
      <c r="K43" s="9">
        <v>41</v>
      </c>
      <c r="L43" s="9" t="str">
        <v>Perpajakan</v>
      </c>
      <c r="M43" s="9" t="str">
        <v xml:space="preserve">KC Malang Kawi                          </v>
      </c>
      <c r="N43" s="9" t="str">
        <v xml:space="preserve">KC Malang Kawi                          </v>
      </c>
      <c r="O43" s="9" t="str">
        <v xml:space="preserve">KANWIL MALANG                           </v>
      </c>
      <c r="P43" s="9" t="str">
        <v>Tidak</v>
      </c>
      <c r="Q43" s="9" t="str">
        <v>Tidak</v>
      </c>
      <c r="R43" s="9" t="str">
        <v>Done</v>
      </c>
      <c r="S43" s="9" t="str">
        <v>Approved</v>
      </c>
      <c r="T43" s="9" t="str">
        <v>00336949 - Mochammad Al Farabi</v>
      </c>
      <c r="U43" s="9" t="str">
        <v>"-"</v>
      </c>
      <c r="V43" s="12" t="s">
        <v>24</v>
      </c>
      <c r="W43" s="12"/>
      <c r="X43" s="14" t="b">
        <f>[3]STR!$X43</f>
        <v>1</v>
      </c>
    </row>
    <row r="44" spans="1:24">
      <c r="A44" s="8">
        <v>46265</v>
      </c>
      <c r="B44" s="9" t="str">
        <v xml:space="preserve">PAUNDRA NOORBASKORO                     </v>
      </c>
      <c r="C44" s="9" t="str">
        <v>PT52875</v>
      </c>
      <c r="D44" s="9">
        <v>646101018318538</v>
      </c>
      <c r="E44" s="9" t="str">
        <v>SEDANG</v>
      </c>
      <c r="F44" s="9" t="str">
        <v>Tidak</v>
      </c>
      <c r="G44" s="9" t="str">
        <v>Tidak</v>
      </c>
      <c r="H44" s="9" t="str">
        <v>Tidak</v>
      </c>
      <c r="I44" s="9" t="str">
        <v>Perikanan dan Kelautan</v>
      </c>
      <c r="J44" s="9">
        <v>49</v>
      </c>
      <c r="K44" s="9">
        <v>101</v>
      </c>
      <c r="L44" s="9" t="str">
        <v>Perikanan dan Kelautan</v>
      </c>
      <c r="M44" s="9" t="str">
        <v xml:space="preserve">KC Malang Kawi                          </v>
      </c>
      <c r="N44" s="9" t="str">
        <v xml:space="preserve">KC Malang Kawi                          </v>
      </c>
      <c r="O44" s="9" t="str">
        <v xml:space="preserve">KANWIL MALANG                           </v>
      </c>
      <c r="P44" s="9" t="str">
        <v>Tidak</v>
      </c>
      <c r="Q44" s="9" t="str">
        <v>Tidak</v>
      </c>
      <c r="R44" s="9" t="str">
        <v>Done</v>
      </c>
      <c r="S44" s="9" t="str">
        <v>Approved</v>
      </c>
      <c r="T44" s="9" t="str">
        <v>90185537 - Moh.Khoerul Fajar Ar</v>
      </c>
      <c r="U44" s="9" t="str">
        <v>"-"</v>
      </c>
      <c r="V44" s="12" t="s">
        <v>24</v>
      </c>
      <c r="W44" s="12"/>
      <c r="X44" s="14" t="b">
        <f>[3]STR!$X44</f>
        <v>1</v>
      </c>
    </row>
  </sheetData>
  <protectedRanges>
    <protectedRange sqref="V1:X44" name="Range2"/>
  </protectedRanges>
  <dataValidations count="1">
    <dataValidation type="list" allowBlank="1" showInputMessage="1" showErrorMessage="1" sqref="V2:V44" xr:uid="{72D888CD-3116-4DA8-8D12-B7DC21EB26FB}">
      <formula1>"Febri Dwi Prabowo, Made Windu Kuntara"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27"/>
  <sheetViews>
    <sheetView workbookViewId="0">
      <selection activeCell="D5" sqref="D5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3.7109375" bestFit="1" customWidth="1"/>
  </cols>
  <sheetData>
    <row r="1" spans="1:5">
      <c r="D1" s="50">
        <v>46280</v>
      </c>
      <c r="E1" s="51"/>
    </row>
    <row r="2" spans="1:5">
      <c r="A2" s="18" t="s">
        <v>27</v>
      </c>
      <c r="B2" s="18" t="s">
        <v>28</v>
      </c>
      <c r="C2" s="18" t="s">
        <v>29</v>
      </c>
      <c r="D2" s="26" t="s">
        <v>30</v>
      </c>
      <c r="E2" s="27" t="s">
        <v>31</v>
      </c>
    </row>
    <row r="3" spans="1:5" ht="14.45" customHeight="1">
      <c r="A3" s="9">
        <v>1</v>
      </c>
      <c r="B3" s="22" t="s">
        <v>32</v>
      </c>
      <c r="C3" s="25" t="s">
        <v>26</v>
      </c>
      <c r="D3" s="29">
        <f>_xlfn.XLOOKUP(B3, [1]PEP!$B:$B,[1]PEP!$G:$G)</f>
        <v>1</v>
      </c>
      <c r="E3" s="52">
        <f>AVERAGE(D3:D15)</f>
        <v>0.99033488359331057</v>
      </c>
    </row>
    <row r="4" spans="1:5" ht="14.45" customHeight="1">
      <c r="A4" s="9">
        <v>2</v>
      </c>
      <c r="B4" s="22" t="s">
        <v>33</v>
      </c>
      <c r="C4" s="25" t="s">
        <v>26</v>
      </c>
      <c r="D4" s="29">
        <f>_xlfn.XLOOKUP(B4, [1]PEP!$B:$B,[1]PEP!$G:$G)</f>
        <v>1</v>
      </c>
      <c r="E4" s="53"/>
    </row>
    <row r="5" spans="1:5" ht="14.45" customHeight="1">
      <c r="A5" s="9">
        <v>3</v>
      </c>
      <c r="B5" s="22" t="s">
        <v>34</v>
      </c>
      <c r="C5" s="25" t="s">
        <v>26</v>
      </c>
      <c r="D5" s="29">
        <f>_xlfn.XLOOKUP(B5, [1]PEP!$B:$B,[1]PEP!$G:$G)</f>
        <v>1</v>
      </c>
      <c r="E5" s="53"/>
    </row>
    <row r="6" spans="1:5" ht="14.45" customHeight="1">
      <c r="A6" s="9">
        <v>4</v>
      </c>
      <c r="B6" s="22" t="s">
        <v>35</v>
      </c>
      <c r="C6" s="25" t="s">
        <v>26</v>
      </c>
      <c r="D6" s="29">
        <f>_xlfn.XLOOKUP(B6, [1]PEP!$B:$B,[1]PEP!$G:$G)</f>
        <v>0.95238095238095233</v>
      </c>
      <c r="E6" s="53"/>
    </row>
    <row r="7" spans="1:5" ht="14.45" customHeight="1">
      <c r="A7" s="9">
        <v>5</v>
      </c>
      <c r="B7" s="22" t="s">
        <v>36</v>
      </c>
      <c r="C7" s="25" t="s">
        <v>26</v>
      </c>
      <c r="D7" s="29">
        <f>_xlfn.XLOOKUP(B7, [1]PEP!$B:$B,[1]PEP!$G:$G)</f>
        <v>1</v>
      </c>
      <c r="E7" s="53"/>
    </row>
    <row r="8" spans="1:5" ht="14.45" customHeight="1">
      <c r="A8" s="9">
        <v>6</v>
      </c>
      <c r="B8" s="22" t="s">
        <v>37</v>
      </c>
      <c r="C8" s="25" t="s">
        <v>26</v>
      </c>
      <c r="D8" s="29">
        <f>_xlfn.XLOOKUP(B8, [1]PEP!$B:$B,[1]PEP!$G:$G)</f>
        <v>1</v>
      </c>
      <c r="E8" s="53"/>
    </row>
    <row r="9" spans="1:5" ht="14.45" customHeight="1">
      <c r="A9" s="9">
        <v>7</v>
      </c>
      <c r="B9" s="22" t="s">
        <v>38</v>
      </c>
      <c r="C9" s="25" t="s">
        <v>26</v>
      </c>
      <c r="D9" s="29">
        <f>_xlfn.XLOOKUP(B9, [1]PEP!$B:$B,[1]PEP!$G:$G)</f>
        <v>0.97752808988764039</v>
      </c>
      <c r="E9" s="53"/>
    </row>
    <row r="10" spans="1:5" ht="14.45" customHeight="1">
      <c r="A10" s="9">
        <v>8</v>
      </c>
      <c r="B10" s="22" t="s">
        <v>39</v>
      </c>
      <c r="C10" s="25" t="s">
        <v>26</v>
      </c>
      <c r="D10" s="29">
        <f>_xlfn.XLOOKUP(B10, [1]PEP!$B:$B,[1]PEP!$G:$G)</f>
        <v>1</v>
      </c>
      <c r="E10" s="53"/>
    </row>
    <row r="11" spans="1:5" ht="14.45" customHeight="1">
      <c r="A11" s="9">
        <v>9</v>
      </c>
      <c r="B11" s="22" t="s">
        <v>40</v>
      </c>
      <c r="C11" s="25" t="s">
        <v>26</v>
      </c>
      <c r="D11" s="29">
        <f>_xlfn.XLOOKUP(B11, [1]PEP!$B:$B,[1]PEP!$G:$G)</f>
        <v>1</v>
      </c>
      <c r="E11" s="53"/>
    </row>
    <row r="12" spans="1:5" ht="14.45" customHeight="1">
      <c r="A12" s="9">
        <v>10</v>
      </c>
      <c r="B12" s="22" t="s">
        <v>41</v>
      </c>
      <c r="C12" s="25" t="s">
        <v>26</v>
      </c>
      <c r="D12" s="29">
        <f>_xlfn.XLOOKUP(B12, [1]PEP!$B:$B,[1]PEP!$G:$G)</f>
        <v>1</v>
      </c>
      <c r="E12" s="53"/>
    </row>
    <row r="13" spans="1:5">
      <c r="A13" s="9">
        <v>11</v>
      </c>
      <c r="B13" s="22" t="s">
        <v>42</v>
      </c>
      <c r="C13" s="25" t="s">
        <v>26</v>
      </c>
      <c r="D13" s="29">
        <f>_xlfn.XLOOKUP(B13, [1]PEP!$B:$B,[1]PEP!$G:$G)</f>
        <v>1</v>
      </c>
      <c r="E13" s="53"/>
    </row>
    <row r="14" spans="1:5">
      <c r="A14" s="9">
        <v>12</v>
      </c>
      <c r="B14" s="22" t="s">
        <v>43</v>
      </c>
      <c r="C14" s="25" t="s">
        <v>26</v>
      </c>
      <c r="D14" s="29">
        <f>_xlfn.XLOOKUP(B14, [1]PEP!$B:$B,[1]PEP!$G:$G)</f>
        <v>1</v>
      </c>
      <c r="E14" s="53"/>
    </row>
    <row r="15" spans="1:5">
      <c r="A15" s="9">
        <v>13</v>
      </c>
      <c r="B15" s="22" t="s">
        <v>44</v>
      </c>
      <c r="C15" s="9" t="s">
        <v>26</v>
      </c>
      <c r="D15" s="29">
        <f>_xlfn.XLOOKUP(B15, [1]PEP!$B:$B,[1]PEP!$G:$G)</f>
        <v>0.94444444444444442</v>
      </c>
      <c r="E15" s="53"/>
    </row>
    <row r="16" spans="1:5">
      <c r="A16" s="9">
        <v>14</v>
      </c>
      <c r="B16" s="22" t="s">
        <v>45</v>
      </c>
      <c r="C16" s="25" t="s">
        <v>24</v>
      </c>
      <c r="D16" s="29">
        <f>_xlfn.XLOOKUP(B16, [1]PEP!$B:$B,[1]PEP!$G:$G)</f>
        <v>1</v>
      </c>
      <c r="E16" s="54">
        <f>AVERAGE(D16:D27)</f>
        <v>0.99462365591397861</v>
      </c>
    </row>
    <row r="17" spans="1:5">
      <c r="A17" s="9">
        <v>15</v>
      </c>
      <c r="B17" s="22" t="s">
        <v>46</v>
      </c>
      <c r="C17" s="25" t="s">
        <v>24</v>
      </c>
      <c r="D17" s="29">
        <f>_xlfn.XLOOKUP(B17, [1]PEP!$B:$B,[1]PEP!$G:$G)</f>
        <v>1</v>
      </c>
      <c r="E17" s="54"/>
    </row>
    <row r="18" spans="1:5">
      <c r="A18" s="9">
        <v>16</v>
      </c>
      <c r="B18" s="22" t="s">
        <v>47</v>
      </c>
      <c r="C18" s="25" t="s">
        <v>24</v>
      </c>
      <c r="D18" s="29">
        <f>_xlfn.XLOOKUP(B18, [1]PEP!$B:$B,[1]PEP!$G:$G)</f>
        <v>1</v>
      </c>
      <c r="E18" s="54"/>
    </row>
    <row r="19" spans="1:5">
      <c r="A19" s="9">
        <v>17</v>
      </c>
      <c r="B19" s="22" t="s">
        <v>48</v>
      </c>
      <c r="C19" s="25" t="s">
        <v>24</v>
      </c>
      <c r="D19" s="29">
        <f>_xlfn.XLOOKUP(B19, [1]PEP!$B:$B,[1]PEP!$G:$G)</f>
        <v>1</v>
      </c>
      <c r="E19" s="54"/>
    </row>
    <row r="20" spans="1:5">
      <c r="A20" s="9">
        <v>18</v>
      </c>
      <c r="B20" s="22" t="s">
        <v>49</v>
      </c>
      <c r="C20" s="25" t="s">
        <v>24</v>
      </c>
      <c r="D20" s="29">
        <f>_xlfn.XLOOKUP(B20, [1]PEP!$B:$B,[1]PEP!$G:$G)</f>
        <v>1</v>
      </c>
      <c r="E20" s="54"/>
    </row>
    <row r="21" spans="1:5">
      <c r="A21" s="9">
        <v>19</v>
      </c>
      <c r="B21" s="22" t="s">
        <v>50</v>
      </c>
      <c r="C21" s="25" t="s">
        <v>24</v>
      </c>
      <c r="D21" s="29">
        <f>_xlfn.XLOOKUP(B21, [1]PEP!$B:$B,[1]PEP!$G:$G)</f>
        <v>1</v>
      </c>
      <c r="E21" s="54"/>
    </row>
    <row r="22" spans="1:5">
      <c r="A22" s="9">
        <v>20</v>
      </c>
      <c r="B22" s="22" t="s">
        <v>51</v>
      </c>
      <c r="C22" s="25" t="s">
        <v>24</v>
      </c>
      <c r="D22" s="29">
        <f>_xlfn.XLOOKUP(B22, [1]PEP!$B:$B,[1]PEP!$G:$G)</f>
        <v>1</v>
      </c>
      <c r="E22" s="54"/>
    </row>
    <row r="23" spans="1:5">
      <c r="A23" s="9">
        <v>21</v>
      </c>
      <c r="B23" s="22" t="s">
        <v>52</v>
      </c>
      <c r="C23" s="25" t="s">
        <v>24</v>
      </c>
      <c r="D23" s="29">
        <f>_xlfn.XLOOKUP(B23, [1]PEP!$B:$B,[1]PEP!$G:$G)</f>
        <v>0.967741935483871</v>
      </c>
      <c r="E23" s="54"/>
    </row>
    <row r="24" spans="1:5">
      <c r="A24" s="9">
        <v>22</v>
      </c>
      <c r="B24" s="22" t="s">
        <v>53</v>
      </c>
      <c r="C24" s="9" t="s">
        <v>24</v>
      </c>
      <c r="D24" s="29">
        <f>_xlfn.XLOOKUP(B24, [1]PEP!$B:$B,[1]PEP!$G:$G)</f>
        <v>1</v>
      </c>
      <c r="E24" s="54"/>
    </row>
    <row r="25" spans="1:5">
      <c r="A25" s="9">
        <v>23</v>
      </c>
      <c r="B25" s="22" t="s">
        <v>54</v>
      </c>
      <c r="C25" s="25" t="s">
        <v>24</v>
      </c>
      <c r="D25" s="29">
        <f>_xlfn.XLOOKUP(B25, [1]PEP!$B:$B,[1]PEP!$G:$G)</f>
        <v>0.967741935483871</v>
      </c>
      <c r="E25" s="54"/>
    </row>
    <row r="26" spans="1:5">
      <c r="A26" s="9">
        <v>24</v>
      </c>
      <c r="B26" s="22" t="s">
        <v>55</v>
      </c>
      <c r="C26" s="25" t="s">
        <v>24</v>
      </c>
      <c r="D26" s="29">
        <f>_xlfn.XLOOKUP(B26, [1]PEP!$B:$B,[1]PEP!$G:$G)</f>
        <v>1</v>
      </c>
      <c r="E26" s="54"/>
    </row>
    <row r="27" spans="1:5">
      <c r="A27" s="9">
        <v>25</v>
      </c>
      <c r="B27" s="22" t="s">
        <v>56</v>
      </c>
      <c r="C27" s="25" t="s">
        <v>24</v>
      </c>
      <c r="D27" s="29">
        <f>_xlfn.XLOOKUP(B27, [1]PEP!$B:$B,[1]PEP!$G:$G)</f>
        <v>1</v>
      </c>
      <c r="E27" s="54"/>
    </row>
  </sheetData>
  <autoFilter ref="B2:D2" xr:uid="{41D34422-91B6-4A51-943A-538253BDFA20}">
    <sortState xmlns:xlrd2="http://schemas.microsoft.com/office/spreadsheetml/2017/richdata2" ref="B3:D27">
      <sortCondition ref="C2"/>
    </sortState>
  </autoFilter>
  <mergeCells count="3">
    <mergeCell ref="D1:E1"/>
    <mergeCell ref="E3:E15"/>
    <mergeCell ref="E16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1A33-774B-469A-B0EA-0D518CED17E1}">
  <sheetPr>
    <tabColor theme="6" tint="-0.249977111117893"/>
  </sheetPr>
  <dimension ref="A1:E27"/>
  <sheetViews>
    <sheetView workbookViewId="0">
      <selection activeCell="B22" sqref="B22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0" bestFit="1" customWidth="1"/>
  </cols>
  <sheetData>
    <row r="1" spans="1:5">
      <c r="D1" s="50">
        <v>46280</v>
      </c>
      <c r="E1" s="51"/>
    </row>
    <row r="2" spans="1:5">
      <c r="A2" s="4" t="s">
        <v>27</v>
      </c>
      <c r="B2" s="18" t="s">
        <v>28</v>
      </c>
      <c r="C2" s="18" t="s">
        <v>29</v>
      </c>
      <c r="D2" s="28" t="s">
        <v>57</v>
      </c>
      <c r="E2" s="28" t="s">
        <v>31</v>
      </c>
    </row>
    <row r="3" spans="1:5" ht="14.45" customHeight="1">
      <c r="A3" s="3">
        <v>1</v>
      </c>
      <c r="B3" s="22" t="s">
        <v>45</v>
      </c>
      <c r="C3" s="9" t="s">
        <v>24</v>
      </c>
      <c r="D3" s="29">
        <f>_xlfn.XLOOKUP(B3, '[1]Bad Data'!$B:$B, '[1]Bad Data'!$D:$D)</f>
        <v>6.0999999999999997E-4</v>
      </c>
      <c r="E3" s="52">
        <f>AVERAGE(D3:D15)</f>
        <v>8.1923076923076936E-4</v>
      </c>
    </row>
    <row r="4" spans="1:5" ht="14.45" customHeight="1">
      <c r="A4" s="3">
        <v>2</v>
      </c>
      <c r="B4" s="22" t="s">
        <v>46</v>
      </c>
      <c r="C4" s="25" t="s">
        <v>24</v>
      </c>
      <c r="D4" s="29">
        <f>_xlfn.XLOOKUP(B4, '[1]Bad Data'!$B:$B, '[1]Bad Data'!$D:$D)</f>
        <v>4.8000000000000001E-4</v>
      </c>
      <c r="E4" s="53"/>
    </row>
    <row r="5" spans="1:5" ht="14.45" customHeight="1">
      <c r="A5" s="3">
        <v>3</v>
      </c>
      <c r="B5" s="22" t="s">
        <v>47</v>
      </c>
      <c r="C5" s="25" t="s">
        <v>24</v>
      </c>
      <c r="D5" s="29">
        <f>_xlfn.XLOOKUP(B5, '[1]Bad Data'!$B:$B, '[1]Bad Data'!$D:$D)</f>
        <v>8.8999999999999995E-4</v>
      </c>
      <c r="E5" s="53"/>
    </row>
    <row r="6" spans="1:5" ht="14.45" customHeight="1">
      <c r="A6" s="3">
        <v>4</v>
      </c>
      <c r="B6" s="22" t="s">
        <v>48</v>
      </c>
      <c r="C6" s="25" t="s">
        <v>24</v>
      </c>
      <c r="D6" s="29">
        <f>_xlfn.XLOOKUP(B6, '[1]Bad Data'!$B:$B, '[1]Bad Data'!$D:$D)</f>
        <v>6.6E-4</v>
      </c>
      <c r="E6" s="53"/>
    </row>
    <row r="7" spans="1:5" ht="14.45" customHeight="1">
      <c r="A7" s="3">
        <v>5</v>
      </c>
      <c r="B7" s="22" t="s">
        <v>49</v>
      </c>
      <c r="C7" s="25" t="s">
        <v>24</v>
      </c>
      <c r="D7" s="29">
        <f>_xlfn.XLOOKUP(B7, '[1]Bad Data'!$B:$B, '[1]Bad Data'!$D:$D)</f>
        <v>4.2000000000000002E-4</v>
      </c>
      <c r="E7" s="53"/>
    </row>
    <row r="8" spans="1:5" ht="14.45" customHeight="1">
      <c r="A8" s="3">
        <v>6</v>
      </c>
      <c r="B8" s="22" t="s">
        <v>50</v>
      </c>
      <c r="C8" s="25" t="s">
        <v>24</v>
      </c>
      <c r="D8" s="29">
        <f>_xlfn.XLOOKUP(B8, '[1]Bad Data'!$B:$B, '[1]Bad Data'!$D:$D)</f>
        <v>1.1E-4</v>
      </c>
      <c r="E8" s="53"/>
    </row>
    <row r="9" spans="1:5" ht="14.45" customHeight="1">
      <c r="A9" s="3">
        <v>7</v>
      </c>
      <c r="B9" s="22" t="s">
        <v>51</v>
      </c>
      <c r="C9" s="25" t="s">
        <v>24</v>
      </c>
      <c r="D9" s="29">
        <f>_xlfn.XLOOKUP(B9, '[1]Bad Data'!$B:$B, '[1]Bad Data'!$D:$D)</f>
        <v>1.31E-3</v>
      </c>
      <c r="E9" s="53"/>
    </row>
    <row r="10" spans="1:5" ht="14.45" customHeight="1">
      <c r="A10" s="3">
        <v>8</v>
      </c>
      <c r="B10" s="22" t="s">
        <v>52</v>
      </c>
      <c r="C10" s="25" t="s">
        <v>24</v>
      </c>
      <c r="D10" s="29">
        <f>_xlfn.XLOOKUP(B10, '[1]Bad Data'!$B:$B, '[1]Bad Data'!$D:$D)</f>
        <v>1.5299999999999999E-3</v>
      </c>
      <c r="E10" s="53"/>
    </row>
    <row r="11" spans="1:5" ht="14.45" customHeight="1">
      <c r="A11" s="3">
        <v>9</v>
      </c>
      <c r="B11" s="22" t="s">
        <v>53</v>
      </c>
      <c r="C11" s="25" t="s">
        <v>24</v>
      </c>
      <c r="D11" s="29">
        <f>_xlfn.XLOOKUP(B11, '[1]Bad Data'!$B:$B, '[1]Bad Data'!$D:$D)</f>
        <v>1.1199999999999999E-3</v>
      </c>
      <c r="E11" s="53"/>
    </row>
    <row r="12" spans="1:5" ht="14.45" customHeight="1">
      <c r="A12" s="3">
        <v>10</v>
      </c>
      <c r="B12" s="22" t="s">
        <v>54</v>
      </c>
      <c r="C12" s="25" t="s">
        <v>24</v>
      </c>
      <c r="D12" s="29">
        <f>_xlfn.XLOOKUP(B12, '[1]Bad Data'!$B:$B, '[1]Bad Data'!$D:$D)</f>
        <v>1.2199999999999999E-3</v>
      </c>
      <c r="E12" s="53"/>
    </row>
    <row r="13" spans="1:5" ht="14.45" customHeight="1">
      <c r="A13" s="3">
        <v>11</v>
      </c>
      <c r="B13" s="22" t="s">
        <v>55</v>
      </c>
      <c r="C13" s="25" t="s">
        <v>24</v>
      </c>
      <c r="D13" s="29">
        <f>_xlfn.XLOOKUP(B13, '[1]Bad Data'!$B:$B, '[1]Bad Data'!$D:$D)</f>
        <v>9.6000000000000002E-4</v>
      </c>
      <c r="E13" s="53"/>
    </row>
    <row r="14" spans="1:5" ht="14.45" customHeight="1">
      <c r="A14" s="3">
        <v>12</v>
      </c>
      <c r="B14" s="22" t="s">
        <v>43</v>
      </c>
      <c r="C14" s="25" t="s">
        <v>24</v>
      </c>
      <c r="D14" s="29">
        <f>_xlfn.XLOOKUP(B14, '[1]Bad Data'!$B:$B, '[1]Bad Data'!$D:$D)</f>
        <v>6.2E-4</v>
      </c>
      <c r="E14" s="53"/>
    </row>
    <row r="15" spans="1:5" ht="14.45" customHeight="1">
      <c r="A15" s="3">
        <v>13</v>
      </c>
      <c r="B15" s="22" t="s">
        <v>56</v>
      </c>
      <c r="C15" s="25" t="s">
        <v>24</v>
      </c>
      <c r="D15" s="29">
        <f>_xlfn.XLOOKUP(B15, '[1]Bad Data'!$B:$B, '[1]Bad Data'!$D:$D)</f>
        <v>7.2000000000000005E-4</v>
      </c>
      <c r="E15" s="53"/>
    </row>
    <row r="16" spans="1:5" ht="14.45" customHeight="1">
      <c r="A16" s="3">
        <v>14</v>
      </c>
      <c r="B16" s="22" t="s">
        <v>32</v>
      </c>
      <c r="C16" s="9" t="s">
        <v>26</v>
      </c>
      <c r="D16" s="29">
        <f>_xlfn.XLOOKUP(B16, '[1]Bad Data'!$B:$B, '[1]Bad Data'!$D:$D)</f>
        <v>3.6000000000000002E-4</v>
      </c>
      <c r="E16" s="54">
        <f>AVERAGE(D16:D27)</f>
        <v>4.975E-4</v>
      </c>
    </row>
    <row r="17" spans="1:5" ht="14.45" customHeight="1">
      <c r="A17" s="3">
        <v>15</v>
      </c>
      <c r="B17" s="22" t="s">
        <v>33</v>
      </c>
      <c r="C17" s="25" t="s">
        <v>26</v>
      </c>
      <c r="D17" s="29">
        <f>_xlfn.XLOOKUP(B17, '[1]Bad Data'!$B:$B, '[1]Bad Data'!$D:$D)</f>
        <v>2.2000000000000001E-4</v>
      </c>
      <c r="E17" s="54"/>
    </row>
    <row r="18" spans="1:5" ht="14.45" customHeight="1">
      <c r="A18" s="3">
        <v>16</v>
      </c>
      <c r="B18" s="22" t="s">
        <v>34</v>
      </c>
      <c r="C18" s="25" t="s">
        <v>26</v>
      </c>
      <c r="D18" s="29">
        <f>_xlfn.XLOOKUP(B18, '[1]Bad Data'!$B:$B, '[1]Bad Data'!$D:$D)</f>
        <v>3.4000000000000002E-4</v>
      </c>
      <c r="E18" s="54"/>
    </row>
    <row r="19" spans="1:5" ht="14.45" customHeight="1">
      <c r="A19" s="3">
        <v>17</v>
      </c>
      <c r="B19" s="22" t="s">
        <v>35</v>
      </c>
      <c r="C19" s="25" t="s">
        <v>26</v>
      </c>
      <c r="D19" s="29">
        <f>_xlfn.XLOOKUP(B19, '[1]Bad Data'!$B:$B, '[1]Bad Data'!$D:$D)</f>
        <v>1.9000000000000001E-4</v>
      </c>
      <c r="E19" s="54"/>
    </row>
    <row r="20" spans="1:5" ht="14.45" customHeight="1">
      <c r="A20" s="3">
        <v>18</v>
      </c>
      <c r="B20" s="22" t="s">
        <v>36</v>
      </c>
      <c r="C20" s="25" t="s">
        <v>26</v>
      </c>
      <c r="D20" s="29">
        <f>_xlfn.XLOOKUP(B20, '[1]Bad Data'!$B:$B, '[1]Bad Data'!$D:$D)</f>
        <v>2.7E-4</v>
      </c>
      <c r="E20" s="54"/>
    </row>
    <row r="21" spans="1:5" ht="14.45" customHeight="1">
      <c r="A21" s="3">
        <v>19</v>
      </c>
      <c r="B21" s="22" t="s">
        <v>37</v>
      </c>
      <c r="C21" s="25" t="s">
        <v>26</v>
      </c>
      <c r="D21" s="29">
        <f>_xlfn.XLOOKUP(B21, '[1]Bad Data'!$B:$B, '[1]Bad Data'!$D:$D)</f>
        <v>3.6999999999999999E-4</v>
      </c>
      <c r="E21" s="54"/>
    </row>
    <row r="22" spans="1:5" ht="14.45" customHeight="1">
      <c r="A22" s="3">
        <v>20</v>
      </c>
      <c r="B22" s="22" t="s">
        <v>38</v>
      </c>
      <c r="C22" s="25" t="s">
        <v>26</v>
      </c>
      <c r="D22" s="29">
        <f>_xlfn.XLOOKUP(B22, '[1]Bad Data'!$B:$B, '[1]Bad Data'!$D:$D)</f>
        <v>9.2000000000000003E-4</v>
      </c>
      <c r="E22" s="54"/>
    </row>
    <row r="23" spans="1:5" ht="14.45" customHeight="1">
      <c r="A23" s="3">
        <v>21</v>
      </c>
      <c r="B23" s="22" t="s">
        <v>39</v>
      </c>
      <c r="C23" s="25" t="s">
        <v>26</v>
      </c>
      <c r="D23" s="29">
        <f>_xlfn.XLOOKUP(B23, '[1]Bad Data'!$B:$B, '[1]Bad Data'!$D:$D)</f>
        <v>8.3000000000000001E-4</v>
      </c>
      <c r="E23" s="54"/>
    </row>
    <row r="24" spans="1:5" ht="14.45" customHeight="1">
      <c r="A24" s="3">
        <v>22</v>
      </c>
      <c r="B24" s="22" t="s">
        <v>40</v>
      </c>
      <c r="C24" s="25" t="s">
        <v>26</v>
      </c>
      <c r="D24" s="29">
        <f>_xlfn.XLOOKUP(B24, '[1]Bad Data'!$B:$B, '[1]Bad Data'!$D:$D)</f>
        <v>2.7E-4</v>
      </c>
      <c r="E24" s="54"/>
    </row>
    <row r="25" spans="1:5" ht="14.45" customHeight="1">
      <c r="A25" s="3">
        <v>23</v>
      </c>
      <c r="B25" s="22" t="s">
        <v>41</v>
      </c>
      <c r="C25" s="25" t="s">
        <v>26</v>
      </c>
      <c r="D25" s="29">
        <f>_xlfn.XLOOKUP(B25, '[1]Bad Data'!$B:$B, '[1]Bad Data'!$D:$D)</f>
        <v>5.6999999999999998E-4</v>
      </c>
      <c r="E25" s="54"/>
    </row>
    <row r="26" spans="1:5" ht="14.45" customHeight="1">
      <c r="A26" s="3">
        <v>24</v>
      </c>
      <c r="B26" s="22" t="s">
        <v>42</v>
      </c>
      <c r="C26" s="25" t="s">
        <v>26</v>
      </c>
      <c r="D26" s="29">
        <f>_xlfn.XLOOKUP(B26, '[1]Bad Data'!$B:$B, '[1]Bad Data'!$D:$D)</f>
        <v>8.9999999999999998E-4</v>
      </c>
      <c r="E26" s="54"/>
    </row>
    <row r="27" spans="1:5" ht="14.45" customHeight="1">
      <c r="A27" s="3">
        <v>25</v>
      </c>
      <c r="B27" s="22" t="s">
        <v>44</v>
      </c>
      <c r="C27" s="25" t="s">
        <v>26</v>
      </c>
      <c r="D27" s="29">
        <f>_xlfn.XLOOKUP(B27, '[1]Bad Data'!$B:$B, '[1]Bad Data'!$D:$D)</f>
        <v>7.2999999999999996E-4</v>
      </c>
      <c r="E27" s="54"/>
    </row>
  </sheetData>
  <autoFilter ref="B2:D2" xr:uid="{0C441A33-774B-469A-B0EA-0D518CED17E1}">
    <sortState xmlns:xlrd2="http://schemas.microsoft.com/office/spreadsheetml/2017/richdata2" ref="B3:D27">
      <sortCondition descending="1" ref="C2"/>
    </sortState>
  </autoFilter>
  <mergeCells count="3">
    <mergeCell ref="D1:E1"/>
    <mergeCell ref="E3:E15"/>
    <mergeCell ref="E16:E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28"/>
  <sheetViews>
    <sheetView workbookViewId="0">
      <selection activeCell="D3" sqref="D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6" bestFit="1" customWidth="1"/>
  </cols>
  <sheetData>
    <row r="1" spans="1:5" ht="15">
      <c r="D1" s="50">
        <v>46287</v>
      </c>
      <c r="E1" s="51"/>
    </row>
    <row r="2" spans="1:5" ht="15">
      <c r="A2" s="18" t="s">
        <v>27</v>
      </c>
      <c r="B2" s="18" t="s">
        <v>28</v>
      </c>
      <c r="C2" s="18" t="s">
        <v>29</v>
      </c>
      <c r="D2" s="28" t="s">
        <v>58</v>
      </c>
      <c r="E2" s="28" t="s">
        <v>31</v>
      </c>
    </row>
    <row r="3" spans="1:5" ht="14.45" customHeight="1">
      <c r="A3" s="9">
        <v>1</v>
      </c>
      <c r="B3" s="22" t="s">
        <v>45</v>
      </c>
      <c r="C3" s="9" t="s">
        <v>24</v>
      </c>
      <c r="D3" s="29">
        <f>_xlfn.XLOOKUP(B3, '[1]Pengkinian Data'!$B:$B, '[1]Pengkinian Data'!$E:$E)</f>
        <v>0.99770000000000003</v>
      </c>
      <c r="E3" s="52">
        <f>AVERAGE(D3:D15)</f>
        <v>0.9960461538461538</v>
      </c>
    </row>
    <row r="4" spans="1:5" ht="14.45" customHeight="1">
      <c r="A4" s="9">
        <v>2</v>
      </c>
      <c r="B4" s="22" t="s">
        <v>46</v>
      </c>
      <c r="C4" s="25" t="s">
        <v>24</v>
      </c>
      <c r="D4" s="29">
        <f>_xlfn.XLOOKUP(B4, '[1]Pengkinian Data'!$B:$B, '[1]Pengkinian Data'!$E:$E)</f>
        <v>0.99680000000000002</v>
      </c>
      <c r="E4" s="53"/>
    </row>
    <row r="5" spans="1:5" ht="14.45" customHeight="1">
      <c r="A5" s="9">
        <v>3</v>
      </c>
      <c r="B5" s="22" t="s">
        <v>47</v>
      </c>
      <c r="C5" s="25" t="s">
        <v>24</v>
      </c>
      <c r="D5" s="29">
        <f>_xlfn.XLOOKUP(B5, '[1]Pengkinian Data'!$B:$B, '[1]Pengkinian Data'!$E:$E)</f>
        <v>0.99480000000000002</v>
      </c>
      <c r="E5" s="53"/>
    </row>
    <row r="6" spans="1:5" ht="14.45" customHeight="1">
      <c r="A6" s="9">
        <v>4</v>
      </c>
      <c r="B6" s="22" t="s">
        <v>48</v>
      </c>
      <c r="C6" s="25" t="s">
        <v>24</v>
      </c>
      <c r="D6" s="29">
        <f>_xlfn.XLOOKUP(B6, '[1]Pengkinian Data'!$B:$B, '[1]Pengkinian Data'!$E:$E)</f>
        <v>0.99939999999999996</v>
      </c>
      <c r="E6" s="53"/>
    </row>
    <row r="7" spans="1:5" ht="14.45" customHeight="1">
      <c r="A7" s="9">
        <v>5</v>
      </c>
      <c r="B7" s="22" t="s">
        <v>49</v>
      </c>
      <c r="C7" s="25" t="s">
        <v>24</v>
      </c>
      <c r="D7" s="29">
        <f>_xlfn.XLOOKUP(B7, '[1]Pengkinian Data'!$B:$B, '[1]Pengkinian Data'!$E:$E)</f>
        <v>1</v>
      </c>
      <c r="E7" s="53"/>
    </row>
    <row r="8" spans="1:5" ht="14.45" customHeight="1">
      <c r="A8" s="9">
        <v>6</v>
      </c>
      <c r="B8" s="22" t="s">
        <v>50</v>
      </c>
      <c r="C8" s="25" t="s">
        <v>24</v>
      </c>
      <c r="D8" s="29">
        <f>_xlfn.XLOOKUP(B8, '[1]Pengkinian Data'!$B:$B, '[1]Pengkinian Data'!$E:$E)</f>
        <v>1</v>
      </c>
      <c r="E8" s="53"/>
    </row>
    <row r="9" spans="1:5" ht="14.45" customHeight="1">
      <c r="A9" s="9">
        <v>7</v>
      </c>
      <c r="B9" s="22" t="s">
        <v>51</v>
      </c>
      <c r="C9" s="25" t="s">
        <v>24</v>
      </c>
      <c r="D9" s="29">
        <f>_xlfn.XLOOKUP(B9, '[1]Pengkinian Data'!$B:$B, '[1]Pengkinian Data'!$E:$E)</f>
        <v>0.9929</v>
      </c>
      <c r="E9" s="53"/>
    </row>
    <row r="10" spans="1:5" ht="14.45" customHeight="1">
      <c r="A10" s="9">
        <v>8</v>
      </c>
      <c r="B10" s="22" t="s">
        <v>52</v>
      </c>
      <c r="C10" s="25" t="s">
        <v>24</v>
      </c>
      <c r="D10" s="29">
        <f>_xlfn.XLOOKUP(B10, '[1]Pengkinian Data'!$B:$B, '[1]Pengkinian Data'!$E:$E)</f>
        <v>0.99099999999999999</v>
      </c>
      <c r="E10" s="53"/>
    </row>
    <row r="11" spans="1:5" ht="14.45" customHeight="1">
      <c r="A11" s="9">
        <v>9</v>
      </c>
      <c r="B11" s="22" t="s">
        <v>53</v>
      </c>
      <c r="C11" s="25" t="s">
        <v>24</v>
      </c>
      <c r="D11" s="29">
        <f>_xlfn.XLOOKUP(B11, '[1]Pengkinian Data'!$B:$B, '[1]Pengkinian Data'!$E:$E)</f>
        <v>0.9919</v>
      </c>
      <c r="E11" s="53"/>
    </row>
    <row r="12" spans="1:5" ht="14.45" customHeight="1">
      <c r="A12" s="9">
        <v>10</v>
      </c>
      <c r="B12" s="22" t="s">
        <v>54</v>
      </c>
      <c r="C12" s="25" t="s">
        <v>24</v>
      </c>
      <c r="D12" s="29">
        <f>_xlfn.XLOOKUP(B12, '[1]Pengkinian Data'!$B:$B, '[1]Pengkinian Data'!$E:$E)</f>
        <v>0.99760000000000004</v>
      </c>
      <c r="E12" s="53"/>
    </row>
    <row r="13" spans="1:5" ht="14.45" customHeight="1">
      <c r="A13" s="9">
        <v>11</v>
      </c>
      <c r="B13" s="22" t="s">
        <v>55</v>
      </c>
      <c r="C13" s="25" t="s">
        <v>24</v>
      </c>
      <c r="D13" s="29">
        <f>_xlfn.XLOOKUP(B13, '[1]Pengkinian Data'!$B:$B, '[1]Pengkinian Data'!$E:$E)</f>
        <v>0.9879</v>
      </c>
      <c r="E13" s="53"/>
    </row>
    <row r="14" spans="1:5" ht="14.45" customHeight="1">
      <c r="A14" s="9">
        <v>12</v>
      </c>
      <c r="B14" s="22" t="s">
        <v>43</v>
      </c>
      <c r="C14" s="25" t="s">
        <v>24</v>
      </c>
      <c r="D14" s="29">
        <f>_xlfn.XLOOKUP(B14, '[1]Pengkinian Data'!$B:$B, '[1]Pengkinian Data'!$E:$E)</f>
        <v>1</v>
      </c>
      <c r="E14" s="53"/>
    </row>
    <row r="15" spans="1:5" ht="14.45" customHeight="1">
      <c r="A15" s="9">
        <v>13</v>
      </c>
      <c r="B15" s="22" t="s">
        <v>56</v>
      </c>
      <c r="C15" s="25" t="s">
        <v>24</v>
      </c>
      <c r="D15" s="29">
        <f>_xlfn.XLOOKUP(B15, '[1]Pengkinian Data'!$B:$B, '[1]Pengkinian Data'!$E:$E)</f>
        <v>0.99860000000000004</v>
      </c>
      <c r="E15" s="53"/>
    </row>
    <row r="16" spans="1:5" ht="14.45" customHeight="1">
      <c r="A16" s="9">
        <v>14</v>
      </c>
      <c r="B16" s="22" t="s">
        <v>32</v>
      </c>
      <c r="C16" s="9" t="s">
        <v>26</v>
      </c>
      <c r="D16" s="29">
        <f>_xlfn.XLOOKUP(B16, '[1]Pengkinian Data'!$B:$B, '[1]Pengkinian Data'!$E:$E)</f>
        <v>0.99929999999999997</v>
      </c>
      <c r="E16" s="54">
        <f>AVERAGE(D16:D27)</f>
        <v>0.99823333333333331</v>
      </c>
    </row>
    <row r="17" spans="1:5" ht="14.45" customHeight="1">
      <c r="A17" s="9">
        <v>15</v>
      </c>
      <c r="B17" s="22" t="s">
        <v>33</v>
      </c>
      <c r="C17" s="25" t="s">
        <v>26</v>
      </c>
      <c r="D17" s="29">
        <f>_xlfn.XLOOKUP(B17, '[1]Pengkinian Data'!$B:$B, '[1]Pengkinian Data'!$E:$E)</f>
        <v>0.99960000000000004</v>
      </c>
      <c r="E17" s="54"/>
    </row>
    <row r="18" spans="1:5" ht="14.45" customHeight="1">
      <c r="A18" s="9">
        <v>16</v>
      </c>
      <c r="B18" s="22" t="s">
        <v>34</v>
      </c>
      <c r="C18" s="25" t="s">
        <v>26</v>
      </c>
      <c r="D18" s="29">
        <f>_xlfn.XLOOKUP(B18, '[1]Pengkinian Data'!$B:$B, '[1]Pengkinian Data'!$E:$E)</f>
        <v>0.99990000000000001</v>
      </c>
      <c r="E18" s="54"/>
    </row>
    <row r="19" spans="1:5" ht="14.45" customHeight="1">
      <c r="A19" s="9">
        <v>17</v>
      </c>
      <c r="B19" s="22" t="s">
        <v>35</v>
      </c>
      <c r="C19" s="25" t="s">
        <v>26</v>
      </c>
      <c r="D19" s="29">
        <f>_xlfn.XLOOKUP(B19, '[1]Pengkinian Data'!$B:$B, '[1]Pengkinian Data'!$E:$E)</f>
        <v>1</v>
      </c>
      <c r="E19" s="54"/>
    </row>
    <row r="20" spans="1:5" ht="14.45" customHeight="1">
      <c r="A20" s="9">
        <v>18</v>
      </c>
      <c r="B20" s="22" t="s">
        <v>36</v>
      </c>
      <c r="C20" s="25" t="s">
        <v>26</v>
      </c>
      <c r="D20" s="29">
        <f>_xlfn.XLOOKUP(B20, '[1]Pengkinian Data'!$B:$B, '[1]Pengkinian Data'!$E:$E)</f>
        <v>0.99990000000000001</v>
      </c>
      <c r="E20" s="54"/>
    </row>
    <row r="21" spans="1:5" ht="14.45" customHeight="1">
      <c r="A21" s="9">
        <v>19</v>
      </c>
      <c r="B21" s="22" t="s">
        <v>37</v>
      </c>
      <c r="C21" s="25" t="s">
        <v>26</v>
      </c>
      <c r="D21" s="29">
        <f>_xlfn.XLOOKUP(B21, '[1]Pengkinian Data'!$B:$B, '[1]Pengkinian Data'!$E:$E)</f>
        <v>0.99970000000000003</v>
      </c>
      <c r="E21" s="54"/>
    </row>
    <row r="22" spans="1:5" ht="14.45" customHeight="1">
      <c r="A22" s="9">
        <v>20</v>
      </c>
      <c r="B22" s="22" t="s">
        <v>38</v>
      </c>
      <c r="C22" s="25" t="s">
        <v>26</v>
      </c>
      <c r="D22" s="29">
        <f>_xlfn.XLOOKUP(B22, '[1]Pengkinian Data'!$B:$B, '[1]Pengkinian Data'!$E:$E)</f>
        <v>0.99639999999999995</v>
      </c>
      <c r="E22" s="54"/>
    </row>
    <row r="23" spans="1:5" ht="14.45" customHeight="1">
      <c r="A23" s="9">
        <v>21</v>
      </c>
      <c r="B23" s="22" t="s">
        <v>39</v>
      </c>
      <c r="C23" s="25" t="s">
        <v>26</v>
      </c>
      <c r="D23" s="29">
        <f>_xlfn.XLOOKUP(B23, '[1]Pengkinian Data'!$B:$B, '[1]Pengkinian Data'!$E:$E)</f>
        <v>0.98939999999999995</v>
      </c>
      <c r="E23" s="54"/>
    </row>
    <row r="24" spans="1:5" ht="14.45" customHeight="1">
      <c r="A24" s="9">
        <v>22</v>
      </c>
      <c r="B24" s="22" t="s">
        <v>40</v>
      </c>
      <c r="C24" s="25" t="s">
        <v>26</v>
      </c>
      <c r="D24" s="29">
        <f>_xlfn.XLOOKUP(B24, '[1]Pengkinian Data'!$B:$B, '[1]Pengkinian Data'!$E:$E)</f>
        <v>0.99939999999999996</v>
      </c>
      <c r="E24" s="54"/>
    </row>
    <row r="25" spans="1:5" ht="14.45" customHeight="1">
      <c r="A25" s="9">
        <v>23</v>
      </c>
      <c r="B25" s="22" t="s">
        <v>41</v>
      </c>
      <c r="C25" s="25" t="s">
        <v>26</v>
      </c>
      <c r="D25" s="29">
        <f>_xlfn.XLOOKUP(B25, '[1]Pengkinian Data'!$B:$B, '[1]Pengkinian Data'!$E:$E)</f>
        <v>1</v>
      </c>
      <c r="E25" s="54"/>
    </row>
    <row r="26" spans="1:5" ht="14.45" customHeight="1">
      <c r="A26" s="9">
        <v>24</v>
      </c>
      <c r="B26" s="22" t="s">
        <v>42</v>
      </c>
      <c r="C26" s="25" t="s">
        <v>26</v>
      </c>
      <c r="D26" s="29">
        <f>_xlfn.XLOOKUP(B26, '[1]Pengkinian Data'!$B:$B, '[1]Pengkinian Data'!$E:$E)</f>
        <v>0.99980000000000002</v>
      </c>
      <c r="E26" s="54"/>
    </row>
    <row r="27" spans="1:5" ht="14.45" customHeight="1">
      <c r="A27" s="9">
        <v>25</v>
      </c>
      <c r="B27" s="22" t="s">
        <v>44</v>
      </c>
      <c r="C27" s="25" t="s">
        <v>26</v>
      </c>
      <c r="D27" s="29">
        <f>_xlfn.XLOOKUP(B27, '[1]Pengkinian Data'!$B:$B, '[1]Pengkinian Data'!$E:$E)</f>
        <v>0.99539999999999995</v>
      </c>
      <c r="E27" s="54"/>
    </row>
    <row r="28" spans="1:5" ht="15"/>
  </sheetData>
  <autoFilter ref="B2:D2" xr:uid="{A94FBD84-5D1A-4337-99EB-B0C267B6544E}">
    <sortState xmlns:xlrd2="http://schemas.microsoft.com/office/spreadsheetml/2017/richdata2" ref="B3:D27">
      <sortCondition descending="1" ref="C2"/>
    </sortState>
  </autoFilter>
  <mergeCells count="3">
    <mergeCell ref="D1:E1"/>
    <mergeCell ref="E3:E15"/>
    <mergeCell ref="E16:E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27</v>
      </c>
      <c r="B1" s="4" t="s">
        <v>28</v>
      </c>
      <c r="C1" s="4" t="s">
        <v>29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</row>
    <row r="2" spans="1:9">
      <c r="A2" s="3">
        <v>1</v>
      </c>
      <c r="B2" s="1" t="s">
        <v>65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66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67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68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69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70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71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72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73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74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75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76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77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78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79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80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81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82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83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84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85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86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87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88</v>
      </c>
      <c r="C25" s="3"/>
      <c r="D25" s="3"/>
      <c r="E25" s="3"/>
      <c r="F25" s="3"/>
      <c r="G25" s="3"/>
      <c r="H25" s="3"/>
      <c r="I25" s="3"/>
    </row>
    <row r="27" spans="1:9">
      <c r="B27" s="5" t="s">
        <v>89</v>
      </c>
    </row>
    <row r="28" spans="1:9">
      <c r="B28" s="5" t="s">
        <v>90</v>
      </c>
    </row>
    <row r="29" spans="1:9">
      <c r="B29" s="6" t="s">
        <v>91</v>
      </c>
    </row>
    <row r="31" spans="1:9">
      <c r="B31" t="s">
        <v>92</v>
      </c>
    </row>
    <row r="32" spans="1:9">
      <c r="B32" t="s">
        <v>93</v>
      </c>
    </row>
    <row r="33" spans="2:2">
      <c r="B33" t="s">
        <v>94</v>
      </c>
    </row>
    <row r="34" spans="2:2">
      <c r="B34" t="s">
        <v>95</v>
      </c>
    </row>
    <row r="35" spans="2:2">
      <c r="B35" t="s">
        <v>96</v>
      </c>
    </row>
    <row r="36" spans="2:2">
      <c r="B36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G40"/>
  <sheetViews>
    <sheetView workbookViewId="0">
      <selection activeCell="C6" sqref="C6"/>
    </sheetView>
  </sheetViews>
  <sheetFormatPr defaultRowHeight="15" customHeight="1"/>
  <cols>
    <col min="1" max="1" width="3.5703125" bestFit="1" customWidth="1"/>
    <col min="2" max="2" width="24.140625" bestFit="1" customWidth="1"/>
    <col min="3" max="3" width="24.140625" customWidth="1"/>
    <col min="4" max="4" width="17" customWidth="1"/>
    <col min="5" max="5" width="19.42578125" bestFit="1" customWidth="1"/>
    <col min="6" max="6" width="19.42578125" customWidth="1"/>
    <col min="7" max="7" width="19.140625" bestFit="1" customWidth="1"/>
  </cols>
  <sheetData>
    <row r="1" spans="1:7" s="7" customFormat="1">
      <c r="A1" s="55" t="s">
        <v>27</v>
      </c>
      <c r="B1" s="55" t="s">
        <v>28</v>
      </c>
      <c r="C1" s="15"/>
      <c r="D1" s="55" t="s">
        <v>29</v>
      </c>
      <c r="E1" s="55" t="s">
        <v>98</v>
      </c>
      <c r="F1" s="55" t="s">
        <v>61</v>
      </c>
      <c r="G1" s="55" t="s">
        <v>64</v>
      </c>
    </row>
    <row r="2" spans="1:7" s="7" customFormat="1">
      <c r="A2" s="56"/>
      <c r="B2" s="56"/>
      <c r="C2" s="16"/>
      <c r="D2" s="56"/>
      <c r="E2" s="56"/>
      <c r="F2" s="56"/>
      <c r="G2" s="56"/>
    </row>
    <row r="3" spans="1:7">
      <c r="A3" s="3">
        <v>1</v>
      </c>
      <c r="B3" s="1" t="s">
        <v>99</v>
      </c>
      <c r="C3" s="1"/>
      <c r="D3" s="3" t="s">
        <v>100</v>
      </c>
      <c r="E3" s="17">
        <v>46273</v>
      </c>
      <c r="F3" s="17">
        <v>46273</v>
      </c>
      <c r="G3" s="3"/>
    </row>
    <row r="4" spans="1:7">
      <c r="A4" s="3">
        <v>2</v>
      </c>
      <c r="B4" s="1" t="s">
        <v>101</v>
      </c>
      <c r="C4" s="1"/>
      <c r="D4" s="3" t="s">
        <v>26</v>
      </c>
      <c r="E4" s="17">
        <v>46274</v>
      </c>
      <c r="F4" s="17">
        <v>46274</v>
      </c>
      <c r="G4" s="3"/>
    </row>
    <row r="5" spans="1:7">
      <c r="A5" s="3">
        <v>3</v>
      </c>
      <c r="B5" s="1" t="s">
        <v>102</v>
      </c>
      <c r="C5" s="1"/>
      <c r="D5" s="3" t="s">
        <v>103</v>
      </c>
      <c r="E5" s="17">
        <v>46275</v>
      </c>
      <c r="F5" s="17">
        <v>46275</v>
      </c>
      <c r="G5" s="3"/>
    </row>
    <row r="6" spans="1:7">
      <c r="A6" s="3">
        <v>4</v>
      </c>
      <c r="B6" s="1" t="s">
        <v>104</v>
      </c>
      <c r="C6" s="1"/>
      <c r="D6" s="3" t="s">
        <v>26</v>
      </c>
      <c r="E6" s="17">
        <v>46276</v>
      </c>
      <c r="F6" s="17">
        <v>46276</v>
      </c>
      <c r="G6" s="3"/>
    </row>
    <row r="7" spans="1:7">
      <c r="A7" s="3">
        <v>5</v>
      </c>
      <c r="B7" s="1" t="s">
        <v>105</v>
      </c>
      <c r="C7" s="1"/>
      <c r="D7" s="3" t="s">
        <v>100</v>
      </c>
      <c r="E7" s="17">
        <v>46286</v>
      </c>
      <c r="F7" s="17">
        <v>46286</v>
      </c>
      <c r="G7" s="3"/>
    </row>
    <row r="8" spans="1:7">
      <c r="A8" s="3">
        <v>6</v>
      </c>
      <c r="B8" s="1" t="s">
        <v>106</v>
      </c>
      <c r="C8" s="1"/>
      <c r="D8" s="3" t="s">
        <v>100</v>
      </c>
      <c r="E8" s="17">
        <v>46287</v>
      </c>
      <c r="F8" s="17">
        <v>46287</v>
      </c>
      <c r="G8" s="3"/>
    </row>
    <row r="9" spans="1:7">
      <c r="A9" s="3">
        <v>7</v>
      </c>
      <c r="B9" s="1" t="s">
        <v>107</v>
      </c>
      <c r="C9" s="1"/>
      <c r="D9" s="3" t="s">
        <v>100</v>
      </c>
      <c r="E9" s="17">
        <v>46288</v>
      </c>
      <c r="F9" s="17">
        <v>46288</v>
      </c>
      <c r="G9" s="3"/>
    </row>
    <row r="10" spans="1:7">
      <c r="A10" s="3">
        <v>8</v>
      </c>
      <c r="B10" s="1" t="s">
        <v>108</v>
      </c>
      <c r="C10" s="1"/>
      <c r="D10" s="3" t="s">
        <v>100</v>
      </c>
      <c r="E10" s="17">
        <v>46289</v>
      </c>
      <c r="F10" s="17">
        <v>46289</v>
      </c>
      <c r="G10" s="3"/>
    </row>
    <row r="11" spans="1:7">
      <c r="A11" s="3">
        <v>9</v>
      </c>
      <c r="B11" s="1" t="s">
        <v>109</v>
      </c>
      <c r="C11" s="1"/>
      <c r="D11" s="3" t="s">
        <v>26</v>
      </c>
      <c r="E11" s="17">
        <v>46290</v>
      </c>
      <c r="F11" s="17">
        <v>46290</v>
      </c>
      <c r="G11" s="3"/>
    </row>
    <row r="12" spans="1:7">
      <c r="A12" s="3">
        <v>10</v>
      </c>
      <c r="B12" s="1" t="s">
        <v>110</v>
      </c>
      <c r="C12" s="1"/>
      <c r="D12" s="3" t="s">
        <v>26</v>
      </c>
      <c r="E12" s="17" t="s">
        <v>111</v>
      </c>
      <c r="F12" s="3" t="s">
        <v>111</v>
      </c>
      <c r="G12" s="3"/>
    </row>
    <row r="13" spans="1:7">
      <c r="A13" s="3">
        <v>11</v>
      </c>
      <c r="B13" s="1" t="s">
        <v>112</v>
      </c>
      <c r="C13" s="1"/>
      <c r="D13" s="3" t="s">
        <v>113</v>
      </c>
      <c r="E13" s="3" t="s">
        <v>114</v>
      </c>
      <c r="F13" s="3" t="s">
        <v>114</v>
      </c>
      <c r="G13" s="3"/>
    </row>
    <row r="14" spans="1:7">
      <c r="A14" s="3">
        <v>12</v>
      </c>
      <c r="B14" s="1" t="s">
        <v>115</v>
      </c>
      <c r="C14" s="1"/>
      <c r="D14" s="3" t="s">
        <v>100</v>
      </c>
      <c r="E14" s="3" t="s">
        <v>116</v>
      </c>
      <c r="F14" s="3" t="s">
        <v>116</v>
      </c>
      <c r="G14" s="3"/>
    </row>
    <row r="15" spans="1:7">
      <c r="A15" s="3">
        <v>13</v>
      </c>
      <c r="B15" s="1" t="s">
        <v>117</v>
      </c>
      <c r="C15" s="1"/>
      <c r="D15" s="3" t="s">
        <v>26</v>
      </c>
      <c r="E15" s="3" t="s">
        <v>118</v>
      </c>
      <c r="F15" s="3" t="s">
        <v>118</v>
      </c>
      <c r="G15" s="3"/>
    </row>
    <row r="16" spans="1:7">
      <c r="A16" s="3">
        <v>14</v>
      </c>
      <c r="B16" s="1" t="s">
        <v>119</v>
      </c>
      <c r="C16" s="1"/>
      <c r="D16" s="3" t="s">
        <v>26</v>
      </c>
      <c r="E16" s="3" t="s">
        <v>120</v>
      </c>
      <c r="F16" s="3" t="s">
        <v>120</v>
      </c>
      <c r="G16" s="3"/>
    </row>
    <row r="17" spans="1:7">
      <c r="A17" s="3">
        <v>15</v>
      </c>
      <c r="B17" s="1" t="s">
        <v>121</v>
      </c>
      <c r="C17" s="1"/>
      <c r="D17" s="3" t="s">
        <v>26</v>
      </c>
      <c r="E17" s="3" t="s">
        <v>122</v>
      </c>
      <c r="F17" s="3" t="s">
        <v>122</v>
      </c>
      <c r="G17" s="3"/>
    </row>
    <row r="18" spans="1:7">
      <c r="A18" s="3">
        <v>16</v>
      </c>
      <c r="B18" s="1" t="s">
        <v>123</v>
      </c>
      <c r="C18" s="1"/>
      <c r="D18" s="3" t="s">
        <v>100</v>
      </c>
      <c r="E18" s="3" t="s">
        <v>124</v>
      </c>
      <c r="F18" s="3" t="s">
        <v>124</v>
      </c>
      <c r="G18" s="3"/>
    </row>
    <row r="19" spans="1:7">
      <c r="A19" s="3">
        <v>17</v>
      </c>
      <c r="B19" s="1" t="s">
        <v>125</v>
      </c>
      <c r="C19" s="1"/>
      <c r="D19" s="3" t="s">
        <v>126</v>
      </c>
      <c r="E19" s="3" t="s">
        <v>127</v>
      </c>
      <c r="F19" s="3" t="s">
        <v>127</v>
      </c>
      <c r="G19" s="3"/>
    </row>
    <row r="20" spans="1:7">
      <c r="A20" s="3">
        <v>18</v>
      </c>
      <c r="B20" s="1" t="s">
        <v>128</v>
      </c>
      <c r="C20" s="1"/>
      <c r="D20" s="3" t="s">
        <v>26</v>
      </c>
      <c r="E20" s="3" t="s">
        <v>129</v>
      </c>
      <c r="F20" s="3" t="s">
        <v>129</v>
      </c>
      <c r="G20" s="3"/>
    </row>
    <row r="21" spans="1:7">
      <c r="A21" s="3">
        <v>19</v>
      </c>
      <c r="B21" s="1" t="s">
        <v>130</v>
      </c>
      <c r="C21" s="1"/>
      <c r="D21" s="3" t="s">
        <v>26</v>
      </c>
      <c r="E21" s="3" t="s">
        <v>131</v>
      </c>
      <c r="F21" s="3" t="s">
        <v>131</v>
      </c>
      <c r="G21" s="3"/>
    </row>
    <row r="22" spans="1:7">
      <c r="A22" s="3">
        <v>20</v>
      </c>
      <c r="B22" s="1" t="s">
        <v>132</v>
      </c>
      <c r="C22" s="1"/>
      <c r="D22" s="3" t="s">
        <v>100</v>
      </c>
      <c r="E22" s="3" t="s">
        <v>133</v>
      </c>
      <c r="F22" s="3" t="s">
        <v>133</v>
      </c>
      <c r="G22" s="3"/>
    </row>
    <row r="23" spans="1:7">
      <c r="A23" s="3">
        <v>21</v>
      </c>
      <c r="B23" s="1" t="s">
        <v>134</v>
      </c>
      <c r="C23" s="1"/>
      <c r="D23" s="3" t="s">
        <v>26</v>
      </c>
      <c r="E23" s="3" t="s">
        <v>135</v>
      </c>
      <c r="F23" s="3" t="s">
        <v>135</v>
      </c>
      <c r="G23" s="3"/>
    </row>
    <row r="24" spans="1:7">
      <c r="A24" s="3">
        <v>22</v>
      </c>
      <c r="B24" s="1" t="s">
        <v>136</v>
      </c>
      <c r="C24" s="1"/>
      <c r="D24" s="3" t="s">
        <v>100</v>
      </c>
      <c r="E24" s="3" t="s">
        <v>137</v>
      </c>
      <c r="F24" s="3" t="s">
        <v>137</v>
      </c>
      <c r="G24" s="3"/>
    </row>
    <row r="25" spans="1:7">
      <c r="A25" s="3">
        <v>23</v>
      </c>
      <c r="B25" s="1" t="s">
        <v>138</v>
      </c>
      <c r="C25" s="1"/>
      <c r="D25" s="3" t="s">
        <v>100</v>
      </c>
      <c r="E25" s="3" t="s">
        <v>139</v>
      </c>
      <c r="F25" s="3" t="s">
        <v>139</v>
      </c>
      <c r="G25" s="3"/>
    </row>
    <row r="26" spans="1:7">
      <c r="A26" s="3">
        <v>24</v>
      </c>
      <c r="B26" s="1" t="s">
        <v>140</v>
      </c>
      <c r="C26" s="1"/>
      <c r="D26" s="3" t="s">
        <v>26</v>
      </c>
      <c r="E26" s="3" t="s">
        <v>141</v>
      </c>
      <c r="F26" s="3" t="s">
        <v>141</v>
      </c>
      <c r="G26" s="3"/>
    </row>
    <row r="27" spans="1:7">
      <c r="A27" s="3">
        <v>25</v>
      </c>
      <c r="B27" s="1" t="s">
        <v>142</v>
      </c>
      <c r="C27" s="1"/>
      <c r="D27" s="3" t="s">
        <v>100</v>
      </c>
      <c r="E27" s="3" t="s">
        <v>143</v>
      </c>
      <c r="F27" s="3" t="s">
        <v>143</v>
      </c>
      <c r="G27" s="3"/>
    </row>
    <row r="30" spans="1:7">
      <c r="B30" s="5" t="s">
        <v>89</v>
      </c>
      <c r="C30" s="5"/>
    </row>
    <row r="31" spans="1:7">
      <c r="B31" s="5" t="s">
        <v>90</v>
      </c>
      <c r="C31" s="5"/>
    </row>
    <row r="32" spans="1:7">
      <c r="B32" s="6" t="s">
        <v>144</v>
      </c>
      <c r="C32" s="6"/>
    </row>
    <row r="33" spans="2:2"/>
    <row r="35" spans="2:2">
      <c r="B35" t="s">
        <v>92</v>
      </c>
    </row>
    <row r="36" spans="2:2">
      <c r="B36" t="s">
        <v>93</v>
      </c>
    </row>
    <row r="37" spans="2:2">
      <c r="B37" t="s">
        <v>94</v>
      </c>
    </row>
    <row r="38" spans="2:2">
      <c r="B38" t="s">
        <v>95</v>
      </c>
    </row>
    <row r="39" spans="2:2">
      <c r="B39" t="s">
        <v>145</v>
      </c>
    </row>
    <row r="40" spans="2:2">
      <c r="B40" t="s">
        <v>146</v>
      </c>
    </row>
  </sheetData>
  <mergeCells count="6">
    <mergeCell ref="G1:G2"/>
    <mergeCell ref="A1:A2"/>
    <mergeCell ref="B1:B2"/>
    <mergeCell ref="D1:D2"/>
    <mergeCell ref="E1:E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2DDC-0365-4616-878A-9ABE75D76D6E}">
  <dimension ref="A1:H27"/>
  <sheetViews>
    <sheetView topLeftCell="B1" workbookViewId="0">
      <selection activeCell="F15" sqref="F15"/>
    </sheetView>
  </sheetViews>
  <sheetFormatPr defaultColWidth="8.85546875"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 ht="15">
      <c r="A1" s="18" t="s">
        <v>27</v>
      </c>
      <c r="B1" s="18" t="s">
        <v>28</v>
      </c>
      <c r="C1" s="18" t="s">
        <v>29</v>
      </c>
      <c r="D1" s="18" t="s">
        <v>147</v>
      </c>
      <c r="E1" s="31" t="s">
        <v>147</v>
      </c>
      <c r="F1" s="31" t="s">
        <v>148</v>
      </c>
    </row>
    <row r="2" spans="1:8" ht="14.45" customHeight="1">
      <c r="A2" s="9">
        <v>3</v>
      </c>
      <c r="B2" s="19" t="s">
        <v>109</v>
      </c>
      <c r="C2" s="9" t="s">
        <v>26</v>
      </c>
      <c r="D2" s="30">
        <v>8.9345113750628471</v>
      </c>
      <c r="E2" s="57">
        <f>AVERAGE(D2:D14)</f>
        <v>8.4584030252469162</v>
      </c>
      <c r="F2" s="57" t="s">
        <v>149</v>
      </c>
      <c r="G2" s="21"/>
      <c r="H2" s="21"/>
    </row>
    <row r="3" spans="1:8" ht="14.45" customHeight="1">
      <c r="A3" s="9">
        <v>4</v>
      </c>
      <c r="B3" s="19" t="s">
        <v>134</v>
      </c>
      <c r="C3" s="9" t="s">
        <v>26</v>
      </c>
      <c r="D3" s="30">
        <v>9.419703368526898</v>
      </c>
      <c r="E3" s="57"/>
      <c r="F3" s="57"/>
      <c r="G3" s="21"/>
      <c r="H3" s="21"/>
    </row>
    <row r="4" spans="1:8" ht="14.45" customHeight="1">
      <c r="A4" s="9">
        <v>6</v>
      </c>
      <c r="B4" s="19" t="s">
        <v>125</v>
      </c>
      <c r="C4" s="9" t="s">
        <v>26</v>
      </c>
      <c r="D4" s="30">
        <v>8.2969195455960172</v>
      </c>
      <c r="E4" s="57"/>
      <c r="F4" s="57"/>
      <c r="G4" s="21"/>
      <c r="H4" s="21"/>
    </row>
    <row r="5" spans="1:8" ht="14.45" customHeight="1">
      <c r="A5" s="9">
        <v>7</v>
      </c>
      <c r="B5" s="19" t="s">
        <v>140</v>
      </c>
      <c r="C5" s="9" t="s">
        <v>26</v>
      </c>
      <c r="D5" s="30">
        <v>9.0017993807209482</v>
      </c>
      <c r="E5" s="57"/>
      <c r="F5" s="57"/>
      <c r="G5" s="21"/>
      <c r="H5" s="21"/>
    </row>
    <row r="6" spans="1:8" ht="14.45" customHeight="1">
      <c r="A6" s="9">
        <v>10</v>
      </c>
      <c r="B6" s="19" t="s">
        <v>117</v>
      </c>
      <c r="C6" s="9" t="s">
        <v>26</v>
      </c>
      <c r="D6" s="30">
        <v>9.0265266904482573</v>
      </c>
      <c r="E6" s="57"/>
      <c r="F6" s="57"/>
      <c r="G6" s="21"/>
      <c r="H6" s="21"/>
    </row>
    <row r="7" spans="1:8" ht="14.45" customHeight="1">
      <c r="A7" s="9">
        <v>12</v>
      </c>
      <c r="B7" s="19" t="s">
        <v>150</v>
      </c>
      <c r="C7" s="9" t="s">
        <v>26</v>
      </c>
      <c r="D7" s="30">
        <v>9.612014731818654</v>
      </c>
      <c r="E7" s="57"/>
      <c r="F7" s="57"/>
      <c r="G7" s="21"/>
      <c r="H7" s="21"/>
    </row>
    <row r="8" spans="1:8" ht="14.45" customHeight="1">
      <c r="A8" s="9">
        <v>13</v>
      </c>
      <c r="B8" s="19" t="s">
        <v>101</v>
      </c>
      <c r="C8" s="9" t="s">
        <v>26</v>
      </c>
      <c r="D8" s="30">
        <v>8.0751219804160979</v>
      </c>
      <c r="E8" s="57"/>
      <c r="F8" s="57"/>
      <c r="G8" s="21"/>
      <c r="H8" s="21"/>
    </row>
    <row r="9" spans="1:8" ht="14.45" customHeight="1">
      <c r="A9" s="9">
        <v>15</v>
      </c>
      <c r="B9" s="9" t="s">
        <v>130</v>
      </c>
      <c r="C9" s="9" t="s">
        <v>26</v>
      </c>
      <c r="D9" s="30">
        <v>7.9716848470157293</v>
      </c>
      <c r="E9" s="57"/>
      <c r="F9" s="57"/>
      <c r="G9" s="21"/>
      <c r="H9" s="21"/>
    </row>
    <row r="10" spans="1:8" ht="14.45" customHeight="1">
      <c r="A10" s="9">
        <v>16</v>
      </c>
      <c r="B10" s="9" t="s">
        <v>119</v>
      </c>
      <c r="C10" s="9" t="s">
        <v>26</v>
      </c>
      <c r="D10" s="30">
        <v>7.8784925822180725</v>
      </c>
      <c r="E10" s="57"/>
      <c r="F10" s="57"/>
      <c r="G10" s="21"/>
      <c r="H10" s="21"/>
    </row>
    <row r="11" spans="1:8" ht="14.45" customHeight="1">
      <c r="A11" s="9">
        <v>17</v>
      </c>
      <c r="B11" s="9" t="s">
        <v>110</v>
      </c>
      <c r="C11" s="9" t="s">
        <v>26</v>
      </c>
      <c r="D11" s="30">
        <v>8.1995947153790283</v>
      </c>
      <c r="E11" s="57"/>
      <c r="F11" s="57"/>
      <c r="G11" s="21"/>
      <c r="H11" s="21"/>
    </row>
    <row r="12" spans="1:8" ht="14.45" customHeight="1">
      <c r="A12" s="9">
        <v>18</v>
      </c>
      <c r="B12" s="9" t="s">
        <v>128</v>
      </c>
      <c r="C12" s="9" t="s">
        <v>26</v>
      </c>
      <c r="D12" s="30">
        <v>9.0017325847717995</v>
      </c>
      <c r="E12" s="57"/>
      <c r="F12" s="57"/>
      <c r="G12" s="21"/>
      <c r="H12" s="21"/>
    </row>
    <row r="13" spans="1:8" ht="14.45" customHeight="1">
      <c r="A13" s="9">
        <v>23</v>
      </c>
      <c r="B13" s="9" t="s">
        <v>121</v>
      </c>
      <c r="C13" s="9" t="s">
        <v>26</v>
      </c>
      <c r="D13" s="30">
        <v>9.2373548963745051</v>
      </c>
      <c r="E13" s="57"/>
      <c r="F13" s="57"/>
      <c r="G13" s="21"/>
      <c r="H13" s="21"/>
    </row>
    <row r="14" spans="1:8" ht="14.45" customHeight="1">
      <c r="A14" s="9">
        <v>24</v>
      </c>
      <c r="B14" s="9" t="s">
        <v>151</v>
      </c>
      <c r="C14" s="9" t="s">
        <v>26</v>
      </c>
      <c r="D14" s="30">
        <v>5.3037826298610611</v>
      </c>
      <c r="E14" s="57"/>
      <c r="F14" s="57"/>
      <c r="G14" s="21"/>
      <c r="H14" s="21"/>
    </row>
    <row r="15" spans="1:8" ht="14.45" customHeight="1">
      <c r="A15" s="9">
        <v>1</v>
      </c>
      <c r="B15" s="19" t="s">
        <v>132</v>
      </c>
      <c r="C15" s="9" t="s">
        <v>24</v>
      </c>
      <c r="D15" s="30">
        <v>8.5519669292218303</v>
      </c>
      <c r="E15" s="57">
        <f>AVERAGE(D15:D26)</f>
        <v>8.5231051408573872</v>
      </c>
      <c r="F15" s="57" t="s">
        <v>149</v>
      </c>
      <c r="G15" s="21"/>
      <c r="H15" s="21"/>
    </row>
    <row r="16" spans="1:8" ht="15">
      <c r="A16" s="9">
        <v>2</v>
      </c>
      <c r="B16" s="19" t="s">
        <v>138</v>
      </c>
      <c r="C16" s="9" t="s">
        <v>24</v>
      </c>
      <c r="D16" s="30">
        <v>8.464464275738786</v>
      </c>
      <c r="E16" s="57"/>
      <c r="F16" s="57"/>
    </row>
    <row r="17" spans="1:6" ht="15">
      <c r="A17" s="9">
        <v>5</v>
      </c>
      <c r="B17" s="19" t="s">
        <v>108</v>
      </c>
      <c r="C17" s="9" t="s">
        <v>24</v>
      </c>
      <c r="D17" s="30">
        <v>9.5965767674591209</v>
      </c>
      <c r="E17" s="57"/>
      <c r="F17" s="57"/>
    </row>
    <row r="18" spans="1:6" ht="15">
      <c r="A18" s="9">
        <v>8</v>
      </c>
      <c r="B18" s="19" t="s">
        <v>107</v>
      </c>
      <c r="C18" s="9" t="s">
        <v>24</v>
      </c>
      <c r="D18" s="30">
        <v>7.5982713256242675</v>
      </c>
      <c r="E18" s="57"/>
      <c r="F18" s="57"/>
    </row>
    <row r="19" spans="1:6" ht="15">
      <c r="A19" s="9">
        <v>9</v>
      </c>
      <c r="B19" s="19" t="s">
        <v>115</v>
      </c>
      <c r="C19" s="9" t="s">
        <v>24</v>
      </c>
      <c r="D19" s="30">
        <v>8.4328219093905368</v>
      </c>
      <c r="E19" s="57"/>
      <c r="F19" s="57"/>
    </row>
    <row r="20" spans="1:6" ht="15">
      <c r="A20" s="9">
        <v>11</v>
      </c>
      <c r="B20" s="19" t="s">
        <v>99</v>
      </c>
      <c r="C20" s="9" t="s">
        <v>24</v>
      </c>
      <c r="D20" s="30">
        <v>7.4723298902894495</v>
      </c>
      <c r="E20" s="57"/>
      <c r="F20" s="57"/>
    </row>
    <row r="21" spans="1:6" ht="15">
      <c r="A21" s="9">
        <v>14</v>
      </c>
      <c r="B21" s="22" t="s">
        <v>142</v>
      </c>
      <c r="C21" s="9" t="s">
        <v>24</v>
      </c>
      <c r="D21" s="30">
        <v>8.88875691302162</v>
      </c>
      <c r="E21" s="57"/>
      <c r="F21" s="57"/>
    </row>
    <row r="22" spans="1:6" ht="15">
      <c r="A22" s="9">
        <v>19</v>
      </c>
      <c r="B22" s="9" t="s">
        <v>105</v>
      </c>
      <c r="C22" s="9" t="s">
        <v>24</v>
      </c>
      <c r="D22" s="30">
        <v>6.9628799019607834</v>
      </c>
      <c r="E22" s="57"/>
      <c r="F22" s="57"/>
    </row>
    <row r="23" spans="1:6" ht="15">
      <c r="A23" s="9">
        <v>20</v>
      </c>
      <c r="B23" s="9" t="s">
        <v>152</v>
      </c>
      <c r="C23" s="9" t="s">
        <v>24</v>
      </c>
      <c r="D23" s="30">
        <v>7.9455698529411762</v>
      </c>
      <c r="E23" s="57"/>
      <c r="F23" s="57"/>
    </row>
    <row r="24" spans="1:6" ht="15">
      <c r="A24" s="9">
        <v>21</v>
      </c>
      <c r="B24" s="9" t="s">
        <v>106</v>
      </c>
      <c r="C24" s="9" t="s">
        <v>24</v>
      </c>
      <c r="D24" s="30">
        <v>9.7361270320093851</v>
      </c>
      <c r="E24" s="57"/>
      <c r="F24" s="57"/>
    </row>
    <row r="25" spans="1:6" ht="15">
      <c r="A25" s="23">
        <v>22</v>
      </c>
      <c r="B25" s="23" t="s">
        <v>136</v>
      </c>
      <c r="C25" s="23" t="s">
        <v>24</v>
      </c>
      <c r="D25" s="30">
        <v>9.7366286799620134</v>
      </c>
      <c r="E25" s="57"/>
      <c r="F25" s="57"/>
    </row>
    <row r="26" spans="1:6" ht="14.45" customHeight="1">
      <c r="A26" s="3">
        <v>25</v>
      </c>
      <c r="B26" s="3" t="s">
        <v>102</v>
      </c>
      <c r="C26" s="3" t="s">
        <v>24</v>
      </c>
      <c r="D26" s="30">
        <v>8.8908682126696839</v>
      </c>
      <c r="E26" s="57"/>
      <c r="F26" s="57"/>
    </row>
    <row r="27" spans="1:6" ht="15"/>
  </sheetData>
  <autoFilter ref="A1:D1" xr:uid="{FD9A7B95-F124-4CE6-993C-88740F8340E7}">
    <sortState xmlns:xlrd2="http://schemas.microsoft.com/office/spreadsheetml/2017/richdata2" ref="A2:D26">
      <sortCondition ref="C1"/>
    </sortState>
  </autoFilter>
  <mergeCells count="4">
    <mergeCell ref="E2:E14"/>
    <mergeCell ref="E15:E26"/>
    <mergeCell ref="F2:F14"/>
    <mergeCell ref="F15:F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37E1-B862-47D8-B7C3-5032AFDDFEB0}">
  <dimension ref="A1:H27"/>
  <sheetViews>
    <sheetView workbookViewId="0">
      <selection activeCell="J22" sqref="J2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 ht="15">
      <c r="A1" s="18" t="s">
        <v>27</v>
      </c>
      <c r="B1" s="18" t="s">
        <v>28</v>
      </c>
      <c r="C1" s="18" t="s">
        <v>29</v>
      </c>
      <c r="D1" s="18" t="s">
        <v>153</v>
      </c>
      <c r="E1" s="18" t="s">
        <v>154</v>
      </c>
      <c r="F1" s="18" t="s">
        <v>155</v>
      </c>
    </row>
    <row r="2" spans="1:8" ht="14.45" customHeight="1">
      <c r="A2" s="9">
        <v>3</v>
      </c>
      <c r="B2" s="19" t="s">
        <v>109</v>
      </c>
      <c r="C2" s="9" t="s">
        <v>26</v>
      </c>
      <c r="D2" s="20">
        <v>5.7008771254956896</v>
      </c>
      <c r="E2" s="57">
        <f>AVERAGE(D2:D14)</f>
        <v>6.451950282307787</v>
      </c>
      <c r="F2" s="57" t="s">
        <v>156</v>
      </c>
      <c r="G2" s="21"/>
      <c r="H2" s="21"/>
    </row>
    <row r="3" spans="1:8" ht="14.45" customHeight="1">
      <c r="A3" s="9">
        <v>4</v>
      </c>
      <c r="B3" s="19" t="s">
        <v>134</v>
      </c>
      <c r="C3" s="9" t="s">
        <v>26</v>
      </c>
      <c r="D3" s="20">
        <v>6.7082039324993694</v>
      </c>
      <c r="E3" s="57"/>
      <c r="F3" s="57"/>
      <c r="G3" s="21"/>
      <c r="H3" s="21"/>
    </row>
    <row r="4" spans="1:8" ht="14.45" customHeight="1">
      <c r="A4" s="9">
        <v>6</v>
      </c>
      <c r="B4" s="19" t="s">
        <v>125</v>
      </c>
      <c r="C4" s="9" t="s">
        <v>26</v>
      </c>
      <c r="D4" s="20">
        <v>6.7082039324993694</v>
      </c>
      <c r="E4" s="57"/>
      <c r="F4" s="57"/>
      <c r="G4" s="21"/>
      <c r="H4" s="21"/>
    </row>
    <row r="5" spans="1:8" ht="14.45" customHeight="1">
      <c r="A5" s="9">
        <v>7</v>
      </c>
      <c r="B5" s="19" t="s">
        <v>140</v>
      </c>
      <c r="C5" s="9" t="s">
        <v>26</v>
      </c>
      <c r="D5" s="20">
        <v>6.4807406984078604</v>
      </c>
      <c r="E5" s="57"/>
      <c r="F5" s="57"/>
      <c r="G5" s="21"/>
      <c r="H5" s="21"/>
    </row>
    <row r="6" spans="1:8" ht="14.45" customHeight="1">
      <c r="A6" s="9">
        <v>10</v>
      </c>
      <c r="B6" s="19" t="s">
        <v>117</v>
      </c>
      <c r="C6" s="9" t="s">
        <v>26</v>
      </c>
      <c r="D6" s="20">
        <v>6.7082039324993694</v>
      </c>
      <c r="E6" s="57"/>
      <c r="F6" s="57"/>
      <c r="G6" s="21"/>
      <c r="H6" s="21"/>
    </row>
    <row r="7" spans="1:8" ht="14.45" customHeight="1">
      <c r="A7" s="9">
        <v>12</v>
      </c>
      <c r="B7" s="19" t="s">
        <v>150</v>
      </c>
      <c r="C7" s="9" t="s">
        <v>26</v>
      </c>
      <c r="D7" s="20">
        <v>5.5</v>
      </c>
      <c r="E7" s="57"/>
      <c r="F7" s="57"/>
      <c r="G7" s="21"/>
      <c r="H7" s="21"/>
    </row>
    <row r="8" spans="1:8" ht="14.45" customHeight="1">
      <c r="A8" s="9">
        <v>13</v>
      </c>
      <c r="B8" s="19" t="s">
        <v>101</v>
      </c>
      <c r="C8" s="9" t="s">
        <v>26</v>
      </c>
      <c r="D8" s="20">
        <v>5.5</v>
      </c>
      <c r="E8" s="57"/>
      <c r="F8" s="57"/>
      <c r="G8" s="21"/>
      <c r="H8" s="21"/>
    </row>
    <row r="9" spans="1:8" ht="14.45" customHeight="1">
      <c r="A9" s="9">
        <v>15</v>
      </c>
      <c r="B9" s="9" t="s">
        <v>130</v>
      </c>
      <c r="C9" s="9" t="s">
        <v>26</v>
      </c>
      <c r="D9" s="20">
        <v>6.4807406984078604</v>
      </c>
      <c r="E9" s="57"/>
      <c r="F9" s="57"/>
      <c r="G9" s="21"/>
      <c r="H9" s="21"/>
    </row>
    <row r="10" spans="1:8" ht="14.45" customHeight="1">
      <c r="A10" s="9">
        <v>16</v>
      </c>
      <c r="B10" s="9" t="s">
        <v>119</v>
      </c>
      <c r="C10" s="9" t="s">
        <v>26</v>
      </c>
      <c r="D10" s="20">
        <v>6.9821200218844703</v>
      </c>
      <c r="E10" s="57"/>
      <c r="F10" s="57"/>
      <c r="G10" s="21"/>
      <c r="H10" s="21"/>
    </row>
    <row r="11" spans="1:8" ht="14.45" customHeight="1">
      <c r="A11" s="9">
        <v>17</v>
      </c>
      <c r="B11" s="9" t="s">
        <v>110</v>
      </c>
      <c r="C11" s="9" t="s">
        <v>26</v>
      </c>
      <c r="D11" s="20">
        <v>6.7082039324993694</v>
      </c>
      <c r="E11" s="57"/>
      <c r="F11" s="57"/>
      <c r="G11" s="21"/>
      <c r="H11" s="21"/>
    </row>
    <row r="12" spans="1:8" ht="14.45" customHeight="1">
      <c r="A12" s="9">
        <v>18</v>
      </c>
      <c r="B12" s="9" t="s">
        <v>128</v>
      </c>
      <c r="C12" s="9" t="s">
        <v>26</v>
      </c>
      <c r="D12" s="20">
        <v>6.2048368229954276</v>
      </c>
      <c r="E12" s="57"/>
      <c r="F12" s="57"/>
      <c r="G12" s="21"/>
      <c r="H12" s="21"/>
    </row>
    <row r="13" spans="1:8" ht="14.45" customHeight="1">
      <c r="A13" s="9">
        <v>23</v>
      </c>
      <c r="B13" s="9" t="s">
        <v>121</v>
      </c>
      <c r="C13" s="9" t="s">
        <v>26</v>
      </c>
      <c r="D13" s="20">
        <v>7.2111025509279782</v>
      </c>
      <c r="E13" s="57"/>
      <c r="F13" s="57"/>
      <c r="G13" s="21"/>
      <c r="H13" s="21"/>
    </row>
    <row r="14" spans="1:8" ht="14.45" customHeight="1">
      <c r="A14" s="9">
        <v>24</v>
      </c>
      <c r="B14" s="9" t="s">
        <v>151</v>
      </c>
      <c r="C14" s="9" t="s">
        <v>26</v>
      </c>
      <c r="D14" s="20">
        <v>6.9821200218844703</v>
      </c>
      <c r="E14" s="57"/>
      <c r="F14" s="57"/>
      <c r="G14" s="21"/>
      <c r="H14" s="21"/>
    </row>
    <row r="15" spans="1:8" ht="14.45" customHeight="1">
      <c r="A15" s="9">
        <v>1</v>
      </c>
      <c r="B15" s="19" t="s">
        <v>132</v>
      </c>
      <c r="C15" s="9" t="s">
        <v>24</v>
      </c>
      <c r="D15" s="20">
        <v>6.7082039324993694</v>
      </c>
      <c r="E15" s="57">
        <f>AVERAGE(D15:D26)</f>
        <v>5.9959204990250008</v>
      </c>
      <c r="F15" s="57" t="s">
        <v>156</v>
      </c>
      <c r="G15" s="21"/>
      <c r="H15" s="21"/>
    </row>
    <row r="16" spans="1:8" ht="15">
      <c r="A16" s="9">
        <v>2</v>
      </c>
      <c r="B16" s="19" t="s">
        <v>138</v>
      </c>
      <c r="C16" s="9" t="s">
        <v>24</v>
      </c>
      <c r="D16" s="20">
        <v>6.7082039324993694</v>
      </c>
      <c r="E16" s="57"/>
      <c r="F16" s="57"/>
    </row>
    <row r="17" spans="1:6" ht="15">
      <c r="A17" s="9">
        <v>5</v>
      </c>
      <c r="B17" s="19" t="s">
        <v>108</v>
      </c>
      <c r="C17" s="9" t="s">
        <v>24</v>
      </c>
      <c r="D17" s="20">
        <v>5.7008771254956896</v>
      </c>
      <c r="E17" s="57"/>
      <c r="F17" s="57"/>
    </row>
    <row r="18" spans="1:6" ht="15">
      <c r="A18" s="9">
        <v>8</v>
      </c>
      <c r="B18" s="19" t="s">
        <v>107</v>
      </c>
      <c r="C18" s="9" t="s">
        <v>24</v>
      </c>
      <c r="D18" s="20">
        <v>6.4226162893325647</v>
      </c>
      <c r="E18" s="57"/>
      <c r="F18" s="57"/>
    </row>
    <row r="19" spans="1:6" ht="15">
      <c r="A19" s="9">
        <v>9</v>
      </c>
      <c r="B19" s="19" t="s">
        <v>115</v>
      </c>
      <c r="C19" s="9" t="s">
        <v>24</v>
      </c>
      <c r="D19" s="20">
        <v>6.5</v>
      </c>
      <c r="E19" s="57"/>
      <c r="F19" s="57"/>
    </row>
    <row r="20" spans="1:6" ht="15">
      <c r="A20" s="9">
        <v>11</v>
      </c>
      <c r="B20" s="19" t="s">
        <v>99</v>
      </c>
      <c r="C20" s="9" t="s">
        <v>24</v>
      </c>
      <c r="D20" s="20">
        <v>4.6904157598234297</v>
      </c>
      <c r="E20" s="57"/>
      <c r="F20" s="57"/>
    </row>
    <row r="21" spans="1:6" ht="15">
      <c r="A21" s="9">
        <v>14</v>
      </c>
      <c r="B21" s="22" t="s">
        <v>142</v>
      </c>
      <c r="C21" s="9" t="s">
        <v>24</v>
      </c>
      <c r="D21" s="20">
        <v>5.7445626465380286</v>
      </c>
      <c r="E21" s="57"/>
      <c r="F21" s="57"/>
    </row>
    <row r="22" spans="1:6" ht="15">
      <c r="A22" s="9">
        <v>19</v>
      </c>
      <c r="B22" s="9" t="s">
        <v>105</v>
      </c>
      <c r="C22" s="9" t="s">
        <v>24</v>
      </c>
      <c r="D22" s="20">
        <v>5.4772255750516612</v>
      </c>
      <c r="E22" s="57"/>
      <c r="F22" s="57"/>
    </row>
    <row r="23" spans="1:6" ht="15">
      <c r="A23" s="9">
        <v>20</v>
      </c>
      <c r="B23" s="9" t="s">
        <v>152</v>
      </c>
      <c r="C23" s="9" t="s">
        <v>24</v>
      </c>
      <c r="D23" s="20">
        <v>6.4807406984078604</v>
      </c>
      <c r="E23" s="57"/>
      <c r="F23" s="57"/>
    </row>
    <row r="24" spans="1:6" ht="15">
      <c r="A24" s="9">
        <v>21</v>
      </c>
      <c r="B24" s="9" t="s">
        <v>106</v>
      </c>
      <c r="C24" s="9" t="s">
        <v>24</v>
      </c>
      <c r="D24" s="20">
        <v>5.6124860801609122</v>
      </c>
      <c r="E24" s="57"/>
      <c r="F24" s="57"/>
    </row>
    <row r="25" spans="1:6" ht="15">
      <c r="A25" s="23">
        <v>22</v>
      </c>
      <c r="B25" s="23" t="s">
        <v>136</v>
      </c>
      <c r="C25" s="23" t="s">
        <v>24</v>
      </c>
      <c r="D25" s="20">
        <v>5.7008771254956896</v>
      </c>
      <c r="E25" s="57"/>
      <c r="F25" s="57"/>
    </row>
    <row r="26" spans="1:6" ht="14.45" customHeight="1">
      <c r="A26" s="3">
        <v>25</v>
      </c>
      <c r="B26" s="3" t="s">
        <v>102</v>
      </c>
      <c r="C26" s="3" t="s">
        <v>24</v>
      </c>
      <c r="D26" s="20">
        <v>6.2048368229954276</v>
      </c>
      <c r="E26" s="57"/>
      <c r="F26" s="57"/>
    </row>
    <row r="27" spans="1:6" ht="15"/>
  </sheetData>
  <autoFilter ref="A1:D1" xr:uid="{F294EAD7-2207-4EA2-A633-F6E085B1F34F}">
    <sortState xmlns:xlrd2="http://schemas.microsoft.com/office/spreadsheetml/2017/richdata2" ref="A2:D26">
      <sortCondition ref="C1"/>
    </sortState>
  </autoFilter>
  <mergeCells count="4">
    <mergeCell ref="E2:E14"/>
    <mergeCell ref="E15:E26"/>
    <mergeCell ref="F2:F14"/>
    <mergeCell ref="F15:F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8715-EA17-4201-8321-44563AC1BAD5}">
  <dimension ref="A1:H27"/>
  <sheetViews>
    <sheetView workbookViewId="0">
      <selection activeCell="C22" sqref="C22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 ht="15">
      <c r="A1" s="18" t="s">
        <v>27</v>
      </c>
      <c r="B1" s="18" t="s">
        <v>28</v>
      </c>
      <c r="C1" s="18" t="s">
        <v>29</v>
      </c>
      <c r="D1" s="18" t="s">
        <v>157</v>
      </c>
      <c r="E1" s="18" t="s">
        <v>158</v>
      </c>
      <c r="F1" s="18" t="s">
        <v>159</v>
      </c>
    </row>
    <row r="2" spans="1:8" ht="14.45" customHeight="1">
      <c r="A2" s="9">
        <v>3</v>
      </c>
      <c r="B2" s="19" t="s">
        <v>109</v>
      </c>
      <c r="C2" s="9" t="s">
        <v>26</v>
      </c>
      <c r="D2" s="24">
        <v>7.375</v>
      </c>
      <c r="E2" s="57">
        <f>AVERAGE(D2:D14)</f>
        <v>7.3365384615384617</v>
      </c>
      <c r="F2" s="57" t="s">
        <v>160</v>
      </c>
      <c r="G2" s="21"/>
      <c r="H2" s="21"/>
    </row>
    <row r="3" spans="1:8" ht="14.45" customHeight="1">
      <c r="A3" s="9">
        <v>4</v>
      </c>
      <c r="B3" s="19" t="s">
        <v>134</v>
      </c>
      <c r="C3" s="9" t="s">
        <v>26</v>
      </c>
      <c r="D3" s="24">
        <v>7.375</v>
      </c>
      <c r="E3" s="57"/>
      <c r="F3" s="57"/>
      <c r="G3" s="21"/>
      <c r="H3" s="21"/>
    </row>
    <row r="4" spans="1:8" ht="14.45" customHeight="1">
      <c r="A4" s="9">
        <v>6</v>
      </c>
      <c r="B4" s="19" t="s">
        <v>125</v>
      </c>
      <c r="C4" s="9" t="s">
        <v>26</v>
      </c>
      <c r="D4" s="24">
        <v>7.375</v>
      </c>
      <c r="E4" s="57"/>
      <c r="F4" s="57"/>
      <c r="G4" s="21"/>
      <c r="H4" s="21"/>
    </row>
    <row r="5" spans="1:8" ht="14.45" customHeight="1">
      <c r="A5" s="9">
        <v>7</v>
      </c>
      <c r="B5" s="19" t="s">
        <v>140</v>
      </c>
      <c r="C5" s="9" t="s">
        <v>26</v>
      </c>
      <c r="D5" s="24">
        <v>7.375</v>
      </c>
      <c r="E5" s="57"/>
      <c r="F5" s="57"/>
      <c r="G5" s="21"/>
      <c r="H5" s="21"/>
    </row>
    <row r="6" spans="1:8" ht="14.45" customHeight="1">
      <c r="A6" s="9">
        <v>10</v>
      </c>
      <c r="B6" s="19" t="s">
        <v>117</v>
      </c>
      <c r="C6" s="9" t="s">
        <v>26</v>
      </c>
      <c r="D6" s="24">
        <v>7.375</v>
      </c>
      <c r="E6" s="57"/>
      <c r="F6" s="57"/>
      <c r="G6" s="21"/>
      <c r="H6" s="21"/>
    </row>
    <row r="7" spans="1:8" ht="14.45" customHeight="1">
      <c r="A7" s="9">
        <v>12</v>
      </c>
      <c r="B7" s="19" t="s">
        <v>150</v>
      </c>
      <c r="C7" s="9" t="s">
        <v>26</v>
      </c>
      <c r="D7" s="24">
        <v>7.375</v>
      </c>
      <c r="E7" s="57"/>
      <c r="F7" s="57"/>
      <c r="G7" s="21"/>
      <c r="H7" s="21"/>
    </row>
    <row r="8" spans="1:8" ht="14.45" customHeight="1">
      <c r="A8" s="9">
        <v>13</v>
      </c>
      <c r="B8" s="19" t="s">
        <v>101</v>
      </c>
      <c r="C8" s="9" t="s">
        <v>26</v>
      </c>
      <c r="D8" s="24">
        <v>7.375</v>
      </c>
      <c r="E8" s="57"/>
      <c r="F8" s="57"/>
      <c r="G8" s="21"/>
      <c r="H8" s="21"/>
    </row>
    <row r="9" spans="1:8" ht="14.45" customHeight="1">
      <c r="A9" s="9">
        <v>15</v>
      </c>
      <c r="B9" s="9" t="s">
        <v>130</v>
      </c>
      <c r="C9" s="9" t="s">
        <v>26</v>
      </c>
      <c r="D9" s="24">
        <v>7.375</v>
      </c>
      <c r="E9" s="57"/>
      <c r="F9" s="57"/>
      <c r="G9" s="21"/>
      <c r="H9" s="21"/>
    </row>
    <row r="10" spans="1:8" ht="14.45" customHeight="1">
      <c r="A10" s="9">
        <v>16</v>
      </c>
      <c r="B10" s="9" t="s">
        <v>119</v>
      </c>
      <c r="C10" s="9" t="s">
        <v>26</v>
      </c>
      <c r="D10" s="24">
        <v>7.375</v>
      </c>
      <c r="E10" s="57"/>
      <c r="F10" s="57"/>
      <c r="G10" s="21"/>
      <c r="H10" s="21"/>
    </row>
    <row r="11" spans="1:8" ht="14.45" customHeight="1">
      <c r="A11" s="9">
        <v>17</v>
      </c>
      <c r="B11" s="9" t="s">
        <v>110</v>
      </c>
      <c r="C11" s="9" t="s">
        <v>26</v>
      </c>
      <c r="D11" s="24">
        <v>7.375</v>
      </c>
      <c r="E11" s="57"/>
      <c r="F11" s="57"/>
      <c r="G11" s="21"/>
      <c r="H11" s="21"/>
    </row>
    <row r="12" spans="1:8" ht="14.45" customHeight="1">
      <c r="A12" s="9">
        <v>18</v>
      </c>
      <c r="B12" s="9" t="s">
        <v>128</v>
      </c>
      <c r="C12" s="9" t="s">
        <v>26</v>
      </c>
      <c r="D12" s="24">
        <v>7.375</v>
      </c>
      <c r="E12" s="57"/>
      <c r="F12" s="57"/>
      <c r="G12" s="21"/>
      <c r="H12" s="21"/>
    </row>
    <row r="13" spans="1:8" ht="14.45" customHeight="1">
      <c r="A13" s="9">
        <v>23</v>
      </c>
      <c r="B13" s="9" t="s">
        <v>121</v>
      </c>
      <c r="C13" s="9" t="s">
        <v>26</v>
      </c>
      <c r="D13" s="24">
        <v>7.375</v>
      </c>
      <c r="E13" s="57"/>
      <c r="F13" s="57"/>
      <c r="G13" s="21"/>
      <c r="H13" s="21"/>
    </row>
    <row r="14" spans="1:8" ht="14.45" customHeight="1">
      <c r="A14" s="9">
        <v>24</v>
      </c>
      <c r="B14" s="9" t="s">
        <v>151</v>
      </c>
      <c r="C14" s="9" t="s">
        <v>26</v>
      </c>
      <c r="D14" s="24">
        <v>6.875</v>
      </c>
      <c r="E14" s="57"/>
      <c r="F14" s="57"/>
      <c r="G14" s="21"/>
      <c r="H14" s="21"/>
    </row>
    <row r="15" spans="1:8" ht="14.45" customHeight="1">
      <c r="A15" s="9">
        <v>1</v>
      </c>
      <c r="B15" s="19" t="s">
        <v>132</v>
      </c>
      <c r="C15" s="9" t="s">
        <v>24</v>
      </c>
      <c r="D15" s="24">
        <v>6.875</v>
      </c>
      <c r="E15" s="57">
        <f>AVERAGE(D15:D26)</f>
        <v>7.291666666666667</v>
      </c>
      <c r="F15" s="57" t="s">
        <v>160</v>
      </c>
      <c r="G15" s="21"/>
      <c r="H15" s="21"/>
    </row>
    <row r="16" spans="1:8" ht="15">
      <c r="A16" s="9">
        <v>2</v>
      </c>
      <c r="B16" s="19" t="s">
        <v>138</v>
      </c>
      <c r="C16" s="9" t="s">
        <v>24</v>
      </c>
      <c r="D16" s="24">
        <v>7.375</v>
      </c>
      <c r="E16" s="57"/>
      <c r="F16" s="57"/>
    </row>
    <row r="17" spans="1:6" ht="15">
      <c r="A17" s="9">
        <v>5</v>
      </c>
      <c r="B17" s="19" t="s">
        <v>108</v>
      </c>
      <c r="C17" s="9" t="s">
        <v>24</v>
      </c>
      <c r="D17" s="24">
        <v>6.875</v>
      </c>
      <c r="E17" s="57"/>
      <c r="F17" s="57"/>
    </row>
    <row r="18" spans="1:6" ht="15">
      <c r="A18" s="9">
        <v>8</v>
      </c>
      <c r="B18" s="19" t="s">
        <v>107</v>
      </c>
      <c r="C18" s="9" t="s">
        <v>24</v>
      </c>
      <c r="D18" s="24">
        <v>7.375</v>
      </c>
      <c r="E18" s="57"/>
      <c r="F18" s="57"/>
    </row>
    <row r="19" spans="1:6" ht="15">
      <c r="A19" s="9">
        <v>9</v>
      </c>
      <c r="B19" s="19" t="s">
        <v>115</v>
      </c>
      <c r="C19" s="9" t="s">
        <v>24</v>
      </c>
      <c r="D19" s="24">
        <v>7.375</v>
      </c>
      <c r="E19" s="57"/>
      <c r="F19" s="57"/>
    </row>
    <row r="20" spans="1:6" ht="15">
      <c r="A20" s="9">
        <v>11</v>
      </c>
      <c r="B20" s="19" t="s">
        <v>99</v>
      </c>
      <c r="C20" s="9" t="s">
        <v>24</v>
      </c>
      <c r="D20" s="24">
        <v>7.375</v>
      </c>
      <c r="E20" s="57"/>
      <c r="F20" s="57"/>
    </row>
    <row r="21" spans="1:6" ht="15">
      <c r="A21" s="9">
        <v>14</v>
      </c>
      <c r="B21" s="22" t="s">
        <v>142</v>
      </c>
      <c r="C21" s="9" t="s">
        <v>24</v>
      </c>
      <c r="D21" s="24">
        <v>7.375</v>
      </c>
      <c r="E21" s="57"/>
      <c r="F21" s="57"/>
    </row>
    <row r="22" spans="1:6" ht="15">
      <c r="A22" s="9">
        <v>19</v>
      </c>
      <c r="B22" s="9" t="s">
        <v>105</v>
      </c>
      <c r="C22" s="9" t="s">
        <v>24</v>
      </c>
      <c r="D22" s="24">
        <v>7.375</v>
      </c>
      <c r="E22" s="57"/>
      <c r="F22" s="57"/>
    </row>
    <row r="23" spans="1:6" ht="15">
      <c r="A23" s="9">
        <v>20</v>
      </c>
      <c r="B23" s="9" t="s">
        <v>152</v>
      </c>
      <c r="C23" s="9" t="s">
        <v>24</v>
      </c>
      <c r="D23" s="24">
        <v>7.375</v>
      </c>
      <c r="E23" s="57"/>
      <c r="F23" s="57"/>
    </row>
    <row r="24" spans="1:6" ht="15">
      <c r="A24" s="9">
        <v>21</v>
      </c>
      <c r="B24" s="9" t="s">
        <v>106</v>
      </c>
      <c r="C24" s="9" t="s">
        <v>24</v>
      </c>
      <c r="D24" s="24">
        <v>7.375</v>
      </c>
      <c r="E24" s="57"/>
      <c r="F24" s="57"/>
    </row>
    <row r="25" spans="1:6" ht="15">
      <c r="A25" s="23">
        <v>22</v>
      </c>
      <c r="B25" s="23" t="s">
        <v>136</v>
      </c>
      <c r="C25" s="23" t="s">
        <v>24</v>
      </c>
      <c r="D25" s="24">
        <v>7.375</v>
      </c>
      <c r="E25" s="57"/>
      <c r="F25" s="57"/>
    </row>
    <row r="26" spans="1:6" ht="14.45" customHeight="1">
      <c r="A26" s="3">
        <v>25</v>
      </c>
      <c r="B26" s="3" t="s">
        <v>102</v>
      </c>
      <c r="C26" s="3" t="s">
        <v>24</v>
      </c>
      <c r="D26" s="24">
        <v>7.375</v>
      </c>
      <c r="E26" s="57"/>
      <c r="F26" s="57"/>
    </row>
    <row r="27" spans="1:6" ht="15"/>
  </sheetData>
  <autoFilter ref="A1:D1" xr:uid="{6981F627-9C8A-440F-9117-C65AEBF04DD7}">
    <sortState xmlns:xlrd2="http://schemas.microsoft.com/office/spreadsheetml/2017/richdata2" ref="A2:D26">
      <sortCondition ref="C1"/>
    </sortState>
  </autoFilter>
  <mergeCells count="4">
    <mergeCell ref="E2:E14"/>
    <mergeCell ref="E15:E26"/>
    <mergeCell ref="F2:F14"/>
    <mergeCell ref="F15:F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8017-17E3-4A27-BBA1-6CC5B835B4DA}">
  <dimension ref="A2:O15"/>
  <sheetViews>
    <sheetView tabSelected="1"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5">
      <c r="A2" s="46" t="s">
        <v>161</v>
      </c>
      <c r="B2" s="46" t="s">
        <v>162</v>
      </c>
      <c r="C2" s="47" t="s">
        <v>26</v>
      </c>
      <c r="D2" s="47"/>
      <c r="E2" s="47"/>
      <c r="F2" s="47" t="s">
        <v>24</v>
      </c>
      <c r="G2" s="47"/>
      <c r="H2" s="47"/>
    </row>
    <row r="3" spans="1:15">
      <c r="A3" s="46"/>
      <c r="B3" s="46"/>
      <c r="C3" s="32" t="s">
        <v>163</v>
      </c>
      <c r="D3" s="32" t="s">
        <v>164</v>
      </c>
      <c r="E3" s="32" t="s">
        <v>165</v>
      </c>
      <c r="F3" s="32" t="s">
        <v>163</v>
      </c>
      <c r="G3" s="32" t="s">
        <v>164</v>
      </c>
      <c r="H3" s="32" t="s">
        <v>165</v>
      </c>
    </row>
    <row r="4" spans="1:15">
      <c r="A4" s="33">
        <v>1</v>
      </c>
      <c r="B4" s="34" t="s">
        <v>166</v>
      </c>
      <c r="C4" s="35">
        <f>IFERROR(COUNTIFS(STR!$V:$V, Overview!C$2, STR!$X:$X, "TRUE")/COUNTIFS(STR!$V:$V, Overview!C2), 0)</f>
        <v>1</v>
      </c>
      <c r="D4" s="36">
        <v>0.15</v>
      </c>
      <c r="E4" s="35">
        <f>D4*C4</f>
        <v>0.15</v>
      </c>
      <c r="F4" s="35">
        <f>IFERROR(COUNTIFS(STR!$V:$V, Overview!F$2, STR!$X:$X, "TRUE")/COUNTIFS(STR!$V:$V, Overview!F2), 0)</f>
        <v>1</v>
      </c>
      <c r="G4" s="36">
        <v>0.15</v>
      </c>
      <c r="H4" s="37">
        <f>G4*F4</f>
        <v>0.15</v>
      </c>
    </row>
    <row r="5" spans="1:15">
      <c r="A5" s="33">
        <v>2</v>
      </c>
      <c r="B5" s="34" t="s">
        <v>167</v>
      </c>
      <c r="C5" s="35">
        <f>1-AVERAGEIF('Bad Data'!$C:$C, Overview!C$2, 'Bad Data'!$D:$D)</f>
        <v>0.99950249999999996</v>
      </c>
      <c r="D5" s="36">
        <v>0.1</v>
      </c>
      <c r="E5" s="35">
        <f t="shared" ref="E5:E14" si="0">D5*C5</f>
        <v>9.9950250000000004E-2</v>
      </c>
      <c r="F5" s="35">
        <f>1-AVERAGEIF('Bad Data'!$C:$C, Overview!F$2, 'Bad Data'!$D:$D)</f>
        <v>0.99918076923076926</v>
      </c>
      <c r="G5" s="36">
        <v>0.1</v>
      </c>
      <c r="H5" s="37">
        <f t="shared" ref="H5:H14" si="1">G5*F5</f>
        <v>9.9918076923076929E-2</v>
      </c>
    </row>
    <row r="6" spans="1:15">
      <c r="A6" s="33">
        <v>3</v>
      </c>
      <c r="B6" s="34" t="s">
        <v>168</v>
      </c>
      <c r="C6" s="35">
        <f>AVERAGEIF('Pengkinian Data'!$C:$C, Overview!C$2, 'Pengkinian Data'!$D:$D)</f>
        <v>0.99823333333333331</v>
      </c>
      <c r="D6" s="36">
        <v>0.1</v>
      </c>
      <c r="E6" s="35">
        <f t="shared" si="0"/>
        <v>9.9823333333333333E-2</v>
      </c>
      <c r="F6" s="35">
        <f>AVERAGEIF('Pengkinian Data'!$C:$C, Overview!F$2, 'Pengkinian Data'!$D:$D)</f>
        <v>0.9960461538461538</v>
      </c>
      <c r="G6" s="36">
        <v>0.1</v>
      </c>
      <c r="H6" s="37">
        <f t="shared" si="1"/>
        <v>9.9604615384615389E-2</v>
      </c>
      <c r="O6" t="s">
        <v>25</v>
      </c>
    </row>
    <row r="7" spans="1:15">
      <c r="A7" s="33">
        <v>4</v>
      </c>
      <c r="B7" s="34" t="s">
        <v>169</v>
      </c>
      <c r="C7" s="35" cm="1">
        <f t="array" ref="C7">IFERROR(SUMPRODUCT(--('[3]Uji Petik'!$E$3:$E$73&lt;&gt;""), --('[3]Uji Petik'!$C$3:$C$73=C2)) / SUMPRODUCT(--('[3]Uji Petik'!$C$3:$C$73=C2)), 0)</f>
        <v>0</v>
      </c>
      <c r="D7" s="36">
        <v>0</v>
      </c>
      <c r="E7" s="35">
        <f t="shared" si="0"/>
        <v>0</v>
      </c>
      <c r="F7" s="35" cm="1">
        <f t="array" ref="F7">IFERROR(SUMPRODUCT(--('[3]Uji Petik'!$E$3:$E$73&lt;&gt;""), --('[3]Uji Petik'!$C$3:$C$73=F2)) / SUMPRODUCT(--('[3]Uji Petik'!$C$3:$C$73=F2)), 0)</f>
        <v>0</v>
      </c>
      <c r="G7" s="36">
        <v>0</v>
      </c>
      <c r="H7" s="37">
        <f t="shared" si="1"/>
        <v>0</v>
      </c>
    </row>
    <row r="8" spans="1:15">
      <c r="A8" s="33">
        <v>5</v>
      </c>
      <c r="B8" s="34" t="s">
        <v>170</v>
      </c>
      <c r="C8" s="38" cm="1">
        <f t="array" ref="C8">IFERROR(AVERAGE(IF([1]Sosialisasi!$C$1:$C$10000=C2, [1]Sosialisasi!$D$1:$D$10000)), 0)</f>
        <v>0.15384615384615385</v>
      </c>
      <c r="D8" s="36">
        <v>0.15</v>
      </c>
      <c r="E8" s="35">
        <f t="shared" si="0"/>
        <v>2.3076923076923078E-2</v>
      </c>
      <c r="F8" s="38" cm="1">
        <f t="array" ref="F8">IFERROR(AVERAGE(IF([1]Sosialisasi!$C$1:$C$10000=F2, [1]Sosialisasi!$D$1:$D$10000)), 0)</f>
        <v>0.41666666666666669</v>
      </c>
      <c r="G8" s="36">
        <v>0.15</v>
      </c>
      <c r="H8" s="37">
        <f t="shared" si="1"/>
        <v>6.25E-2</v>
      </c>
    </row>
    <row r="9" spans="1:15">
      <c r="A9" s="33">
        <v>6</v>
      </c>
      <c r="B9" s="34" t="s">
        <v>171</v>
      </c>
      <c r="C9" s="35">
        <f>AVERAGEIF('EDD PEP PPATK'!$C:$C, Overview!C$2, 'EDD PEP PPATK'!$D:$D)</f>
        <v>0.99033488359331057</v>
      </c>
      <c r="D9" s="36">
        <v>0.1</v>
      </c>
      <c r="E9" s="35">
        <f t="shared" si="0"/>
        <v>9.9033488359331068E-2</v>
      </c>
      <c r="F9" s="35">
        <f>AVERAGEIF('EDD PEP PPATK'!$C:$C, Overview!F$2, 'EDD PEP PPATK'!$D:$D)</f>
        <v>0.99462365591397861</v>
      </c>
      <c r="G9" s="36">
        <v>0.1</v>
      </c>
      <c r="H9" s="37">
        <f t="shared" si="1"/>
        <v>9.9462365591397872E-2</v>
      </c>
    </row>
    <row r="10" spans="1:15">
      <c r="A10" s="33">
        <v>7</v>
      </c>
      <c r="B10" s="34" t="s">
        <v>172</v>
      </c>
      <c r="C10" s="35" cm="1">
        <f t="array" ref="C10">IF(IFERROR(AVERAGE(IF('[1]Sheet2 (2)'!$C$1:$C$10000=C$2, '[1]Sheet2 (2)'!$D$1:$D$10000)), 0)&gt;0.9, 1, IFERROR(AVERAGE(IF('[1]Sheet2 (2)'!$C$1:$C$10000=C$2, '[1]Sheet2 (2)'!$D$1:$D$10000)), 0))</f>
        <v>1</v>
      </c>
      <c r="D10" s="36">
        <v>0.05</v>
      </c>
      <c r="E10" s="35">
        <f t="shared" si="0"/>
        <v>0.05</v>
      </c>
      <c r="F10" s="35" cm="1">
        <f t="array" ref="F10">IF(IFERROR(AVERAGE(IF('[1]Sheet2 (2)'!$C$1:$C$10000=F$2, '[1]Sheet2 (2)'!$D$1:$D$10000)), 0)&gt;0.9, 1, IFERROR(AVERAGE(IF('[1]Sheet2 (2)'!$C$1:$C$10000=F$2, '[1]Sheet2 (2)'!$D$1:$D$10000)), 0))</f>
        <v>1</v>
      </c>
      <c r="G10" s="36">
        <v>0.05</v>
      </c>
      <c r="H10" s="37">
        <f t="shared" si="1"/>
        <v>0.05</v>
      </c>
    </row>
    <row r="11" spans="1:15">
      <c r="A11" s="33">
        <v>8</v>
      </c>
      <c r="B11" s="34" t="s">
        <v>173</v>
      </c>
      <c r="C11" s="35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36">
        <v>0.05</v>
      </c>
      <c r="E11" s="35">
        <f t="shared" si="0"/>
        <v>0.05</v>
      </c>
      <c r="F11" s="35" cm="1">
        <f t="array" ref="F11">IF(IFERROR(AVERAGE(IF('[1]Sheet2 (3)'!$C$1:$C$10000=F2, '[1]Sheet2 (3)'!$D$1:$D$10000)), 0)&gt;90, 1, IFERROR(AVERAGE(IF('[1]Sheet2 (3)'!$C$1:$C$10000=F2, '[1]Sheet2 (3)'!$D$1:$D$10000)), 0)/90)</f>
        <v>1</v>
      </c>
      <c r="G11" s="36">
        <v>0.05</v>
      </c>
      <c r="H11" s="37">
        <f t="shared" si="1"/>
        <v>0.05</v>
      </c>
    </row>
    <row r="12" spans="1:15">
      <c r="A12" s="33">
        <v>9</v>
      </c>
      <c r="B12" s="34" t="s">
        <v>174</v>
      </c>
      <c r="C12" s="35">
        <f>IF(AVERAGEIF('Nilai Maturitas'!$C:$C, Overview!C2, 'Nilai Maturitas'!$D:$D) &gt; 8, 110%, AVERAGEIF('Nilai Maturitas'!$C:$C, Overview!C2, 'Nilai Maturitas'!$D:$D)/8*100%)</f>
        <v>1.1000000000000001</v>
      </c>
      <c r="D12" s="36">
        <v>0.1</v>
      </c>
      <c r="E12" s="35">
        <f t="shared" si="0"/>
        <v>0.11000000000000001</v>
      </c>
      <c r="F12" s="35">
        <f>IF(AVERAGEIF('Nilai Maturitas'!$C:$C, Overview!F2, 'Nilai Maturitas'!$D:$D) &gt; 8, 110%, AVERAGEIF('Nilai Maturitas'!$C:$C, Overview!F2, 'Nilai Maturitas'!$D:$D)/8*100%)</f>
        <v>1.1000000000000001</v>
      </c>
      <c r="G12" s="36">
        <v>0.1</v>
      </c>
      <c r="H12" s="37">
        <f t="shared" si="1"/>
        <v>0.11000000000000001</v>
      </c>
    </row>
    <row r="13" spans="1:15">
      <c r="A13" s="33">
        <v>10</v>
      </c>
      <c r="B13" s="34" t="s">
        <v>175</v>
      </c>
      <c r="C13" s="35">
        <f>IF(AVERAGEIF('Maturitas Dashboard'!$C:$C, Overview!C$2, 'Maturitas Dashboard'!$D:$D) &gt; 8, 110%, AVERAGEIF('Maturitas Dashboard'!$C:$C, Overview!C$2, 'Maturitas Dashboard'!$D:$D)/8*100%)</f>
        <v>0.91706730769230771</v>
      </c>
      <c r="D13" s="36">
        <v>0.1</v>
      </c>
      <c r="E13" s="35">
        <f t="shared" si="0"/>
        <v>9.1706730769230776E-2</v>
      </c>
      <c r="F13" s="35">
        <f>IF(AVERAGEIF('Maturitas Dashboard'!$C:$C, Overview!F$2, 'Maturitas Dashboard'!$D:$D) &gt; 8, 110%, AVERAGEIF('Maturitas Dashboard'!$C:$C, Overview!F$2, 'Maturitas Dashboard'!$D:$D)/8*100%)</f>
        <v>0.91145833333333337</v>
      </c>
      <c r="G13" s="36">
        <v>0.1</v>
      </c>
      <c r="H13" s="37">
        <f t="shared" si="1"/>
        <v>9.1145833333333343E-2</v>
      </c>
    </row>
    <row r="14" spans="1:15">
      <c r="A14" s="39">
        <v>11</v>
      </c>
      <c r="B14" s="40" t="s">
        <v>176</v>
      </c>
      <c r="C14" s="41">
        <f>IF(AVERAGEIF('Penilaian Resiko'!$C:$C, Overview!C$2, 'Penilaian Resiko'!$D:$D) &lt; 5.8, 110%, IF(AVERAGEIF('Penilaian Resiko'!$C:$C, Overview!C$2, 'Penilaian Resiko'!$D:$D) &lt;7.4, 3/4*100%, 3/5*100%))</f>
        <v>0.75</v>
      </c>
      <c r="D14" s="42">
        <v>0.1</v>
      </c>
      <c r="E14" s="41">
        <f t="shared" si="0"/>
        <v>7.5000000000000011E-2</v>
      </c>
      <c r="F14" s="41">
        <f>IF(AVERAGEIF('Penilaian Resiko'!$C:$C, Overview!F$2, 'Penilaian Resiko'!$D:$D) &lt; 5.8, 110%, IF(AVERAGEIF('Penilaian Resiko'!$C:$C, Overview!F$2, 'Penilaian Resiko'!$D:$D) &lt;7.4, 3/4*100%, 3/5*100%))</f>
        <v>0.75</v>
      </c>
      <c r="G14" s="42">
        <v>0.1</v>
      </c>
      <c r="H14" s="43">
        <f t="shared" si="1"/>
        <v>7.5000000000000011E-2</v>
      </c>
    </row>
    <row r="15" spans="1:15">
      <c r="A15" s="44"/>
      <c r="B15" s="44"/>
      <c r="C15" s="48" t="s">
        <v>177</v>
      </c>
      <c r="D15" s="49"/>
      <c r="E15" s="45">
        <f>SUM(E4:E14)</f>
        <v>0.84859072553881831</v>
      </c>
      <c r="F15" s="48" t="s">
        <v>177</v>
      </c>
      <c r="G15" s="49"/>
      <c r="H15" s="45">
        <f>SUM(H4:H14)</f>
        <v>0.88763089123242356</v>
      </c>
    </row>
  </sheetData>
  <mergeCells count="6">
    <mergeCell ref="C15:D15"/>
    <mergeCell ref="F15:G15"/>
    <mergeCell ref="A2:A3"/>
    <mergeCell ref="B2:B3"/>
    <mergeCell ref="C2:E2"/>
    <mergeCell ref="F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F07D-7EEF-42CE-91B9-9DB2B8597243}">
  <dimension ref="A2:N15"/>
  <sheetViews>
    <sheetView workbookViewId="0">
      <selection activeCell="F7" sqref="F7"/>
    </sheetView>
  </sheetViews>
  <sheetFormatPr defaultRowHeight="15"/>
  <cols>
    <col min="1" max="1" width="4" bestFit="1" customWidth="1"/>
    <col min="2" max="2" width="27.140625" bestFit="1" customWidth="1"/>
    <col min="3" max="8" width="12" customWidth="1"/>
  </cols>
  <sheetData>
    <row r="2" spans="1:14">
      <c r="A2" s="46" t="s">
        <v>161</v>
      </c>
      <c r="B2" s="46" t="s">
        <v>162</v>
      </c>
      <c r="C2" s="47" t="s">
        <v>26</v>
      </c>
      <c r="D2" s="47"/>
      <c r="E2" s="47"/>
      <c r="F2" s="47" t="s">
        <v>24</v>
      </c>
      <c r="G2" s="47"/>
      <c r="H2" s="47"/>
    </row>
    <row r="3" spans="1:14">
      <c r="A3" s="46"/>
      <c r="B3" s="46"/>
      <c r="C3" s="32" t="s">
        <v>163</v>
      </c>
      <c r="D3" s="32" t="s">
        <v>164</v>
      </c>
      <c r="E3" s="32" t="s">
        <v>165</v>
      </c>
      <c r="F3" s="32" t="s">
        <v>163</v>
      </c>
      <c r="G3" s="32" t="s">
        <v>164</v>
      </c>
      <c r="H3" s="32" t="s">
        <v>165</v>
      </c>
    </row>
    <row r="4" spans="1:14">
      <c r="A4" s="33">
        <v>1</v>
      </c>
      <c r="B4" s="34" t="s">
        <v>166</v>
      </c>
      <c r="C4" s="35">
        <f>IFERROR(COUNTIFS(STR!$V:$V, 'Overview tanpa KPI'!C$2, STR!$X:$X, "TRUE")/COUNTIFS(STR!$V:$V, 'Overview tanpa KPI'!C2), 0)</f>
        <v>1</v>
      </c>
      <c r="D4" s="36">
        <v>0.15</v>
      </c>
      <c r="E4" s="35">
        <f>D4*C4</f>
        <v>0.15</v>
      </c>
      <c r="F4" s="35">
        <f>IFERROR(COUNTIFS(STR!$V:$V, 'Overview tanpa KPI'!F$2, STR!$X:$X, "TRUE")/COUNTIFS(STR!$V:$V, 'Overview tanpa KPI'!F2), 0)</f>
        <v>1</v>
      </c>
      <c r="G4" s="36">
        <v>0.15</v>
      </c>
      <c r="H4" s="37">
        <f>G4*F4</f>
        <v>0.15</v>
      </c>
    </row>
    <row r="5" spans="1:14">
      <c r="A5" s="33">
        <v>2</v>
      </c>
      <c r="B5" s="34" t="s">
        <v>167</v>
      </c>
      <c r="C5" s="35">
        <f>1-AVERAGEIF('Bad Data'!$C:$C, 'Overview tanpa KPI'!C$2, 'Bad Data'!$D:$D)</f>
        <v>0.99950249999999996</v>
      </c>
      <c r="D5" s="36">
        <v>0.1</v>
      </c>
      <c r="E5" s="35">
        <f t="shared" ref="E5:E14" si="0">D5*C5</f>
        <v>9.9950250000000004E-2</v>
      </c>
      <c r="F5" s="35">
        <f>1-AVERAGEIF('Bad Data'!$C:$C, 'Overview tanpa KPI'!F$2, 'Bad Data'!$D:$D)</f>
        <v>0.99918076923076926</v>
      </c>
      <c r="G5" s="36">
        <v>0.1</v>
      </c>
      <c r="H5" s="37">
        <f t="shared" ref="H5:H14" si="1">G5*F5</f>
        <v>9.9918076923076929E-2</v>
      </c>
    </row>
    <row r="6" spans="1:14">
      <c r="A6" s="33">
        <v>3</v>
      </c>
      <c r="B6" s="34" t="s">
        <v>168</v>
      </c>
      <c r="C6" s="35">
        <f>AVERAGEIF('Pengkinian Data'!$C:$C, 'Overview tanpa KPI'!C$2, 'Pengkinian Data'!$D:$D)</f>
        <v>0.99823333333333331</v>
      </c>
      <c r="D6" s="36">
        <v>0.1</v>
      </c>
      <c r="E6" s="35">
        <f t="shared" si="0"/>
        <v>9.9823333333333333E-2</v>
      </c>
      <c r="F6" s="35">
        <f>AVERAGEIF('Pengkinian Data'!$C:$C, 'Overview tanpa KPI'!F$2, 'Pengkinian Data'!$D:$D)</f>
        <v>0.9960461538461538</v>
      </c>
      <c r="G6" s="36">
        <v>0.1</v>
      </c>
      <c r="H6" s="37">
        <f t="shared" si="1"/>
        <v>9.9604615384615389E-2</v>
      </c>
      <c r="N6" t="s">
        <v>25</v>
      </c>
    </row>
    <row r="7" spans="1:14">
      <c r="A7" s="33">
        <v>4</v>
      </c>
      <c r="B7" s="34" t="s">
        <v>169</v>
      </c>
      <c r="C7" s="35" cm="1">
        <f t="array" ref="C7">IFERROR(SUMPRODUCT(--('[3]Uji Petik'!$E$3:$E$73&lt;&gt;""), --('[3]Uji Petik'!$C$3:$C$73=C2)) / SUMPRODUCT(--('[3]Uji Petik'!$C$3:$C$73=C2)), 0)</f>
        <v>0</v>
      </c>
      <c r="D7" s="36">
        <v>0</v>
      </c>
      <c r="E7" s="35">
        <f t="shared" si="0"/>
        <v>0</v>
      </c>
      <c r="F7" s="35" cm="1">
        <f t="array" ref="F7">IFERROR(SUMPRODUCT(--('[3]Uji Petik'!$E$3:$E$73&lt;&gt;""), --('[3]Uji Petik'!$C$3:$C$73=F2)) / SUMPRODUCT(--('[3]Uji Petik'!$C$3:$C$73=F2)), 0)</f>
        <v>0</v>
      </c>
      <c r="G7" s="36">
        <v>0</v>
      </c>
      <c r="H7" s="37">
        <f t="shared" si="1"/>
        <v>0</v>
      </c>
    </row>
    <row r="8" spans="1:14">
      <c r="A8" s="33">
        <v>5</v>
      </c>
      <c r="B8" s="34" t="s">
        <v>170</v>
      </c>
      <c r="C8" s="38" cm="1">
        <f t="array" ref="C8">IFERROR(AVERAGE(IF([1]Sosialisasi!$C$1:$C$10000=C2, [1]Sosialisasi!$D$1:$D$10000)), 0)</f>
        <v>0.15384615384615385</v>
      </c>
      <c r="D8" s="36">
        <v>0.15</v>
      </c>
      <c r="E8" s="35">
        <f t="shared" si="0"/>
        <v>2.3076923076923078E-2</v>
      </c>
      <c r="F8" s="38" cm="1">
        <f t="array" ref="F8">IFERROR(AVERAGE(IF([1]Sosialisasi!$C$1:$C$10000=F2, [1]Sosialisasi!$D$1:$D$10000)), 0)</f>
        <v>0.41666666666666669</v>
      </c>
      <c r="G8" s="36">
        <v>0.15</v>
      </c>
      <c r="H8" s="37">
        <f t="shared" si="1"/>
        <v>6.25E-2</v>
      </c>
    </row>
    <row r="9" spans="1:14">
      <c r="A9" s="33">
        <v>6</v>
      </c>
      <c r="B9" s="34" t="s">
        <v>171</v>
      </c>
      <c r="C9" s="35">
        <f>AVERAGEIF('EDD PEP PPATK'!$C:$C, 'Overview tanpa KPI'!C$2, 'EDD PEP PPATK'!$D:$D)</f>
        <v>0.99033488359331057</v>
      </c>
      <c r="D9" s="36">
        <v>0.1</v>
      </c>
      <c r="E9" s="35">
        <f t="shared" si="0"/>
        <v>9.9033488359331068E-2</v>
      </c>
      <c r="F9" s="35">
        <f>AVERAGEIF('EDD PEP PPATK'!$C:$C, 'Overview tanpa KPI'!F$2, 'EDD PEP PPATK'!$D:$D)</f>
        <v>0.99462365591397861</v>
      </c>
      <c r="G9" s="36">
        <v>0.1</v>
      </c>
      <c r="H9" s="37">
        <f t="shared" si="1"/>
        <v>9.9462365591397872E-2</v>
      </c>
    </row>
    <row r="10" spans="1:14">
      <c r="A10" s="33">
        <v>7</v>
      </c>
      <c r="B10" s="34" t="s">
        <v>172</v>
      </c>
      <c r="C10" s="35" cm="1">
        <f t="array" ref="C10">IFERROR(AVERAGE(IF('[1]Sheet2 (2)'!$C$1:$C$10000=C$2, '[1]Sheet2 (2)'!$D$1:$D$10000)), 0)</f>
        <v>0.9703153438383616</v>
      </c>
      <c r="D10" s="36">
        <v>0.05</v>
      </c>
      <c r="E10" s="35">
        <f t="shared" si="0"/>
        <v>4.851576719191808E-2</v>
      </c>
      <c r="F10" s="35" cm="1">
        <f t="array" ref="F10">IFERROR(AVERAGE(IF('[1]Sheet2 (2)'!$C$1:$C$10000=F$2, '[1]Sheet2 (2)'!$D$1:$D$10000)), 0)</f>
        <v>0.95776369762262448</v>
      </c>
      <c r="G10" s="36">
        <v>0.05</v>
      </c>
      <c r="H10" s="37">
        <f t="shared" si="1"/>
        <v>4.7888184881131224E-2</v>
      </c>
    </row>
    <row r="11" spans="1:14">
      <c r="A11" s="33">
        <v>8</v>
      </c>
      <c r="B11" s="34" t="s">
        <v>173</v>
      </c>
      <c r="C11" s="35" cm="1">
        <f t="array" ref="C11">IFERROR(AVERAGE(IF('[1]Sheet2 (3)'!$C$1:$C$10000=C2, '[1]Sheet2 (3)'!$D$1:$D$10000)), 0)</f>
        <v>92.801998647692301</v>
      </c>
      <c r="D11" s="36">
        <v>0.05</v>
      </c>
      <c r="E11" s="35">
        <f t="shared" si="0"/>
        <v>4.640099932384615</v>
      </c>
      <c r="F11" s="35" cm="1">
        <f t="array" ref="F11">IFERROR(AVERAGE(IF('[1]Sheet2 (3)'!$C$1:$C$10000=F2, '[1]Sheet2 (3)'!$D$1:$D$10000)), 0)</f>
        <v>91.748103122499984</v>
      </c>
      <c r="G11" s="36">
        <v>0.05</v>
      </c>
      <c r="H11" s="37">
        <f t="shared" si="1"/>
        <v>4.5874051561249996</v>
      </c>
    </row>
    <row r="12" spans="1:14">
      <c r="A12" s="33">
        <v>9</v>
      </c>
      <c r="B12" s="34" t="s">
        <v>174</v>
      </c>
      <c r="C12" s="35">
        <f>AVERAGEIF('Nilai Maturitas'!$C:$C, 'Overview tanpa KPI'!C2, 'Nilai Maturitas'!$D:$D)</f>
        <v>8.4584030252469162</v>
      </c>
      <c r="D12" s="36">
        <v>0.1</v>
      </c>
      <c r="E12" s="35">
        <f t="shared" si="0"/>
        <v>0.84584030252469167</v>
      </c>
      <c r="F12" s="35">
        <f>AVERAGEIF('Nilai Maturitas'!$C:$C, 'Overview tanpa KPI'!F2, 'Nilai Maturitas'!$D:$D)</f>
        <v>8.5231051408573872</v>
      </c>
      <c r="G12" s="36">
        <v>0.1</v>
      </c>
      <c r="H12" s="37">
        <f t="shared" si="1"/>
        <v>0.85231051408573877</v>
      </c>
    </row>
    <row r="13" spans="1:14">
      <c r="A13" s="33">
        <v>10</v>
      </c>
      <c r="B13" s="34" t="s">
        <v>175</v>
      </c>
      <c r="C13" s="35">
        <f>AVERAGEIF('Maturitas Dashboard'!$C:$C, 'Overview tanpa KPI'!C$2, 'Maturitas Dashboard'!$D:$D)</f>
        <v>7.3365384615384617</v>
      </c>
      <c r="D13" s="36">
        <v>0.1</v>
      </c>
      <c r="E13" s="35">
        <f t="shared" si="0"/>
        <v>0.73365384615384621</v>
      </c>
      <c r="F13" s="35">
        <f>AVERAGEIF('Maturitas Dashboard'!$C:$C, 'Overview tanpa KPI'!F$2, 'Maturitas Dashboard'!$D:$D)</f>
        <v>7.291666666666667</v>
      </c>
      <c r="G13" s="36">
        <v>0.1</v>
      </c>
      <c r="H13" s="37">
        <f t="shared" si="1"/>
        <v>0.72916666666666674</v>
      </c>
    </row>
    <row r="14" spans="1:14">
      <c r="A14" s="39">
        <v>11</v>
      </c>
      <c r="B14" s="40" t="s">
        <v>176</v>
      </c>
      <c r="C14" s="41">
        <f>AVERAGEIF('Penilaian Resiko'!$C:$C, 'Overview tanpa KPI'!C$2, 'Penilaian Resiko'!$D:$D)</f>
        <v>6.451950282307787</v>
      </c>
      <c r="D14" s="42">
        <v>0.1</v>
      </c>
      <c r="E14" s="41">
        <f t="shared" si="0"/>
        <v>0.64519502823077879</v>
      </c>
      <c r="F14" s="41">
        <f>AVERAGEIF('Penilaian Resiko'!$C:$C, 'Overview tanpa KPI'!F$2, 'Penilaian Resiko'!$D:$D)</f>
        <v>5.9959204990250008</v>
      </c>
      <c r="G14" s="42">
        <v>0.1</v>
      </c>
      <c r="H14" s="43">
        <f t="shared" si="1"/>
        <v>0.59959204990250015</v>
      </c>
    </row>
    <row r="15" spans="1:14">
      <c r="A15" s="44"/>
      <c r="B15" s="44"/>
      <c r="C15" s="48" t="s">
        <v>177</v>
      </c>
      <c r="D15" s="49"/>
      <c r="E15" s="45">
        <f>SUM(E4:E14)</f>
        <v>7.385188871255437</v>
      </c>
      <c r="F15" s="48" t="s">
        <v>177</v>
      </c>
      <c r="G15" s="49"/>
      <c r="H15" s="45">
        <f>SUM(H4:H14)</f>
        <v>7.3278476295601269</v>
      </c>
    </row>
  </sheetData>
  <mergeCells count="6">
    <mergeCell ref="A2:A3"/>
    <mergeCell ref="B2:B3"/>
    <mergeCell ref="C2:E2"/>
    <mergeCell ref="F2:H2"/>
    <mergeCell ref="C15:D15"/>
    <mergeCell ref="F15:G1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2026-09-29T03:19:31Z</dcterms:modified>
  <cp:category/>
  <cp:contentStatus/>
</cp:coreProperties>
</file>