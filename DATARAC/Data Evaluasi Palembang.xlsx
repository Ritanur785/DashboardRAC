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458" documentId="8_{CBB978E0-DA6C-437E-96CC-89A4C9D131CC}" xr6:coauthVersionLast="47" xr6:coauthVersionMax="47" xr10:uidLastSave="{6B4F8C04-7F26-4F0C-AA6F-7C319AE0BDCC}"/>
  <bookViews>
    <workbookView xWindow="-96" yWindow="0" windowWidth="11712" windowHeight="12336" firstSheet="10" activeTab="10" xr2:uid="{28B6D053-1D7F-4EEF-8978-633F77751EF4}"/>
  </bookViews>
  <sheets>
    <sheet name="STR" sheetId="5" r:id="rId1"/>
    <sheet name="EDD PEP PPATK" sheetId="1" r:id="rId2"/>
    <sheet name="Pengkinian Data" sheetId="9" r:id="rId3"/>
    <sheet name="Bad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</sheets>
  <externalReferences>
    <externalReference r:id="rId12"/>
    <externalReference r:id="rId13"/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7" i="11" l="1" a="1"/>
  <c r="F7" i="11" s="1"/>
  <c r="C7" i="11" a="1"/>
  <c r="C7" i="11" s="1"/>
  <c r="F7" i="10" a="1"/>
  <c r="F7" i="10" s="1"/>
  <c r="C7" i="10" a="1"/>
  <c r="C7" i="10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3" i="2"/>
  <c r="C5" i="11" s="1"/>
  <c r="E5" i="11" s="1"/>
  <c r="H7" i="11" s="1"/>
  <c r="D3" i="9"/>
  <c r="D4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C6" i="11"/>
  <c r="E6" i="11" s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2" i="5"/>
  <c r="F4" i="11" s="1"/>
  <c r="F5" i="11"/>
  <c r="F6" i="11"/>
  <c r="C9" i="11"/>
  <c r="F9" i="11"/>
  <c r="C12" i="11"/>
  <c r="F12" i="11"/>
  <c r="C13" i="11"/>
  <c r="F13" i="11"/>
  <c r="C14" i="11"/>
  <c r="F14" i="11"/>
  <c r="H14" i="11"/>
  <c r="E14" i="11"/>
  <c r="H13" i="11"/>
  <c r="E13" i="11"/>
  <c r="H12" i="11"/>
  <c r="E12" i="11"/>
  <c r="F11" i="11" a="1"/>
  <c r="F11" i="11" s="1"/>
  <c r="H11" i="11" s="1"/>
  <c r="C11" i="11" a="1"/>
  <c r="C11" i="11" s="1"/>
  <c r="E11" i="11" s="1"/>
  <c r="F10" i="11" a="1"/>
  <c r="F10" i="11" s="1"/>
  <c r="H10" i="11" s="1"/>
  <c r="C10" i="11" a="1"/>
  <c r="C10" i="11" s="1"/>
  <c r="E10" i="11" s="1"/>
  <c r="H9" i="11"/>
  <c r="E9" i="11"/>
  <c r="F8" i="11" a="1"/>
  <c r="F8" i="11" s="1"/>
  <c r="H8" i="11" s="1"/>
  <c r="C8" i="11" a="1"/>
  <c r="C8" i="11" s="1"/>
  <c r="E8" i="11" s="1"/>
  <c r="E7" i="11"/>
  <c r="H6" i="11"/>
  <c r="H5" i="11"/>
  <c r="H4" i="11"/>
  <c r="F4" i="10"/>
  <c r="C4" i="10"/>
  <c r="C12" i="10"/>
  <c r="F12" i="10"/>
  <c r="C13" i="10"/>
  <c r="F13" i="10"/>
  <c r="C14" i="10"/>
  <c r="F14" i="10"/>
  <c r="C5" i="10"/>
  <c r="E5" i="10" s="1"/>
  <c r="H7" i="10" s="1"/>
  <c r="F5" i="10"/>
  <c r="F6" i="10"/>
  <c r="C9" i="10"/>
  <c r="F9" i="10"/>
  <c r="H14" i="10"/>
  <c r="E14" i="10"/>
  <c r="H13" i="10"/>
  <c r="E13" i="10"/>
  <c r="H12" i="10"/>
  <c r="E12" i="10"/>
  <c r="F11" i="10" a="1"/>
  <c r="F11" i="10" s="1"/>
  <c r="H11" i="10" s="1"/>
  <c r="C11" i="10" a="1"/>
  <c r="C11" i="10" s="1"/>
  <c r="E11" i="10" s="1"/>
  <c r="F10" i="10" a="1"/>
  <c r="F10" i="10" s="1"/>
  <c r="H10" i="10" s="1"/>
  <c r="C10" i="10" a="1"/>
  <c r="C10" i="10" s="1"/>
  <c r="E10" i="10" s="1"/>
  <c r="H9" i="10"/>
  <c r="E9" i="10"/>
  <c r="F8" i="10" a="1"/>
  <c r="F8" i="10" s="1"/>
  <c r="H8" i="10" s="1"/>
  <c r="C8" i="10" a="1"/>
  <c r="C8" i="10" s="1"/>
  <c r="E8" i="10" s="1"/>
  <c r="E7" i="10"/>
  <c r="H6" i="10"/>
  <c r="H5" i="10"/>
  <c r="H4" i="10"/>
  <c r="E4" i="10"/>
  <c r="F12" i="8"/>
  <c r="F2" i="8"/>
  <c r="F12" i="7"/>
  <c r="F2" i="7"/>
  <c r="F12" i="6"/>
  <c r="F2" i="6"/>
  <c r="E12" i="8"/>
  <c r="E2" i="8"/>
  <c r="E12" i="7"/>
  <c r="E2" i="7"/>
  <c r="E12" i="6"/>
  <c r="E2" i="6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E3" i="9"/>
  <c r="E3" i="2"/>
  <c r="A2" i="5" a="1"/>
  <c r="C4" i="11" l="1"/>
  <c r="E4" i="11" s="1"/>
  <c r="E15" i="11"/>
  <c r="C6" i="10"/>
  <c r="E6" i="10" s="1"/>
  <c r="H15" i="10"/>
  <c r="H15" i="11"/>
  <c r="E15" i="10"/>
  <c r="E3" i="1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<sst xmlns="http://schemas.openxmlformats.org/spreadsheetml/2006/main" count="471" uniqueCount="127">
  <si>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</si>
  <si>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</si>
  <si>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</si>
  <si>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</si>
  <si>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</si>
  <si>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</si>
  <si>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</si>
  <si>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</si>
  <si>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</si>
  <si>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</si>
  <si>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</si>
  <si>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</si>
  <si>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</si>
  <si>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</si>
  <si>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</si>
  <si>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</si>
  <si>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</si>
  <si>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</si>
  <si>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</si>
  <si>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</si>
  <si>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</si>
  <si>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</si>
  <si>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</si>
  <si>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</si>
  <si>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Helvi Juliansyah</t>
  </si>
  <si>
    <t>.</t>
  </si>
  <si>
    <t>Ari Yustrianza</t>
  </si>
  <si>
    <t>Bukan RAC Palembang</t>
  </si>
  <si>
    <t>No.</t>
  </si>
  <si>
    <t>Unit Kerja</t>
  </si>
  <si>
    <t>PIC RAC</t>
  </si>
  <si>
    <t>%TL PEP Done</t>
  </si>
  <si>
    <t>Average</t>
  </si>
  <si>
    <t>KC Abunjani Sipin</t>
  </si>
  <si>
    <t>Ari</t>
  </si>
  <si>
    <t>KC Bangko</t>
  </si>
  <si>
    <t>KC Baturaja</t>
  </si>
  <si>
    <t>Helvi</t>
  </si>
  <si>
    <t>KC Jambi</t>
  </si>
  <si>
    <t>KC Kayu Agung</t>
  </si>
  <si>
    <t>KC Kuala Tungkal</t>
  </si>
  <si>
    <t>KC Lahat</t>
  </si>
  <si>
    <t>KC Lubuk Linggau</t>
  </si>
  <si>
    <t>KC Muara Bulian</t>
  </si>
  <si>
    <t>KC Muara Bungo</t>
  </si>
  <si>
    <t>KC Muara Enim</t>
  </si>
  <si>
    <t>KC Pagar Alam</t>
  </si>
  <si>
    <t>KC Palembang A. Rivai</t>
  </si>
  <si>
    <t>KC Palembang Sriwijaya</t>
  </si>
  <si>
    <t>KC Pangkal Pinang</t>
  </si>
  <si>
    <t>KC Prabumulih</t>
  </si>
  <si>
    <t>KC Rimbo Bujang</t>
  </si>
  <si>
    <t>KC Sarolangun</t>
  </si>
  <si>
    <t>KC Sekayu</t>
  </si>
  <si>
    <t>KC Sungai Liat</t>
  </si>
  <si>
    <t>KC Tanjung Pandan</t>
  </si>
  <si>
    <t>%Pengkinian Data</t>
  </si>
  <si>
    <t>%Bad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</si>
  <si>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</si>
  <si>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</si>
  <si>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</si>
  <si>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</si>
  <si>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</si>
  <si>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</si>
  <si>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</si>
  <si>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</si>
  <si>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</si>
  <si>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</si>
  <si>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</si>
  <si>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</si>
  <si>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</si>
  <si>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</si>
  <si>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</si>
  <si>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</si>
  <si>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</si>
  <si>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</si>
  <si>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</si>
  <si>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</si>
  <si>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</si>
  <si>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</si>
  <si>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</si>
  <si>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</si>
  <si>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</si>
  <si>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</si>
  <si>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</si>
  <si>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</si>
  <si>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</si>
  <si>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</si>
  <si>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</si>
  <si>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</si>
  <si>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</si>
  <si>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</si>
  <si>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</si>
  <si>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</si>
  <si>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</si>
  <si>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</si>
  <si>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</si>
  <si>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</si>
  <si>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NIHIL</t>
  </si>
  <si>
    <t>**https://bri2-my.sharepoint.com/:f:/g/personal/00136153_hq_bri_co_id/IgCyAznK-tOuRql7WphBOOIiAbaa6PYz63jt4CsdpgTNFmk?e=RAGbgh</t>
  </si>
  <si>
    <t>4.Kertas Kerja</t>
  </si>
  <si>
    <t>5. Laporan Uji Petik</t>
  </si>
  <si>
    <t>Nilai maturitas</t>
  </si>
  <si>
    <t>Rating maturitas</t>
  </si>
  <si>
    <t>Nilai Risiko</t>
  </si>
  <si>
    <t>Nilai Risiko PIC</t>
  </si>
  <si>
    <t>Rating Risiko PIC</t>
  </si>
  <si>
    <t>Nilai Maturitas</t>
  </si>
  <si>
    <t>Nilai Maturitas PIC</t>
  </si>
  <si>
    <t>Rating Maturitas PIC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</si>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</sst>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1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" xfId="0" applyFont="1" applyBorder="1"/>
    <xf numFmtId="0" fontId="6" fillId="0" borderId="5" xfId="0" applyFont="1" applyBorder="1"/>
    <xf numFmtId="1" fontId="0" fillId="0" borderId="3" xfId="0" applyNumberFormat="1" applyBorder="1"/>
    <xf numFmtId="1" fontId="3" fillId="0" borderId="1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7" fillId="0" borderId="0" xfId="0" applyFont="1"/>
    <xf numFmtId="164" fontId="7" fillId="0" borderId="3" xfId="0" applyNumberFormat="1" applyFont="1" applyBorder="1"/>
    <xf numFmtId="15" fontId="1" fillId="2" borderId="3" xfId="0" applyNumberFormat="1" applyFont="1" applyFill="1" applyBorder="1"/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0" fontId="0" fillId="0" borderId="3" xfId="1" applyNumberFormat="1" applyFont="1" applyBorder="1"/>
    <xf numFmtId="9" fontId="0" fillId="0" borderId="3" xfId="1" applyFont="1" applyBorder="1"/>
    <xf numFmtId="164" fontId="7" fillId="0" borderId="4" xfId="0" applyNumberFormat="1" applyFont="1" applyBorder="1"/>
    <xf numFmtId="164" fontId="8" fillId="0" borderId="4" xfId="0" applyNumberFormat="1" applyFont="1" applyBorder="1"/>
    <xf numFmtId="0" fontId="10" fillId="5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vertical="center"/>
    </xf>
    <xf numFmtId="164" fontId="10" fillId="0" borderId="7" xfId="0" applyNumberFormat="1" applyFont="1" applyBorder="1" applyAlignment="1">
      <alignment horizontal="center"/>
    </xf>
    <xf numFmtId="9" fontId="10" fillId="0" borderId="7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10" fontId="11" fillId="6" borderId="3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10" fontId="0" fillId="0" borderId="7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5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0" fillId="0" borderId="7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4%20-%20Palembang/Data%20Evaluasi%20Palembang.xlsx" TargetMode="External"/><Relationship Id="rId2" Type="http://schemas.openxmlformats.org/officeDocument/2006/relationships/externalLinkPath" Target="https://bri2-my.sharepoint.com/personal/00136153_hq_bri_co_id/Documents/Assurance%20Team/RAC%20Team/Moneva/Region%204%20-%20Palembang/Data%20Evaluasi%20Palembang.xlsx" TargetMode="External"/><Relationship Id="rId1" Type="http://schemas.openxmlformats.org/officeDocument/2006/relationships/externalLinkPath" Target="/personal/00136153_hq_bri_co_id/Documents/Assurance%20Team/RAC%20Team/Moneva/Region%204%20-%20Palembang/Data%20Evaluasi%20Palemba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TL%20PEP%20PERIODE%2026-12-2025%20s.d%2017-09-2026%20pk.%2010.26%20WIB%20Cut%20Off%20Data%2018%20Sept%202026.xlsx" TargetMode="External"/><Relationship Id="rId1" Type="http://schemas.openxmlformats.org/officeDocument/2006/relationships/externalLinkPath" Target="file:///C:\Users\ASUS\Downloads\TL%20PEP%20PERIODE%2026-12-2025%20s.d%2017-09-2026%20pk.%2010.26%20WIB%20Cut%20Off%20Data%2018%20Sep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/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TY3LOXSINPANBKOK6HH6RI2W6X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1</v>
          </cell>
        </row>
        <row r="3">
          <cell r="X3" t="b">
            <v>1</v>
          </cell>
        </row>
        <row r="4">
          <cell r="X4" t="b">
            <v>1</v>
          </cell>
        </row>
        <row r="5">
          <cell r="X5" t="b">
            <v>1</v>
          </cell>
        </row>
        <row r="6">
          <cell r="X6" t="b">
            <v>1</v>
          </cell>
        </row>
        <row r="7">
          <cell r="X7" t="b">
            <v>1</v>
          </cell>
        </row>
        <row r="8">
          <cell r="X8" t="b">
            <v>1</v>
          </cell>
        </row>
        <row r="9">
          <cell r="X9" t="b">
            <v>1</v>
          </cell>
        </row>
        <row r="10">
          <cell r="X10" t="b">
            <v>1</v>
          </cell>
        </row>
        <row r="11">
          <cell r="X11" t="b">
            <v>1</v>
          </cell>
        </row>
        <row r="12">
          <cell r="X12" t="b">
            <v>1</v>
          </cell>
        </row>
        <row r="13">
          <cell r="X13" t="b">
            <v>1</v>
          </cell>
        </row>
        <row r="14">
          <cell r="X14" t="b">
            <v>1</v>
          </cell>
        </row>
        <row r="15">
          <cell r="X15" t="b">
            <v>1</v>
          </cell>
        </row>
        <row r="16">
          <cell r="X16" t="b">
            <v>1</v>
          </cell>
        </row>
        <row r="17">
          <cell r="X17" t="b">
            <v>1</v>
          </cell>
        </row>
        <row r="18">
          <cell r="X18" t="b">
            <v>1</v>
          </cell>
        </row>
        <row r="19">
          <cell r="X19" t="b">
            <v>1</v>
          </cell>
        </row>
        <row r="20">
          <cell r="X20" t="b">
            <v>1</v>
          </cell>
        </row>
        <row r="21">
          <cell r="X21" t="b">
            <v>1</v>
          </cell>
        </row>
        <row r="22">
          <cell r="X22" t="b">
            <v>1</v>
          </cell>
        </row>
        <row r="23">
          <cell r="X23" t="b">
            <v>1</v>
          </cell>
        </row>
        <row r="24">
          <cell r="X24" t="b">
            <v>1</v>
          </cell>
        </row>
        <row r="25">
          <cell r="X25" t="b">
            <v>1</v>
          </cell>
        </row>
        <row r="26">
          <cell r="X26" t="b">
            <v>1</v>
          </cell>
        </row>
        <row r="27">
          <cell r="X27" t="b">
            <v>1</v>
          </cell>
        </row>
        <row r="28">
          <cell r="X28" t="b">
            <v>1</v>
          </cell>
        </row>
        <row r="29">
          <cell r="X29" t="b">
            <v>1</v>
          </cell>
        </row>
        <row r="30">
          <cell r="X30" t="b">
            <v>1</v>
          </cell>
        </row>
        <row r="31">
          <cell r="X31" t="b">
            <v>1</v>
          </cell>
        </row>
        <row r="32">
          <cell r="X32" t="b">
            <v>1</v>
          </cell>
        </row>
        <row r="33">
          <cell r="X33" t="b">
            <v>1</v>
          </cell>
        </row>
        <row r="34">
          <cell r="X34" t="b">
            <v>1</v>
          </cell>
        </row>
        <row r="35">
          <cell r="X35" t="b">
            <v>0</v>
          </cell>
        </row>
        <row r="36">
          <cell r="X36" t="b">
            <v>1</v>
          </cell>
        </row>
        <row r="37">
          <cell r="X37" t="b">
            <v>1</v>
          </cell>
        </row>
        <row r="38">
          <cell r="X38" t="b">
            <v>1</v>
          </cell>
        </row>
        <row r="39">
          <cell r="X39" t="b">
            <v>0</v>
          </cell>
        </row>
        <row r="40">
          <cell r="X40" t="b">
            <v>1</v>
          </cell>
        </row>
        <row r="41">
          <cell r="X41" t="b">
            <v>0</v>
          </cell>
        </row>
        <row r="42">
          <cell r="X42" t="b">
            <v>0</v>
          </cell>
        </row>
        <row r="43">
          <cell r="X43" t="b">
            <v>1</v>
          </cell>
        </row>
        <row r="44">
          <cell r="X44" t="b">
            <v>1</v>
          </cell>
        </row>
        <row r="45">
          <cell r="X45" t="b">
            <v>0</v>
          </cell>
        </row>
        <row r="46">
          <cell r="X46" t="b">
            <v>0</v>
          </cell>
        </row>
        <row r="47">
          <cell r="X47" t="b">
            <v>0</v>
          </cell>
        </row>
        <row r="48">
          <cell r="X48" t="b">
            <v>1</v>
          </cell>
        </row>
        <row r="49">
          <cell r="X49" t="b">
            <v>1</v>
          </cell>
        </row>
        <row r="50">
          <cell r="X50" t="b">
            <v>1</v>
          </cell>
        </row>
        <row r="51">
          <cell r="X51" t="b">
            <v>1</v>
          </cell>
        </row>
        <row r="52">
          <cell r="X52" t="b">
            <v>1</v>
          </cell>
        </row>
      </sheetData>
      <sheetData sheetId="1"/>
      <sheetData sheetId="2"/>
      <sheetData sheetId="3"/>
      <sheetData sheetId="4">
        <row r="3">
          <cell r="C3" t="str">
            <v>NIHIL</v>
          </cell>
          <cell r="E3" t="str">
            <v>NIHIL</v>
          </cell>
        </row>
        <row r="4">
          <cell r="C4"/>
          <cell r="E4"/>
        </row>
        <row r="5">
          <cell r="C5"/>
          <cell r="E5"/>
        </row>
        <row r="6">
          <cell r="C6"/>
          <cell r="E6"/>
        </row>
        <row r="7">
          <cell r="C7"/>
          <cell r="E7"/>
        </row>
        <row r="8">
          <cell r="C8"/>
          <cell r="E8"/>
        </row>
        <row r="9">
          <cell r="C9"/>
          <cell r="E9"/>
        </row>
        <row r="10">
          <cell r="C10"/>
          <cell r="E10"/>
        </row>
        <row r="11">
          <cell r="C11"/>
          <cell r="E11"/>
        </row>
        <row r="12">
          <cell r="C12"/>
          <cell r="E12"/>
        </row>
        <row r="13">
          <cell r="C13"/>
          <cell r="E13"/>
        </row>
        <row r="14">
          <cell r="C14"/>
          <cell r="E14"/>
        </row>
        <row r="15">
          <cell r="C15"/>
          <cell r="E15"/>
        </row>
        <row r="16">
          <cell r="C16"/>
          <cell r="E16"/>
        </row>
        <row r="17">
          <cell r="C17"/>
          <cell r="E17"/>
        </row>
        <row r="18">
          <cell r="C18"/>
          <cell r="E18"/>
        </row>
        <row r="19">
          <cell r="C19"/>
          <cell r="E19"/>
        </row>
        <row r="20">
          <cell r="C20"/>
          <cell r="E20"/>
        </row>
        <row r="21">
          <cell r="C21"/>
          <cell r="E21"/>
        </row>
        <row r="22">
          <cell r="C22"/>
          <cell r="E22"/>
        </row>
        <row r="23">
          <cell r="C23"/>
          <cell r="E23"/>
        </row>
        <row r="24">
          <cell r="C24"/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pep"/>
      <sheetName val="Region"/>
      <sheetName val="Pivot RO"/>
      <sheetName val="Pivot BO"/>
      <sheetName val="HASIL TINDAK LANJUT RO 2026"/>
      <sheetName val="HASIL TINDAK LANJUT BO 2026"/>
    </sheetNames>
    <sheetDataSet>
      <sheetData sheetId="0"/>
      <sheetData sheetId="1"/>
      <sheetData sheetId="2"/>
      <sheetData sheetId="3"/>
      <sheetData sheetId="4"/>
      <sheetData sheetId="5">
        <row r="3">
          <cell r="D3" t="str">
            <v>Branch Office</v>
          </cell>
          <cell r="K3" t="str">
            <v>PROSENTASE SUDAH TL
AGUSTUS 2026</v>
          </cell>
        </row>
        <row r="4">
          <cell r="D4" t="str">
            <v>KC Bandung A.H. Nasution</v>
          </cell>
          <cell r="K4">
            <v>0.99300699300699302</v>
          </cell>
        </row>
        <row r="5">
          <cell r="D5" t="str">
            <v>KC Bandung AA</v>
          </cell>
          <cell r="K5">
            <v>1</v>
          </cell>
        </row>
        <row r="6">
          <cell r="D6" t="str">
            <v>KC Bandung Dago</v>
          </cell>
          <cell r="K6">
            <v>0.967741935483871</v>
          </cell>
        </row>
        <row r="7">
          <cell r="D7" t="str">
            <v>KC Bandung Dewi Sartika</v>
          </cell>
          <cell r="K7">
            <v>0.97222222222222221</v>
          </cell>
        </row>
        <row r="8">
          <cell r="D8" t="str">
            <v>KC Bandung Kopo</v>
          </cell>
          <cell r="K8">
            <v>0.9375</v>
          </cell>
        </row>
        <row r="9">
          <cell r="D9" t="str">
            <v>KC Bandung Martadinata</v>
          </cell>
          <cell r="K9">
            <v>0.97368421052631582</v>
          </cell>
        </row>
        <row r="10">
          <cell r="D10" t="str">
            <v>KC Bandung Naripan</v>
          </cell>
          <cell r="K10">
            <v>0.9</v>
          </cell>
        </row>
        <row r="11">
          <cell r="D11" t="str">
            <v>KC Bandung Setiabudi</v>
          </cell>
          <cell r="K11">
            <v>0.76470588235294112</v>
          </cell>
        </row>
        <row r="12">
          <cell r="D12" t="str">
            <v>KC Bandung Sukarno Hatta</v>
          </cell>
          <cell r="K12">
            <v>0.9375</v>
          </cell>
        </row>
        <row r="13">
          <cell r="D13" t="str">
            <v>KC Banjar</v>
          </cell>
          <cell r="K13">
            <v>0.97297297297297303</v>
          </cell>
        </row>
        <row r="14">
          <cell r="D14" t="str">
            <v>KC Ciamis</v>
          </cell>
          <cell r="K14">
            <v>0.97058823529411764</v>
          </cell>
        </row>
        <row r="15">
          <cell r="D15" t="str">
            <v>KC Cianjur</v>
          </cell>
          <cell r="K15">
            <v>1</v>
          </cell>
        </row>
        <row r="16">
          <cell r="D16" t="str">
            <v>KC Cibadak</v>
          </cell>
          <cell r="K16">
            <v>0.8571428571428571</v>
          </cell>
        </row>
        <row r="17">
          <cell r="D17" t="str">
            <v>KC Cimahi</v>
          </cell>
          <cell r="K17">
            <v>0.95402298850574707</v>
          </cell>
        </row>
        <row r="18">
          <cell r="D18" t="str">
            <v>KC Cirebon Gunung Jati</v>
          </cell>
          <cell r="K18">
            <v>0.95238095238095233</v>
          </cell>
        </row>
        <row r="19">
          <cell r="D19" t="str">
            <v>KC Cirebon Kartini</v>
          </cell>
          <cell r="K19">
            <v>0.93939393939393945</v>
          </cell>
        </row>
        <row r="20">
          <cell r="D20" t="str">
            <v>KC Garut</v>
          </cell>
          <cell r="K20">
            <v>0.96078431372549022</v>
          </cell>
        </row>
        <row r="21">
          <cell r="D21" t="str">
            <v>KC Indramayu</v>
          </cell>
          <cell r="K21">
            <v>0.94736842105263153</v>
          </cell>
        </row>
        <row r="22">
          <cell r="D22" t="str">
            <v>KC Jatibarang</v>
          </cell>
          <cell r="K22">
            <v>1</v>
          </cell>
        </row>
        <row r="23">
          <cell r="D23" t="str">
            <v>KC Kuningan</v>
          </cell>
          <cell r="K23">
            <v>0.97142857142857142</v>
          </cell>
        </row>
        <row r="24">
          <cell r="D24" t="str">
            <v>KC Majalaya</v>
          </cell>
          <cell r="K24">
            <v>0.93333333333333335</v>
          </cell>
        </row>
        <row r="25">
          <cell r="D25" t="str">
            <v>KC Majalengka</v>
          </cell>
          <cell r="K25">
            <v>1</v>
          </cell>
        </row>
        <row r="26">
          <cell r="D26" t="str">
            <v>KC Pamanukan</v>
          </cell>
          <cell r="K26">
            <v>1</v>
          </cell>
        </row>
        <row r="27">
          <cell r="D27" t="str">
            <v>KC Purwakarta</v>
          </cell>
          <cell r="K27">
            <v>0.93333333333333335</v>
          </cell>
        </row>
        <row r="28">
          <cell r="D28" t="str">
            <v>KC Singaparna</v>
          </cell>
          <cell r="K28">
            <v>1</v>
          </cell>
        </row>
        <row r="29">
          <cell r="D29" t="str">
            <v>KC Soreang</v>
          </cell>
          <cell r="K29">
            <v>0.92682926829268297</v>
          </cell>
        </row>
        <row r="30">
          <cell r="D30" t="str">
            <v>KC Subang</v>
          </cell>
          <cell r="K30">
            <v>0.97058823529411764</v>
          </cell>
        </row>
        <row r="31">
          <cell r="D31" t="str">
            <v>KC Sukabumi</v>
          </cell>
          <cell r="K31">
            <v>0.95238095238095233</v>
          </cell>
        </row>
        <row r="32">
          <cell r="D32" t="str">
            <v>KC Sumedang</v>
          </cell>
          <cell r="K32">
            <v>0.9726027397260274</v>
          </cell>
        </row>
        <row r="33">
          <cell r="D33" t="str">
            <v>KC Tasikmalaya</v>
          </cell>
          <cell r="K33">
            <v>0.95238095238095233</v>
          </cell>
        </row>
        <row r="34">
          <cell r="D34" t="str">
            <v>KANCA Samarinda 2</v>
          </cell>
          <cell r="K34">
            <v>1</v>
          </cell>
        </row>
        <row r="35">
          <cell r="D35" t="str">
            <v>KC Amuntai</v>
          </cell>
          <cell r="K35">
            <v>1</v>
          </cell>
        </row>
        <row r="36">
          <cell r="D36" t="str">
            <v>KC Balikpapan</v>
          </cell>
          <cell r="K36">
            <v>1</v>
          </cell>
        </row>
        <row r="37">
          <cell r="D37" t="str">
            <v>KC Balikpapan A. Yani</v>
          </cell>
          <cell r="K37">
            <v>1</v>
          </cell>
        </row>
        <row r="38">
          <cell r="D38" t="str">
            <v>KC Banjarmasin</v>
          </cell>
          <cell r="K38">
            <v>0.96666666666666667</v>
          </cell>
        </row>
        <row r="39">
          <cell r="D39" t="str">
            <v>KC Banjarmasin 2</v>
          </cell>
          <cell r="K39">
            <v>0.97560975609756095</v>
          </cell>
        </row>
        <row r="40">
          <cell r="D40" t="str">
            <v>KC Barabai</v>
          </cell>
          <cell r="K40">
            <v>0.94117647058823528</v>
          </cell>
        </row>
        <row r="41">
          <cell r="D41" t="str">
            <v>KC Batulicin</v>
          </cell>
          <cell r="K41">
            <v>0.94117647058823528</v>
          </cell>
        </row>
        <row r="42">
          <cell r="D42" t="str">
            <v>KC Bontang</v>
          </cell>
          <cell r="K42">
            <v>1</v>
          </cell>
        </row>
        <row r="43">
          <cell r="D43" t="str">
            <v>KC Buntok</v>
          </cell>
          <cell r="K43">
            <v>1</v>
          </cell>
        </row>
        <row r="44">
          <cell r="D44" t="str">
            <v>KC Kandangan</v>
          </cell>
          <cell r="K44">
            <v>0.93333333333333335</v>
          </cell>
        </row>
        <row r="45">
          <cell r="D45" t="str">
            <v>KC Ketapang</v>
          </cell>
          <cell r="K45">
            <v>1</v>
          </cell>
        </row>
        <row r="46">
          <cell r="D46" t="str">
            <v>KC Kotabaru</v>
          </cell>
          <cell r="K46">
            <v>1</v>
          </cell>
        </row>
        <row r="47">
          <cell r="D47" t="str">
            <v>KC Kuala Kapuas</v>
          </cell>
          <cell r="K47">
            <v>0.94594594594594594</v>
          </cell>
        </row>
        <row r="48">
          <cell r="D48" t="str">
            <v>KC Marabahan</v>
          </cell>
          <cell r="K48">
            <v>0.8</v>
          </cell>
        </row>
        <row r="49">
          <cell r="D49" t="str">
            <v>KC Martapura</v>
          </cell>
          <cell r="K49">
            <v>0.96938775510204078</v>
          </cell>
        </row>
        <row r="50">
          <cell r="D50" t="str">
            <v>KC Melawi</v>
          </cell>
          <cell r="K50">
            <v>1</v>
          </cell>
        </row>
        <row r="51">
          <cell r="D51" t="str">
            <v>KC Mempawah</v>
          </cell>
          <cell r="K51">
            <v>0.94444444444444442</v>
          </cell>
        </row>
        <row r="52">
          <cell r="D52" t="str">
            <v>KC Muara Teweh</v>
          </cell>
          <cell r="K52">
            <v>0.89583333333333337</v>
          </cell>
        </row>
        <row r="53">
          <cell r="D53" t="str">
            <v>KC Nunukan</v>
          </cell>
          <cell r="K53">
            <v>0.875</v>
          </cell>
        </row>
        <row r="54">
          <cell r="D54" t="str">
            <v>KC Palangkaraya</v>
          </cell>
          <cell r="K54">
            <v>0.98305084745762716</v>
          </cell>
        </row>
        <row r="55">
          <cell r="D55" t="str">
            <v>KC Pangkalan Bun</v>
          </cell>
          <cell r="K55">
            <v>1</v>
          </cell>
        </row>
        <row r="56">
          <cell r="D56" t="str">
            <v>KC Pleihari</v>
          </cell>
          <cell r="K56">
            <v>0.88235294117647056</v>
          </cell>
        </row>
        <row r="57">
          <cell r="D57" t="str">
            <v>KC Pontianak</v>
          </cell>
          <cell r="K57">
            <v>0.98828125</v>
          </cell>
        </row>
        <row r="58">
          <cell r="D58" t="str">
            <v>KC Pontianak Gajah Mada</v>
          </cell>
          <cell r="K58">
            <v>0.97297297297297303</v>
          </cell>
        </row>
        <row r="59">
          <cell r="D59" t="str">
            <v>KC Putussibau</v>
          </cell>
          <cell r="K59">
            <v>0.96153846153846156</v>
          </cell>
        </row>
        <row r="60">
          <cell r="D60" t="str">
            <v>KC Rantau</v>
          </cell>
          <cell r="K60">
            <v>0.94117647058823528</v>
          </cell>
        </row>
        <row r="61">
          <cell r="D61" t="str">
            <v>KC SAMARINDA GAJAH MADA</v>
          </cell>
          <cell r="K61">
            <v>0.96153846153846156</v>
          </cell>
        </row>
        <row r="62">
          <cell r="D62" t="str">
            <v>KC SAMARINDA PELITA</v>
          </cell>
          <cell r="K62">
            <v>0.92307692307692313</v>
          </cell>
        </row>
        <row r="63">
          <cell r="D63" t="str">
            <v>KC Sampit</v>
          </cell>
          <cell r="K63">
            <v>1</v>
          </cell>
        </row>
        <row r="64">
          <cell r="D64" t="str">
            <v>KC Sangatta</v>
          </cell>
          <cell r="K64">
            <v>0.97727272727272729</v>
          </cell>
        </row>
        <row r="65">
          <cell r="D65" t="str">
            <v>KC Sanggau</v>
          </cell>
          <cell r="K65">
            <v>1</v>
          </cell>
        </row>
        <row r="66">
          <cell r="D66" t="str">
            <v>KC Sendawar</v>
          </cell>
          <cell r="K66">
            <v>1</v>
          </cell>
        </row>
        <row r="67">
          <cell r="D67" t="str">
            <v>KC Singkawang</v>
          </cell>
          <cell r="K67">
            <v>0.98947368421052628</v>
          </cell>
        </row>
        <row r="68">
          <cell r="D68" t="str">
            <v>KC Sintang</v>
          </cell>
          <cell r="K68">
            <v>0.94736842105263153</v>
          </cell>
        </row>
        <row r="69">
          <cell r="D69" t="str">
            <v>KC Tanah Grogot</v>
          </cell>
          <cell r="K69">
            <v>1</v>
          </cell>
        </row>
        <row r="70">
          <cell r="D70" t="str">
            <v>KC Tanjung Redeb</v>
          </cell>
          <cell r="K70">
            <v>1</v>
          </cell>
        </row>
        <row r="71">
          <cell r="D71" t="str">
            <v>KC Tanjung Selor</v>
          </cell>
          <cell r="K71">
            <v>0.97727272727272729</v>
          </cell>
        </row>
        <row r="72">
          <cell r="D72" t="str">
            <v>KC Tanjung Tabalong</v>
          </cell>
          <cell r="K72">
            <v>1</v>
          </cell>
        </row>
        <row r="73">
          <cell r="D73" t="str">
            <v>KC Tarakan</v>
          </cell>
          <cell r="K73">
            <v>0.98181818181818181</v>
          </cell>
        </row>
        <row r="74">
          <cell r="D74" t="str">
            <v>KC Tenggarong</v>
          </cell>
          <cell r="K74">
            <v>0.96491228070175439</v>
          </cell>
        </row>
        <row r="75">
          <cell r="D75" t="str">
            <v>KC Amlapura</v>
          </cell>
          <cell r="K75">
            <v>1</v>
          </cell>
        </row>
        <row r="76">
          <cell r="D76" t="str">
            <v>KC Atambua</v>
          </cell>
          <cell r="K76">
            <v>1</v>
          </cell>
        </row>
        <row r="77">
          <cell r="D77" t="str">
            <v>KC Bajawa</v>
          </cell>
          <cell r="K77">
            <v>1</v>
          </cell>
        </row>
        <row r="78">
          <cell r="D78" t="str">
            <v>KC Bangli</v>
          </cell>
          <cell r="K78">
            <v>1</v>
          </cell>
        </row>
        <row r="79">
          <cell r="D79" t="str">
            <v>KC Denpasar Gajah Mada</v>
          </cell>
          <cell r="K79">
            <v>0.98979591836734693</v>
          </cell>
        </row>
        <row r="80">
          <cell r="D80" t="str">
            <v>KC Denpasar Gatot Subroto</v>
          </cell>
          <cell r="K80">
            <v>1</v>
          </cell>
        </row>
        <row r="81">
          <cell r="D81" t="str">
            <v>KC Denpasar Renon</v>
          </cell>
          <cell r="K81">
            <v>1</v>
          </cell>
        </row>
        <row r="82">
          <cell r="D82" t="str">
            <v>KC Denpasar Ubud</v>
          </cell>
          <cell r="K82">
            <v>1</v>
          </cell>
        </row>
        <row r="83">
          <cell r="D83" t="str">
            <v>KC Dompu</v>
          </cell>
          <cell r="K83">
            <v>1</v>
          </cell>
        </row>
        <row r="84">
          <cell r="D84" t="str">
            <v>KC Ende</v>
          </cell>
          <cell r="K84">
            <v>0.967741935483871</v>
          </cell>
        </row>
        <row r="85">
          <cell r="D85" t="str">
            <v>KC Gianyar</v>
          </cell>
          <cell r="K85">
            <v>1</v>
          </cell>
        </row>
        <row r="86">
          <cell r="D86" t="str">
            <v>KC Kalabahi</v>
          </cell>
          <cell r="K86">
            <v>1</v>
          </cell>
        </row>
        <row r="87">
          <cell r="D87" t="str">
            <v>KC Kefamenanu</v>
          </cell>
          <cell r="K87">
            <v>1</v>
          </cell>
        </row>
        <row r="88">
          <cell r="D88" t="str">
            <v>KC Kupang</v>
          </cell>
          <cell r="K88">
            <v>0.99539170506912444</v>
          </cell>
        </row>
        <row r="89">
          <cell r="D89" t="str">
            <v>KC Kuta</v>
          </cell>
          <cell r="K89">
            <v>1</v>
          </cell>
        </row>
        <row r="90">
          <cell r="D90" t="str">
            <v>KC LABUAN BAJO</v>
          </cell>
          <cell r="K90">
            <v>0.90909090909090906</v>
          </cell>
        </row>
        <row r="91">
          <cell r="D91" t="str">
            <v>KC Larantuka</v>
          </cell>
          <cell r="K91">
            <v>1</v>
          </cell>
        </row>
        <row r="92">
          <cell r="D92" t="str">
            <v>KC Mataram</v>
          </cell>
          <cell r="K92">
            <v>0.99465240641711228</v>
          </cell>
        </row>
        <row r="93">
          <cell r="D93" t="str">
            <v>KC Maumere</v>
          </cell>
          <cell r="K93">
            <v>1</v>
          </cell>
        </row>
        <row r="94">
          <cell r="D94" t="str">
            <v>KC Negara</v>
          </cell>
          <cell r="K94">
            <v>1</v>
          </cell>
        </row>
        <row r="95">
          <cell r="D95" t="str">
            <v>KC Praya</v>
          </cell>
          <cell r="K95">
            <v>0.967741935483871</v>
          </cell>
        </row>
        <row r="96">
          <cell r="D96" t="str">
            <v>KC Raba Bima</v>
          </cell>
          <cell r="K96">
            <v>0.97058823529411764</v>
          </cell>
        </row>
        <row r="97">
          <cell r="D97" t="str">
            <v>KC Ruteng</v>
          </cell>
          <cell r="K97">
            <v>1</v>
          </cell>
        </row>
        <row r="98">
          <cell r="D98" t="str">
            <v>KC Selong</v>
          </cell>
          <cell r="K98">
            <v>0.97826086956521741</v>
          </cell>
        </row>
        <row r="99">
          <cell r="D99" t="str">
            <v>KC Semarapura</v>
          </cell>
          <cell r="K99">
            <v>1</v>
          </cell>
        </row>
        <row r="100">
          <cell r="D100" t="str">
            <v>KC Singaraja</v>
          </cell>
          <cell r="K100">
            <v>1</v>
          </cell>
        </row>
        <row r="101">
          <cell r="D101" t="str">
            <v>KC Soe</v>
          </cell>
          <cell r="K101">
            <v>1</v>
          </cell>
        </row>
        <row r="102">
          <cell r="D102" t="str">
            <v>KC Sumbawa Besar</v>
          </cell>
          <cell r="K102">
            <v>1</v>
          </cell>
        </row>
        <row r="103">
          <cell r="D103" t="str">
            <v>KC Tabanan</v>
          </cell>
          <cell r="K103">
            <v>0.97142857142857142</v>
          </cell>
        </row>
        <row r="104">
          <cell r="D104" t="str">
            <v>KC Tabanan Kediri</v>
          </cell>
          <cell r="K104">
            <v>1</v>
          </cell>
        </row>
        <row r="105">
          <cell r="D105" t="str">
            <v>KC Waikabubak</v>
          </cell>
          <cell r="K105">
            <v>0.9838709677419355</v>
          </cell>
        </row>
        <row r="106">
          <cell r="D106" t="str">
            <v>KC Waingapu</v>
          </cell>
          <cell r="K106">
            <v>1</v>
          </cell>
        </row>
        <row r="107">
          <cell r="D107" t="str">
            <v>Jkt KCK</v>
          </cell>
          <cell r="K107">
            <v>1</v>
          </cell>
        </row>
        <row r="108">
          <cell r="D108" t="str">
            <v>KC Jakarta Artha Gading</v>
          </cell>
          <cell r="K108">
            <v>1</v>
          </cell>
        </row>
        <row r="109">
          <cell r="D109" t="str">
            <v>KC Jakarta Cempaka Mas</v>
          </cell>
          <cell r="K109">
            <v>0.98181818181818181</v>
          </cell>
        </row>
        <row r="110">
          <cell r="D110" t="str">
            <v>KC Jakarta Cut Mutiah</v>
          </cell>
          <cell r="K110">
            <v>0.921875</v>
          </cell>
        </row>
        <row r="111">
          <cell r="D111" t="str">
            <v>KC Jakarta Gading Boulevard</v>
          </cell>
          <cell r="K111">
            <v>0.8666666666666667</v>
          </cell>
        </row>
        <row r="112">
          <cell r="D112" t="str">
            <v>KC Jakarta Gunung Sahari</v>
          </cell>
          <cell r="K112">
            <v>1</v>
          </cell>
        </row>
        <row r="113">
          <cell r="D113" t="str">
            <v>KC Jakarta Jatinegara</v>
          </cell>
          <cell r="K113">
            <v>0.96875</v>
          </cell>
        </row>
        <row r="114">
          <cell r="D114" t="str">
            <v>KC JAKARTA KALIMALANG</v>
          </cell>
          <cell r="K114">
            <v>1</v>
          </cell>
        </row>
        <row r="115">
          <cell r="D115" t="str">
            <v>KC Jakarta Kelapa Gading</v>
          </cell>
          <cell r="K115">
            <v>0.88888888888888884</v>
          </cell>
        </row>
        <row r="116">
          <cell r="D116" t="str">
            <v>KC JAKARTA KEMAYORAN</v>
          </cell>
          <cell r="K116">
            <v>1</v>
          </cell>
        </row>
        <row r="117">
          <cell r="D117" t="str">
            <v>KC Jakarta Kramat</v>
          </cell>
          <cell r="K117">
            <v>1</v>
          </cell>
        </row>
        <row r="118">
          <cell r="D118" t="str">
            <v>KC Jakarta Kramat Jati</v>
          </cell>
          <cell r="K118">
            <v>0.98888888888888893</v>
          </cell>
        </row>
        <row r="119">
          <cell r="D119" t="str">
            <v>KC Jakarta Krekot</v>
          </cell>
          <cell r="K119">
            <v>0.96551724137931039</v>
          </cell>
        </row>
        <row r="120">
          <cell r="D120" t="str">
            <v>KC Jakarta Mangga Dua</v>
          </cell>
          <cell r="K120">
            <v>1</v>
          </cell>
        </row>
        <row r="121">
          <cell r="D121" t="str">
            <v>KC JAKARTA OTISTA</v>
          </cell>
          <cell r="K121">
            <v>0.89873417721518989</v>
          </cell>
        </row>
        <row r="122">
          <cell r="D122" t="str">
            <v>KC Jakarta Pantai Indah Kapuk</v>
          </cell>
          <cell r="K122">
            <v>1</v>
          </cell>
        </row>
        <row r="123">
          <cell r="D123" t="str">
            <v>KC Jakarta Pluit</v>
          </cell>
          <cell r="K123">
            <v>0.80952380952380953</v>
          </cell>
        </row>
        <row r="124">
          <cell r="D124" t="str">
            <v>KC JAKARTA RAWAMANGUN</v>
          </cell>
          <cell r="K124">
            <v>0.94545454545454544</v>
          </cell>
        </row>
        <row r="125">
          <cell r="D125" t="str">
            <v>KC JAKARTA ROXI</v>
          </cell>
          <cell r="K125">
            <v>0.97297297297297303</v>
          </cell>
        </row>
        <row r="126">
          <cell r="D126" t="str">
            <v>KC Jakarta Segitiga Senen</v>
          </cell>
          <cell r="K126">
            <v>1</v>
          </cell>
        </row>
        <row r="127">
          <cell r="D127" t="str">
            <v>KC Jakarta Sunter</v>
          </cell>
          <cell r="K127">
            <v>1</v>
          </cell>
        </row>
        <row r="128">
          <cell r="D128" t="str">
            <v>KC Jakarta Tanah Abang</v>
          </cell>
          <cell r="K128">
            <v>0.97560975609756095</v>
          </cell>
        </row>
        <row r="129">
          <cell r="D129" t="str">
            <v>KC Jakarta Tanjung Priok</v>
          </cell>
          <cell r="K129">
            <v>0.96250000000000002</v>
          </cell>
        </row>
        <row r="130">
          <cell r="D130" t="str">
            <v>KC Jakarta Veteran</v>
          </cell>
          <cell r="K130">
            <v>1</v>
          </cell>
        </row>
        <row r="131">
          <cell r="D131" t="str">
            <v>KC SUDIRMAN SEMANGGI</v>
          </cell>
          <cell r="K131">
            <v>0.96875</v>
          </cell>
        </row>
        <row r="132">
          <cell r="D132" t="str">
            <v>KC Ampera</v>
          </cell>
          <cell r="K132">
            <v>1</v>
          </cell>
        </row>
        <row r="133">
          <cell r="D133" t="str">
            <v>KC Bekasi</v>
          </cell>
          <cell r="K133">
            <v>0.96273291925465843</v>
          </cell>
        </row>
        <row r="134">
          <cell r="D134" t="str">
            <v>KC Bekasi Harapan Indah</v>
          </cell>
          <cell r="K134">
            <v>1</v>
          </cell>
        </row>
        <row r="135">
          <cell r="D135" t="str">
            <v>KC BEKASI SILIWANGI</v>
          </cell>
          <cell r="K135">
            <v>1</v>
          </cell>
        </row>
        <row r="136">
          <cell r="D136" t="str">
            <v>KC Bogor</v>
          </cell>
          <cell r="K136">
            <v>0.9358974358974359</v>
          </cell>
        </row>
        <row r="137">
          <cell r="D137" t="str">
            <v>KC Bogor Pajajaran</v>
          </cell>
          <cell r="K137">
            <v>0.97701149425287359</v>
          </cell>
        </row>
        <row r="138">
          <cell r="D138" t="str">
            <v>KC BRI Jakarta Menara Brilian</v>
          </cell>
          <cell r="K138">
            <v>0.91666666666666663</v>
          </cell>
        </row>
        <row r="139">
          <cell r="D139" t="str">
            <v>KC BURSA EFEK INDONESIA</v>
          </cell>
          <cell r="K139">
            <v>0.8995433789954338</v>
          </cell>
        </row>
        <row r="140">
          <cell r="D140" t="str">
            <v>KC Cibinong</v>
          </cell>
          <cell r="K140">
            <v>0.94791666666666663</v>
          </cell>
        </row>
        <row r="141">
          <cell r="D141" t="str">
            <v>KC Cibubur</v>
          </cell>
          <cell r="K141">
            <v>0.96666666666666667</v>
          </cell>
        </row>
        <row r="142">
          <cell r="D142" t="str">
            <v>KC Cikampek</v>
          </cell>
          <cell r="K142">
            <v>1</v>
          </cell>
        </row>
        <row r="143">
          <cell r="D143" t="str">
            <v>KC Cikarang</v>
          </cell>
          <cell r="K143">
            <v>0.95081967213114749</v>
          </cell>
        </row>
        <row r="144">
          <cell r="D144" t="str">
            <v>KC Cimanggis</v>
          </cell>
          <cell r="K144">
            <v>0.97727272727272729</v>
          </cell>
        </row>
        <row r="145">
          <cell r="D145" t="str">
            <v>KC Depok</v>
          </cell>
          <cell r="K145">
            <v>0.97826086956521741</v>
          </cell>
        </row>
        <row r="146">
          <cell r="D146" t="str">
            <v>KC Jakarta Fatmawati</v>
          </cell>
          <cell r="K146">
            <v>1</v>
          </cell>
        </row>
        <row r="147">
          <cell r="D147" t="str">
            <v>KC Jakarta Gatot Subroto</v>
          </cell>
          <cell r="K147">
            <v>1</v>
          </cell>
        </row>
        <row r="148">
          <cell r="D148" t="str">
            <v>KC Jakarta Kebayoran Baru</v>
          </cell>
          <cell r="K148">
            <v>0.98958333333333337</v>
          </cell>
        </row>
        <row r="149">
          <cell r="D149" t="str">
            <v>KC JAKARTA MALL AMBASADOR</v>
          </cell>
          <cell r="K149">
            <v>1</v>
          </cell>
        </row>
        <row r="150">
          <cell r="D150" t="str">
            <v>KC JAKARTA MEGA KUNINGAN</v>
          </cell>
          <cell r="K150">
            <v>0.83333333333333337</v>
          </cell>
        </row>
        <row r="151">
          <cell r="D151" t="str">
            <v>KC Jakarta Pancoran</v>
          </cell>
          <cell r="K151">
            <v>0.98648648648648651</v>
          </cell>
        </row>
        <row r="152">
          <cell r="D152" t="str">
            <v>KC Jakarta Panglima Polim</v>
          </cell>
          <cell r="K152">
            <v>1</v>
          </cell>
        </row>
        <row r="153">
          <cell r="D153" t="str">
            <v>KC Jakarta Pasar Minggu</v>
          </cell>
          <cell r="K153">
            <v>0.9152542372881356</v>
          </cell>
        </row>
        <row r="154">
          <cell r="D154" t="str">
            <v>KC Jakarta Pondok Indah</v>
          </cell>
          <cell r="K154">
            <v>0.94736842105263153</v>
          </cell>
        </row>
        <row r="155">
          <cell r="D155" t="str">
            <v>KC Jakarta Radio Dalam</v>
          </cell>
          <cell r="K155">
            <v>0.96363636363636362</v>
          </cell>
        </row>
        <row r="156">
          <cell r="D156" t="str">
            <v>KC Jakarta Rasuna Said</v>
          </cell>
          <cell r="K156">
            <v>0.96610169491525422</v>
          </cell>
        </row>
        <row r="157">
          <cell r="D157" t="str">
            <v>KC Jakarta Sudirman 1</v>
          </cell>
          <cell r="K157">
            <v>0.89473684210526316</v>
          </cell>
        </row>
        <row r="158">
          <cell r="D158" t="str">
            <v>KC Jakarta TB Simatupang</v>
          </cell>
          <cell r="K158">
            <v>1</v>
          </cell>
        </row>
        <row r="159">
          <cell r="D159" t="str">
            <v>KC Jakarta Warung Buncit</v>
          </cell>
          <cell r="K159">
            <v>1</v>
          </cell>
        </row>
        <row r="160">
          <cell r="D160" t="str">
            <v>KC Karawang</v>
          </cell>
          <cell r="K160">
            <v>1</v>
          </cell>
        </row>
        <row r="161">
          <cell r="D161" t="str">
            <v>KC LEBAK BULUS</v>
          </cell>
          <cell r="K161">
            <v>0.91262135922330101</v>
          </cell>
        </row>
        <row r="162">
          <cell r="D162" t="str">
            <v>KC Mabes TNI Cilangkap</v>
          </cell>
          <cell r="K162">
            <v>1</v>
          </cell>
        </row>
        <row r="163">
          <cell r="D163" t="str">
            <v>KC Pondok Gede</v>
          </cell>
          <cell r="K163">
            <v>0.9553571428571429</v>
          </cell>
        </row>
        <row r="164">
          <cell r="D164" t="str">
            <v>KC Tambun</v>
          </cell>
          <cell r="K164">
            <v>0.97402597402597402</v>
          </cell>
        </row>
        <row r="165">
          <cell r="D165" t="str">
            <v>KC Arga Makmur</v>
          </cell>
          <cell r="K165">
            <v>1</v>
          </cell>
        </row>
        <row r="166">
          <cell r="D166" t="str">
            <v>KC Bandar Jaya</v>
          </cell>
          <cell r="K166">
            <v>1</v>
          </cell>
        </row>
        <row r="167">
          <cell r="D167" t="str">
            <v>KC Bengkulu</v>
          </cell>
          <cell r="K167">
            <v>0.98290598290598286</v>
          </cell>
        </row>
        <row r="168">
          <cell r="D168" t="str">
            <v>KC Curup</v>
          </cell>
          <cell r="K168">
            <v>0.93333333333333335</v>
          </cell>
        </row>
        <row r="169">
          <cell r="D169" t="str">
            <v>KC Kalianda</v>
          </cell>
          <cell r="K169">
            <v>0.86363636363636365</v>
          </cell>
        </row>
        <row r="170">
          <cell r="D170" t="str">
            <v>KC Kota Bumi</v>
          </cell>
          <cell r="K170">
            <v>0.97777777777777775</v>
          </cell>
        </row>
        <row r="171">
          <cell r="D171" t="str">
            <v>KC Liwa</v>
          </cell>
          <cell r="K171">
            <v>0.9285714285714286</v>
          </cell>
        </row>
        <row r="172">
          <cell r="D172" t="str">
            <v>KC Manna</v>
          </cell>
          <cell r="K172">
            <v>1</v>
          </cell>
        </row>
        <row r="173">
          <cell r="D173" t="str">
            <v>KC Metro</v>
          </cell>
          <cell r="K173">
            <v>1</v>
          </cell>
        </row>
        <row r="174">
          <cell r="D174" t="str">
            <v>KC Muko Muko</v>
          </cell>
          <cell r="K174">
            <v>1</v>
          </cell>
        </row>
        <row r="175">
          <cell r="D175" t="str">
            <v>KC Pringsewu</v>
          </cell>
          <cell r="K175">
            <v>1</v>
          </cell>
        </row>
        <row r="176">
          <cell r="D176" t="str">
            <v>KC Tanjung Karang</v>
          </cell>
          <cell r="K176">
            <v>0.95901639344262291</v>
          </cell>
        </row>
        <row r="177">
          <cell r="D177" t="str">
            <v>KC Teluk Betung</v>
          </cell>
          <cell r="K177">
            <v>0.96875</v>
          </cell>
        </row>
        <row r="178">
          <cell r="D178" t="str">
            <v>KC Tulang Bawang</v>
          </cell>
          <cell r="K178">
            <v>0.89473684210526316</v>
          </cell>
        </row>
        <row r="179">
          <cell r="D179" t="str">
            <v>KC Balaraja</v>
          </cell>
          <cell r="K179">
            <v>0.8571428571428571</v>
          </cell>
        </row>
        <row r="180">
          <cell r="D180" t="str">
            <v>KC Bandara Soekarno Hatta</v>
          </cell>
          <cell r="K180">
            <v>1</v>
          </cell>
        </row>
        <row r="181">
          <cell r="D181" t="str">
            <v>KC Bintaro</v>
          </cell>
          <cell r="K181">
            <v>0.97297297297297303</v>
          </cell>
        </row>
        <row r="182">
          <cell r="D182" t="str">
            <v>KC Bumi Serpong Damai</v>
          </cell>
          <cell r="K182">
            <v>0.95604395604395609</v>
          </cell>
        </row>
        <row r="183">
          <cell r="D183" t="str">
            <v>KC Cilegon</v>
          </cell>
          <cell r="K183">
            <v>0.97499999999999998</v>
          </cell>
        </row>
        <row r="184">
          <cell r="D184" t="str">
            <v>KC Ciputat</v>
          </cell>
          <cell r="K184">
            <v>0.89230769230769236</v>
          </cell>
        </row>
        <row r="185">
          <cell r="D185" t="str">
            <v>KC Gading Serpong</v>
          </cell>
          <cell r="K185">
            <v>0.96190476190476193</v>
          </cell>
        </row>
        <row r="186">
          <cell r="D186" t="str">
            <v>KC Jakarta Daan Mogot</v>
          </cell>
          <cell r="K186">
            <v>1</v>
          </cell>
        </row>
        <row r="187">
          <cell r="D187" t="str">
            <v>KC Jakarta Hayam Wuruk</v>
          </cell>
          <cell r="K187">
            <v>0.9</v>
          </cell>
        </row>
        <row r="188">
          <cell r="D188" t="str">
            <v>KC Jakarta Jelambar</v>
          </cell>
          <cell r="K188">
            <v>0.9375</v>
          </cell>
        </row>
        <row r="189">
          <cell r="D189" t="str">
            <v>KC Jakarta Joglo</v>
          </cell>
          <cell r="K189">
            <v>0.92957746478873238</v>
          </cell>
        </row>
        <row r="190">
          <cell r="D190" t="str">
            <v>KC Jakarta Kalideres</v>
          </cell>
          <cell r="K190">
            <v>0.83783783783783783</v>
          </cell>
        </row>
        <row r="191">
          <cell r="D191" t="str">
            <v>KC Jakarta Kebon Jeruk</v>
          </cell>
          <cell r="K191">
            <v>1</v>
          </cell>
        </row>
        <row r="192">
          <cell r="D192" t="str">
            <v>KC JAKARTA KOTA</v>
          </cell>
          <cell r="K192">
            <v>0.98206278026905824</v>
          </cell>
        </row>
        <row r="193">
          <cell r="D193" t="str">
            <v>KC Jakarta Palmerah</v>
          </cell>
          <cell r="K193">
            <v>0.9285714285714286</v>
          </cell>
        </row>
        <row r="194">
          <cell r="D194" t="str">
            <v>KC Jakarta Puri Niaga</v>
          </cell>
          <cell r="K194">
            <v>0.76923076923076927</v>
          </cell>
        </row>
        <row r="195">
          <cell r="D195" t="str">
            <v>KC Jakarta S Parman</v>
          </cell>
          <cell r="K195">
            <v>0.9</v>
          </cell>
        </row>
        <row r="196">
          <cell r="D196" t="str">
            <v>KC Jakarta Tangerang</v>
          </cell>
          <cell r="K196">
            <v>0.91463414634146345</v>
          </cell>
        </row>
        <row r="197">
          <cell r="D197" t="str">
            <v>KC Jakarta Tanjung Duren</v>
          </cell>
          <cell r="K197">
            <v>0.96</v>
          </cell>
        </row>
        <row r="198">
          <cell r="D198" t="str">
            <v>KC Labuan</v>
          </cell>
          <cell r="K198">
            <v>0.66666666666666663</v>
          </cell>
        </row>
        <row r="199">
          <cell r="D199" t="str">
            <v>KC Pamulang</v>
          </cell>
          <cell r="K199">
            <v>1</v>
          </cell>
        </row>
        <row r="200">
          <cell r="D200" t="str">
            <v>KC Pandeglang</v>
          </cell>
          <cell r="K200">
            <v>0.9</v>
          </cell>
        </row>
        <row r="201">
          <cell r="D201" t="str">
            <v>KC Rangkasbitung</v>
          </cell>
          <cell r="K201">
            <v>1</v>
          </cell>
        </row>
        <row r="202">
          <cell r="D202" t="str">
            <v>KC Serang</v>
          </cell>
          <cell r="K202">
            <v>0.9358974358974359</v>
          </cell>
        </row>
        <row r="203">
          <cell r="D203" t="str">
            <v>KC Tangerang City</v>
          </cell>
          <cell r="K203">
            <v>0.91666666666666663</v>
          </cell>
        </row>
        <row r="204">
          <cell r="D204" t="str">
            <v>KC Tangerang Merdeka</v>
          </cell>
          <cell r="K204">
            <v>1</v>
          </cell>
        </row>
        <row r="205">
          <cell r="D205" t="str">
            <v>KC Abepura</v>
          </cell>
          <cell r="K205">
            <v>0.88405797101449279</v>
          </cell>
        </row>
        <row r="206">
          <cell r="D206" t="str">
            <v>KC Biak</v>
          </cell>
          <cell r="K206">
            <v>0.92307692307692313</v>
          </cell>
        </row>
        <row r="207">
          <cell r="D207" t="str">
            <v>KC Bintuni</v>
          </cell>
          <cell r="K207">
            <v>1</v>
          </cell>
        </row>
        <row r="208">
          <cell r="D208" t="str">
            <v>KC Fakfak</v>
          </cell>
          <cell r="K208">
            <v>0.96296296296296291</v>
          </cell>
        </row>
        <row r="209">
          <cell r="D209" t="str">
            <v>KC Jayapura</v>
          </cell>
          <cell r="K209">
            <v>0.97222222222222221</v>
          </cell>
        </row>
        <row r="210">
          <cell r="D210" t="str">
            <v>KC Manokwari</v>
          </cell>
          <cell r="K210">
            <v>0.97101449275362317</v>
          </cell>
        </row>
        <row r="211">
          <cell r="D211" t="str">
            <v>KC Merauke</v>
          </cell>
          <cell r="K211">
            <v>0.93548387096774188</v>
          </cell>
        </row>
        <row r="212">
          <cell r="D212" t="str">
            <v>KC Nabire</v>
          </cell>
          <cell r="K212">
            <v>1</v>
          </cell>
        </row>
        <row r="213">
          <cell r="D213" t="str">
            <v>KC Sentani</v>
          </cell>
          <cell r="K213">
            <v>0.93333333333333335</v>
          </cell>
        </row>
        <row r="214">
          <cell r="D214" t="str">
            <v>KC Serui</v>
          </cell>
          <cell r="K214">
            <v>1</v>
          </cell>
        </row>
        <row r="215">
          <cell r="D215" t="str">
            <v>KC Sorong</v>
          </cell>
          <cell r="K215">
            <v>0.82222222222222219</v>
          </cell>
        </row>
        <row r="216">
          <cell r="D216" t="str">
            <v>KC Timika</v>
          </cell>
          <cell r="K216">
            <v>1</v>
          </cell>
        </row>
        <row r="217">
          <cell r="D217" t="str">
            <v>KC Wamena</v>
          </cell>
          <cell r="K217">
            <v>1</v>
          </cell>
        </row>
        <row r="218">
          <cell r="D218" t="str">
            <v>KC Banyuwangi</v>
          </cell>
          <cell r="K218">
            <v>1</v>
          </cell>
        </row>
        <row r="219">
          <cell r="D219" t="str">
            <v>KC BATU</v>
          </cell>
          <cell r="K219">
            <v>1</v>
          </cell>
        </row>
        <row r="220">
          <cell r="D220" t="str">
            <v>KC Blitar</v>
          </cell>
          <cell r="K220">
            <v>1</v>
          </cell>
        </row>
        <row r="221">
          <cell r="D221" t="str">
            <v>KC Bondowoso</v>
          </cell>
          <cell r="K221">
            <v>1</v>
          </cell>
        </row>
        <row r="222">
          <cell r="D222" t="str">
            <v>KC Genteng</v>
          </cell>
          <cell r="K222">
            <v>1</v>
          </cell>
        </row>
        <row r="223">
          <cell r="D223" t="str">
            <v>KC Jember</v>
          </cell>
          <cell r="K223">
            <v>0.95652173913043481</v>
          </cell>
        </row>
        <row r="224">
          <cell r="D224" t="str">
            <v>KC Kediri</v>
          </cell>
          <cell r="K224">
            <v>1</v>
          </cell>
        </row>
        <row r="225">
          <cell r="D225" t="str">
            <v>KC Kepanjen</v>
          </cell>
          <cell r="K225">
            <v>1</v>
          </cell>
        </row>
        <row r="226">
          <cell r="D226" t="str">
            <v>KC Lumajang</v>
          </cell>
          <cell r="K226">
            <v>1</v>
          </cell>
        </row>
        <row r="227">
          <cell r="D227" t="str">
            <v>KC Madiun</v>
          </cell>
          <cell r="K227">
            <v>1</v>
          </cell>
        </row>
        <row r="228">
          <cell r="D228" t="str">
            <v>KC Magetan</v>
          </cell>
          <cell r="K228">
            <v>1</v>
          </cell>
        </row>
        <row r="229">
          <cell r="D229" t="str">
            <v>KC Malang Kawi</v>
          </cell>
          <cell r="K229">
            <v>1</v>
          </cell>
        </row>
        <row r="230">
          <cell r="D230" t="str">
            <v>KC Malang Martadinata</v>
          </cell>
          <cell r="K230">
            <v>1</v>
          </cell>
        </row>
        <row r="231">
          <cell r="D231" t="str">
            <v>KC Malang Soekarno Hatta</v>
          </cell>
          <cell r="K231">
            <v>1</v>
          </cell>
        </row>
        <row r="232">
          <cell r="D232" t="str">
            <v>KC Malang Sutoyo</v>
          </cell>
          <cell r="K232">
            <v>1</v>
          </cell>
        </row>
        <row r="233">
          <cell r="D233" t="str">
            <v>KC Nganjuk</v>
          </cell>
          <cell r="K233">
            <v>1</v>
          </cell>
        </row>
        <row r="234">
          <cell r="D234" t="str">
            <v>KC Ngawi</v>
          </cell>
          <cell r="K234">
            <v>1</v>
          </cell>
        </row>
        <row r="235">
          <cell r="D235" t="str">
            <v>KC Pacitan</v>
          </cell>
          <cell r="K235">
            <v>1</v>
          </cell>
        </row>
        <row r="236">
          <cell r="D236" t="str">
            <v>KC Pare</v>
          </cell>
          <cell r="K236">
            <v>1</v>
          </cell>
        </row>
        <row r="237">
          <cell r="D237" t="str">
            <v>KC Pasuruan</v>
          </cell>
          <cell r="K237">
            <v>0.96551724137931039</v>
          </cell>
        </row>
        <row r="238">
          <cell r="D238" t="str">
            <v>KC Ponorogo</v>
          </cell>
          <cell r="K238">
            <v>1</v>
          </cell>
        </row>
        <row r="239">
          <cell r="D239" t="str">
            <v>KC Probolinggo</v>
          </cell>
          <cell r="K239">
            <v>1</v>
          </cell>
        </row>
        <row r="240">
          <cell r="D240" t="str">
            <v>KC Situbondo</v>
          </cell>
          <cell r="K240">
            <v>1</v>
          </cell>
        </row>
        <row r="241">
          <cell r="D241" t="str">
            <v>KC Trenggalek</v>
          </cell>
          <cell r="K241">
            <v>1</v>
          </cell>
        </row>
        <row r="242">
          <cell r="D242" t="str">
            <v>KC Tulungagung</v>
          </cell>
          <cell r="K242">
            <v>1</v>
          </cell>
        </row>
        <row r="243">
          <cell r="D243" t="str">
            <v>KC Bagan Batu</v>
          </cell>
          <cell r="K243">
            <v>0.66666666666666663</v>
          </cell>
        </row>
        <row r="244">
          <cell r="D244" t="str">
            <v>KC Bagan Siapi api</v>
          </cell>
          <cell r="K244">
            <v>1</v>
          </cell>
        </row>
        <row r="245">
          <cell r="D245" t="str">
            <v>KC Bangkinang</v>
          </cell>
          <cell r="K245">
            <v>1</v>
          </cell>
        </row>
        <row r="246">
          <cell r="D246" t="str">
            <v>KC Batam Center</v>
          </cell>
          <cell r="K246">
            <v>1</v>
          </cell>
        </row>
        <row r="247">
          <cell r="D247" t="str">
            <v>KC Batam Nagoya</v>
          </cell>
          <cell r="K247">
            <v>0.95</v>
          </cell>
        </row>
        <row r="248">
          <cell r="D248" t="str">
            <v>KC Bengkalis</v>
          </cell>
          <cell r="K248">
            <v>1</v>
          </cell>
        </row>
        <row r="249">
          <cell r="D249" t="str">
            <v>KC Dumai</v>
          </cell>
          <cell r="K249">
            <v>0.97142857142857142</v>
          </cell>
        </row>
        <row r="250">
          <cell r="D250" t="str">
            <v>KC Duri</v>
          </cell>
          <cell r="K250">
            <v>1</v>
          </cell>
        </row>
        <row r="251">
          <cell r="D251" t="str">
            <v>KC Pangkalan Kerinci</v>
          </cell>
          <cell r="K251">
            <v>0.95348837209302328</v>
          </cell>
        </row>
        <row r="252">
          <cell r="D252" t="str">
            <v>KC Pasir Pengaraian</v>
          </cell>
          <cell r="K252">
            <v>1</v>
          </cell>
        </row>
        <row r="253">
          <cell r="D253" t="str">
            <v>KC Pekanbaru Lancang Kuning</v>
          </cell>
          <cell r="K253">
            <v>0.90909090909090906</v>
          </cell>
        </row>
        <row r="254">
          <cell r="D254" t="str">
            <v>KC Pekanbaru Sudirman</v>
          </cell>
          <cell r="K254">
            <v>0.98611111111111116</v>
          </cell>
        </row>
        <row r="255">
          <cell r="D255" t="str">
            <v>KC Pekanbaru Tuanku Tambusai</v>
          </cell>
          <cell r="K255">
            <v>0.967741935483871</v>
          </cell>
        </row>
        <row r="256">
          <cell r="D256" t="str">
            <v>KC Perawang</v>
          </cell>
          <cell r="K256">
            <v>1</v>
          </cell>
        </row>
        <row r="257">
          <cell r="D257" t="str">
            <v>KC Rengat</v>
          </cell>
          <cell r="K257">
            <v>1</v>
          </cell>
        </row>
        <row r="258">
          <cell r="D258" t="str">
            <v>KC Selat Panjang</v>
          </cell>
          <cell r="K258">
            <v>0.91666666666666663</v>
          </cell>
        </row>
        <row r="259">
          <cell r="D259" t="str">
            <v>KC Siak</v>
          </cell>
          <cell r="K259">
            <v>1</v>
          </cell>
        </row>
        <row r="260">
          <cell r="D260" t="str">
            <v>KC Tanjung Balai Karimun</v>
          </cell>
          <cell r="K260">
            <v>1</v>
          </cell>
        </row>
        <row r="261">
          <cell r="D261" t="str">
            <v>KC Tanjung Pinang</v>
          </cell>
          <cell r="K261">
            <v>1</v>
          </cell>
        </row>
        <row r="262">
          <cell r="D262" t="str">
            <v>KC Teluk Kuantan</v>
          </cell>
          <cell r="K262">
            <v>1</v>
          </cell>
        </row>
        <row r="263">
          <cell r="D263" t="str">
            <v>KC Tembilahan</v>
          </cell>
          <cell r="K263">
            <v>0.88888888888888884</v>
          </cell>
        </row>
        <row r="264">
          <cell r="D264" t="str">
            <v>KC Ujung Batu</v>
          </cell>
          <cell r="K264">
            <v>0.83333333333333337</v>
          </cell>
        </row>
        <row r="265">
          <cell r="D265" t="str">
            <v>KC Ambon</v>
          </cell>
          <cell r="K265">
            <v>0.98989898989898994</v>
          </cell>
        </row>
        <row r="266">
          <cell r="D266" t="str">
            <v>KC Bantaeng</v>
          </cell>
          <cell r="K266">
            <v>1</v>
          </cell>
        </row>
        <row r="267">
          <cell r="D267" t="str">
            <v>KC Barru</v>
          </cell>
          <cell r="K267">
            <v>0.94117647058823528</v>
          </cell>
        </row>
        <row r="268">
          <cell r="D268" t="str">
            <v>KC Bau-Bau</v>
          </cell>
          <cell r="K268">
            <v>0.92647058823529416</v>
          </cell>
        </row>
        <row r="269">
          <cell r="D269" t="str">
            <v>KC Benteng Selayar</v>
          </cell>
          <cell r="K269">
            <v>1</v>
          </cell>
        </row>
        <row r="270">
          <cell r="D270" t="str">
            <v>KC Bulukumba</v>
          </cell>
          <cell r="K270">
            <v>1</v>
          </cell>
        </row>
        <row r="271">
          <cell r="D271" t="str">
            <v>KC Enrekang</v>
          </cell>
          <cell r="K271">
            <v>0.92</v>
          </cell>
        </row>
        <row r="272">
          <cell r="D272" t="str">
            <v>KC Jeneponto</v>
          </cell>
          <cell r="K272">
            <v>1</v>
          </cell>
        </row>
        <row r="273">
          <cell r="D273" t="str">
            <v>KC Kendari By Pass</v>
          </cell>
          <cell r="K273">
            <v>0.97802197802197799</v>
          </cell>
        </row>
        <row r="274">
          <cell r="D274" t="str">
            <v>KC Kendari Samratulangi</v>
          </cell>
          <cell r="K274">
            <v>0.98496240601503759</v>
          </cell>
        </row>
        <row r="275">
          <cell r="D275" t="str">
            <v>KC Kolaka</v>
          </cell>
          <cell r="K275">
            <v>0.97222222222222221</v>
          </cell>
        </row>
        <row r="276">
          <cell r="D276" t="str">
            <v>KC LANGGUR</v>
          </cell>
          <cell r="K276">
            <v>0.97368421052631582</v>
          </cell>
        </row>
        <row r="277">
          <cell r="D277" t="str">
            <v>KC Majene</v>
          </cell>
          <cell r="K277">
            <v>1</v>
          </cell>
        </row>
        <row r="278">
          <cell r="D278" t="str">
            <v>KC Makassar Ahmad Yani</v>
          </cell>
          <cell r="K278">
            <v>0.9375</v>
          </cell>
        </row>
        <row r="279">
          <cell r="D279" t="str">
            <v>KC MAKASSAR SUDIRMAN</v>
          </cell>
          <cell r="K279">
            <v>1</v>
          </cell>
        </row>
        <row r="280">
          <cell r="D280" t="str">
            <v>KC Mamuju</v>
          </cell>
          <cell r="K280">
            <v>1</v>
          </cell>
        </row>
        <row r="281">
          <cell r="D281" t="str">
            <v>KC Maros</v>
          </cell>
          <cell r="K281">
            <v>0.97058823529411764</v>
          </cell>
        </row>
        <row r="282">
          <cell r="D282" t="str">
            <v>KC Masamba</v>
          </cell>
          <cell r="K282">
            <v>0.97368421052631582</v>
          </cell>
        </row>
        <row r="283">
          <cell r="D283" t="str">
            <v>KC Masohi</v>
          </cell>
          <cell r="K283">
            <v>1</v>
          </cell>
        </row>
        <row r="284">
          <cell r="D284" t="str">
            <v>KC Palopo</v>
          </cell>
          <cell r="K284">
            <v>0.88571428571428568</v>
          </cell>
        </row>
        <row r="285">
          <cell r="D285" t="str">
            <v>KC Panakkukang</v>
          </cell>
          <cell r="K285">
            <v>0.93142857142857138</v>
          </cell>
        </row>
        <row r="286">
          <cell r="D286" t="str">
            <v>KC Pangkep</v>
          </cell>
          <cell r="K286">
            <v>1</v>
          </cell>
        </row>
        <row r="287">
          <cell r="D287" t="str">
            <v>KC Pare-Pare</v>
          </cell>
          <cell r="K287">
            <v>0.967741935483871</v>
          </cell>
        </row>
        <row r="288">
          <cell r="D288" t="str">
            <v>KC Pinrang</v>
          </cell>
          <cell r="K288">
            <v>1</v>
          </cell>
        </row>
        <row r="289">
          <cell r="D289" t="str">
            <v>KC Polewali</v>
          </cell>
          <cell r="K289">
            <v>1</v>
          </cell>
        </row>
        <row r="290">
          <cell r="D290" t="str">
            <v>KC PULAU ARU</v>
          </cell>
          <cell r="K290">
            <v>0.95</v>
          </cell>
        </row>
        <row r="291">
          <cell r="D291" t="str">
            <v>KC Raha</v>
          </cell>
          <cell r="K291">
            <v>0.93548387096774188</v>
          </cell>
        </row>
        <row r="292">
          <cell r="D292" t="str">
            <v>KC Rantepao</v>
          </cell>
          <cell r="K292">
            <v>1</v>
          </cell>
        </row>
        <row r="293">
          <cell r="D293" t="str">
            <v>KC Saumlaki</v>
          </cell>
          <cell r="K293">
            <v>0.95833333333333337</v>
          </cell>
        </row>
        <row r="294">
          <cell r="D294" t="str">
            <v>KC Sengkang</v>
          </cell>
          <cell r="K294">
            <v>0.8571428571428571</v>
          </cell>
        </row>
        <row r="295">
          <cell r="D295" t="str">
            <v>KC Sidrap</v>
          </cell>
          <cell r="K295">
            <v>0.94117647058823528</v>
          </cell>
        </row>
        <row r="296">
          <cell r="D296" t="str">
            <v>KC Sinjai</v>
          </cell>
          <cell r="K296">
            <v>1</v>
          </cell>
        </row>
        <row r="297">
          <cell r="D297" t="str">
            <v>KC Sungguminasa</v>
          </cell>
          <cell r="K297">
            <v>0.95402298850574707</v>
          </cell>
        </row>
        <row r="298">
          <cell r="D298" t="str">
            <v>KC Takalar</v>
          </cell>
          <cell r="K298">
            <v>0.92307692307692313</v>
          </cell>
        </row>
        <row r="299">
          <cell r="D299" t="str">
            <v>KC Tamalanrea</v>
          </cell>
          <cell r="K299">
            <v>0.97468354430379744</v>
          </cell>
        </row>
        <row r="300">
          <cell r="D300" t="str">
            <v>KC Watampone</v>
          </cell>
          <cell r="K300">
            <v>0.93243243243243246</v>
          </cell>
        </row>
        <row r="301">
          <cell r="D301" t="str">
            <v>KC Watansopeng</v>
          </cell>
          <cell r="K301">
            <v>1</v>
          </cell>
        </row>
        <row r="302">
          <cell r="D302" t="str">
            <v>KC AMPANA</v>
          </cell>
          <cell r="K302">
            <v>1</v>
          </cell>
        </row>
        <row r="303">
          <cell r="D303" t="str">
            <v>KC Bitung</v>
          </cell>
          <cell r="K303">
            <v>0.96875</v>
          </cell>
        </row>
        <row r="304">
          <cell r="D304" t="str">
            <v>KC Gorontalo</v>
          </cell>
          <cell r="K304">
            <v>1</v>
          </cell>
        </row>
        <row r="305">
          <cell r="D305" t="str">
            <v>KC Kotamobagu</v>
          </cell>
          <cell r="K305">
            <v>0.97727272727272729</v>
          </cell>
        </row>
        <row r="306">
          <cell r="D306" t="str">
            <v>KC Limboto</v>
          </cell>
          <cell r="K306">
            <v>1</v>
          </cell>
        </row>
        <row r="307">
          <cell r="D307" t="str">
            <v>KC Luwuk</v>
          </cell>
          <cell r="K307">
            <v>1</v>
          </cell>
        </row>
        <row r="308">
          <cell r="D308" t="str">
            <v>KC Manado</v>
          </cell>
          <cell r="K308">
            <v>1</v>
          </cell>
        </row>
        <row r="309">
          <cell r="D309" t="str">
            <v>KC Manado Boulevard</v>
          </cell>
          <cell r="K309">
            <v>1</v>
          </cell>
        </row>
        <row r="310">
          <cell r="D310" t="str">
            <v>KC Marisa</v>
          </cell>
          <cell r="K310">
            <v>1</v>
          </cell>
        </row>
        <row r="311">
          <cell r="D311" t="str">
            <v>KC MOROWALI</v>
          </cell>
          <cell r="K311">
            <v>1</v>
          </cell>
        </row>
        <row r="312">
          <cell r="D312" t="str">
            <v>KC Palu</v>
          </cell>
          <cell r="K312">
            <v>1</v>
          </cell>
        </row>
        <row r="313">
          <cell r="D313" t="str">
            <v>KC Parigi</v>
          </cell>
          <cell r="K313">
            <v>1</v>
          </cell>
        </row>
        <row r="314">
          <cell r="D314" t="str">
            <v>KC POGOGUL BUOL</v>
          </cell>
          <cell r="K314">
            <v>1</v>
          </cell>
        </row>
        <row r="315">
          <cell r="D315" t="str">
            <v>KC Poso</v>
          </cell>
          <cell r="K315">
            <v>1</v>
          </cell>
        </row>
        <row r="316">
          <cell r="D316" t="str">
            <v>KC Soa-Sio</v>
          </cell>
          <cell r="K316">
            <v>1</v>
          </cell>
        </row>
        <row r="317">
          <cell r="D317" t="str">
            <v>KC Tahuna</v>
          </cell>
          <cell r="K317">
            <v>1</v>
          </cell>
        </row>
        <row r="318">
          <cell r="D318" t="str">
            <v>KC Ternate</v>
          </cell>
          <cell r="K318">
            <v>1</v>
          </cell>
        </row>
        <row r="319">
          <cell r="D319" t="str">
            <v>KC Tobelo</v>
          </cell>
          <cell r="K319">
            <v>0.95</v>
          </cell>
        </row>
        <row r="320">
          <cell r="D320" t="str">
            <v>KC Toli-Toli</v>
          </cell>
          <cell r="K320">
            <v>1</v>
          </cell>
        </row>
        <row r="321">
          <cell r="D321" t="str">
            <v>KC Tondano</v>
          </cell>
          <cell r="K321">
            <v>0.96226415094339623</v>
          </cell>
        </row>
        <row r="322">
          <cell r="D322" t="str">
            <v>KC Balige</v>
          </cell>
          <cell r="K322">
            <v>1</v>
          </cell>
        </row>
        <row r="323">
          <cell r="D323" t="str">
            <v>KC Binjai</v>
          </cell>
          <cell r="K323">
            <v>0.95918367346938771</v>
          </cell>
        </row>
        <row r="324">
          <cell r="D324" t="str">
            <v>KC Gunung Sitoli</v>
          </cell>
          <cell r="K324">
            <v>0.98550724637681164</v>
          </cell>
        </row>
        <row r="325">
          <cell r="D325" t="str">
            <v>KC Kabanjahe</v>
          </cell>
          <cell r="K325">
            <v>0.94444444444444442</v>
          </cell>
        </row>
        <row r="326">
          <cell r="D326" t="str">
            <v>KC Kisaran</v>
          </cell>
          <cell r="K326">
            <v>1</v>
          </cell>
        </row>
        <row r="327">
          <cell r="D327" t="str">
            <v>KC Kota Pinang</v>
          </cell>
          <cell r="K327">
            <v>0.93333333333333335</v>
          </cell>
        </row>
        <row r="328">
          <cell r="D328" t="str">
            <v>KC Lubuk Pakam</v>
          </cell>
          <cell r="K328">
            <v>1</v>
          </cell>
        </row>
        <row r="329">
          <cell r="D329" t="str">
            <v>KC Medan Gatot Subroto</v>
          </cell>
          <cell r="K329">
            <v>0.98913043478260865</v>
          </cell>
        </row>
        <row r="330">
          <cell r="D330" t="str">
            <v>KC Medan Iskandar Muda</v>
          </cell>
          <cell r="K330">
            <v>0.99375000000000002</v>
          </cell>
        </row>
        <row r="331">
          <cell r="D331" t="str">
            <v>KC Medan Putri Hijau</v>
          </cell>
          <cell r="K331">
            <v>1</v>
          </cell>
        </row>
        <row r="332">
          <cell r="D332" t="str">
            <v>KC Medan Sisingamangaraja</v>
          </cell>
          <cell r="K332">
            <v>0.96296296296296291</v>
          </cell>
        </row>
        <row r="333">
          <cell r="D333" t="str">
            <v>KC Medan Thamrin</v>
          </cell>
          <cell r="K333">
            <v>0.96875</v>
          </cell>
        </row>
        <row r="334">
          <cell r="D334" t="str">
            <v>KC Padang Sidempuan</v>
          </cell>
          <cell r="K334">
            <v>0.9850746268656716</v>
          </cell>
        </row>
        <row r="335">
          <cell r="D335" t="str">
            <v>KC Panyabungan</v>
          </cell>
          <cell r="K335">
            <v>0.94117647058823528</v>
          </cell>
        </row>
        <row r="336">
          <cell r="D336" t="str">
            <v>KC Pematang Siantar</v>
          </cell>
          <cell r="K336">
            <v>0.97752808988764039</v>
          </cell>
        </row>
        <row r="337">
          <cell r="D337" t="str">
            <v>KC Perdagangan</v>
          </cell>
          <cell r="K337">
            <v>1</v>
          </cell>
        </row>
        <row r="338">
          <cell r="D338" t="str">
            <v>KC Rantau Prapat</v>
          </cell>
          <cell r="K338">
            <v>0.97619047619047616</v>
          </cell>
        </row>
        <row r="339">
          <cell r="D339" t="str">
            <v>KC Sibolga</v>
          </cell>
          <cell r="K339">
            <v>1</v>
          </cell>
        </row>
        <row r="340">
          <cell r="D340" t="str">
            <v>KC Sibuhuan</v>
          </cell>
          <cell r="K340">
            <v>0.96153846153846156</v>
          </cell>
        </row>
        <row r="341">
          <cell r="D341" t="str">
            <v>KC Sidikalang</v>
          </cell>
          <cell r="K341">
            <v>0.94339622641509435</v>
          </cell>
        </row>
        <row r="342">
          <cell r="D342" t="str">
            <v>KC Stabat</v>
          </cell>
          <cell r="K342">
            <v>0.98039215686274506</v>
          </cell>
        </row>
        <row r="343">
          <cell r="D343" t="str">
            <v>KC Tanjung Balai</v>
          </cell>
          <cell r="K343">
            <v>1</v>
          </cell>
        </row>
        <row r="344">
          <cell r="D344" t="str">
            <v>KC Tarutung</v>
          </cell>
          <cell r="K344">
            <v>1</v>
          </cell>
        </row>
        <row r="345">
          <cell r="D345" t="str">
            <v>KC Tebing Tinggi</v>
          </cell>
          <cell r="K345">
            <v>0.94117647058823528</v>
          </cell>
        </row>
        <row r="346">
          <cell r="D346" t="str">
            <v>KC Batu Sangkar</v>
          </cell>
          <cell r="K346">
            <v>0.95652173913043481</v>
          </cell>
        </row>
        <row r="347">
          <cell r="D347" t="str">
            <v>KC Bukittinggi</v>
          </cell>
          <cell r="K347">
            <v>0.98412698412698407</v>
          </cell>
        </row>
        <row r="348">
          <cell r="D348" t="str">
            <v>KC Dharmasraya</v>
          </cell>
          <cell r="K348">
            <v>1</v>
          </cell>
        </row>
        <row r="349">
          <cell r="D349" t="str">
            <v>KC Khatib Sulaiman</v>
          </cell>
          <cell r="K349">
            <v>0.98192771084337349</v>
          </cell>
        </row>
        <row r="350">
          <cell r="D350" t="str">
            <v>KC Lubuk Sikaping</v>
          </cell>
          <cell r="K350">
            <v>1</v>
          </cell>
        </row>
        <row r="351">
          <cell r="D351" t="str">
            <v>KC Padang</v>
          </cell>
          <cell r="K351">
            <v>0.97692307692307689</v>
          </cell>
        </row>
        <row r="352">
          <cell r="D352" t="str">
            <v>KC Padang Panjang</v>
          </cell>
          <cell r="K352">
            <v>1</v>
          </cell>
        </row>
        <row r="353">
          <cell r="D353" t="str">
            <v>KC Painan</v>
          </cell>
          <cell r="K353">
            <v>0.96875</v>
          </cell>
        </row>
        <row r="354">
          <cell r="D354" t="str">
            <v>KC Pariaman</v>
          </cell>
          <cell r="K354">
            <v>0.98529411764705888</v>
          </cell>
        </row>
        <row r="355">
          <cell r="D355" t="str">
            <v>KC Payakumbuh</v>
          </cell>
          <cell r="K355">
            <v>1</v>
          </cell>
        </row>
        <row r="356">
          <cell r="D356" t="str">
            <v>KC Sijunjung</v>
          </cell>
          <cell r="K356">
            <v>0.97058823529411764</v>
          </cell>
        </row>
        <row r="357">
          <cell r="D357" t="str">
            <v>KC Simpang Empat</v>
          </cell>
          <cell r="K357">
            <v>1</v>
          </cell>
        </row>
        <row r="358">
          <cell r="D358" t="str">
            <v>KC Solok</v>
          </cell>
          <cell r="K358">
            <v>0.9838709677419355</v>
          </cell>
        </row>
        <row r="359">
          <cell r="D359" t="str">
            <v>KC Sungai Penuh</v>
          </cell>
          <cell r="K359">
            <v>1</v>
          </cell>
        </row>
        <row r="360">
          <cell r="D360" t="str">
            <v>KC Abunjani Sipin</v>
          </cell>
          <cell r="K360">
            <v>1</v>
          </cell>
        </row>
        <row r="361">
          <cell r="D361" t="str">
            <v>KC Bangko</v>
          </cell>
          <cell r="K361">
            <v>1</v>
          </cell>
        </row>
        <row r="362">
          <cell r="D362" t="str">
            <v>KC Baturaja</v>
          </cell>
          <cell r="K362">
            <v>1</v>
          </cell>
        </row>
        <row r="363">
          <cell r="D363" t="str">
            <v>KC Jambi</v>
          </cell>
          <cell r="K363">
            <v>1</v>
          </cell>
        </row>
        <row r="364">
          <cell r="D364" t="str">
            <v>KC Kayu Agung</v>
          </cell>
          <cell r="K364">
            <v>1</v>
          </cell>
        </row>
        <row r="365">
          <cell r="D365" t="str">
            <v>KC Kuala Tungkal</v>
          </cell>
          <cell r="K365">
            <v>1</v>
          </cell>
        </row>
        <row r="366">
          <cell r="D366" t="str">
            <v>KC Lahat</v>
          </cell>
          <cell r="K366">
            <v>1</v>
          </cell>
        </row>
        <row r="367">
          <cell r="D367" t="str">
            <v>KC Lubuk Linggau</v>
          </cell>
          <cell r="K367">
            <v>0.97959183673469385</v>
          </cell>
        </row>
        <row r="368">
          <cell r="D368" t="str">
            <v>KC Muara Bulian</v>
          </cell>
          <cell r="K368">
            <v>1</v>
          </cell>
        </row>
        <row r="369">
          <cell r="D369" t="str">
            <v>KC Muara Bungo</v>
          </cell>
          <cell r="K369">
            <v>1</v>
          </cell>
        </row>
        <row r="370">
          <cell r="D370" t="str">
            <v>KC Muara Enim</v>
          </cell>
          <cell r="K370">
            <v>1</v>
          </cell>
        </row>
        <row r="371">
          <cell r="D371" t="str">
            <v>KC Pagar Alam</v>
          </cell>
          <cell r="K371">
            <v>1</v>
          </cell>
        </row>
        <row r="372">
          <cell r="D372" t="str">
            <v>KC Palembang A. Rivai</v>
          </cell>
          <cell r="K372">
            <v>1</v>
          </cell>
        </row>
        <row r="373">
          <cell r="D373" t="str">
            <v>KC Palembang Sriwijaya</v>
          </cell>
          <cell r="K373">
            <v>0.99354838709677418</v>
          </cell>
        </row>
        <row r="374">
          <cell r="D374" t="str">
            <v>KC Pangkal Pinang</v>
          </cell>
          <cell r="K374">
            <v>1</v>
          </cell>
        </row>
        <row r="375">
          <cell r="D375" t="str">
            <v>KC Prabumulih</v>
          </cell>
          <cell r="K375">
            <v>0.96875</v>
          </cell>
        </row>
        <row r="376">
          <cell r="D376" t="str">
            <v>KC Rimbo Bujang</v>
          </cell>
          <cell r="K376">
            <v>1</v>
          </cell>
        </row>
        <row r="377">
          <cell r="D377" t="str">
            <v>KC Sarolangun</v>
          </cell>
          <cell r="K377">
            <v>0.97435897435897434</v>
          </cell>
        </row>
        <row r="378">
          <cell r="D378" t="str">
            <v>KC Sekayu</v>
          </cell>
          <cell r="K378">
            <v>1</v>
          </cell>
        </row>
        <row r="379">
          <cell r="D379" t="str">
            <v>KC Sungai Liat</v>
          </cell>
          <cell r="K379">
            <v>1</v>
          </cell>
        </row>
        <row r="380">
          <cell r="D380" t="str">
            <v>KC Tanjung Pandan</v>
          </cell>
          <cell r="K380">
            <v>1</v>
          </cell>
        </row>
        <row r="381">
          <cell r="D381" t="str">
            <v>KC Batang</v>
          </cell>
          <cell r="K381">
            <v>0.97297297297297303</v>
          </cell>
        </row>
        <row r="382">
          <cell r="D382" t="str">
            <v>KC Blora</v>
          </cell>
          <cell r="K382">
            <v>0.97297297297297303</v>
          </cell>
        </row>
        <row r="383">
          <cell r="D383" t="str">
            <v>KC Brebes</v>
          </cell>
          <cell r="K383">
            <v>1</v>
          </cell>
        </row>
        <row r="384">
          <cell r="D384" t="str">
            <v>KC Brigjen Sudiarto</v>
          </cell>
          <cell r="K384">
            <v>0.97297297297297303</v>
          </cell>
        </row>
        <row r="385">
          <cell r="D385" t="str">
            <v>KC Bumiayu</v>
          </cell>
          <cell r="K385">
            <v>1</v>
          </cell>
        </row>
        <row r="386">
          <cell r="D386" t="str">
            <v>KC Cepu</v>
          </cell>
          <cell r="K386">
            <v>1</v>
          </cell>
        </row>
        <row r="387">
          <cell r="D387" t="str">
            <v>KC Demak</v>
          </cell>
          <cell r="K387">
            <v>1</v>
          </cell>
        </row>
        <row r="388">
          <cell r="D388" t="str">
            <v>KC Jepara</v>
          </cell>
          <cell r="K388">
            <v>0.89655172413793105</v>
          </cell>
        </row>
        <row r="389">
          <cell r="D389" t="str">
            <v>KC Kendal</v>
          </cell>
          <cell r="K389">
            <v>0.97435897435897434</v>
          </cell>
        </row>
        <row r="390">
          <cell r="D390" t="str">
            <v>KC Kudus</v>
          </cell>
          <cell r="K390">
            <v>0.97619047619047616</v>
          </cell>
        </row>
        <row r="391">
          <cell r="D391" t="str">
            <v>KC Pati</v>
          </cell>
          <cell r="K391">
            <v>0.95454545454545459</v>
          </cell>
        </row>
        <row r="392">
          <cell r="D392" t="str">
            <v>KC Pekalongan</v>
          </cell>
          <cell r="K392">
            <v>0.98333333333333328</v>
          </cell>
        </row>
        <row r="393">
          <cell r="D393" t="str">
            <v>KC Pemalang</v>
          </cell>
          <cell r="K393">
            <v>0.98113207547169812</v>
          </cell>
        </row>
        <row r="394">
          <cell r="D394" t="str">
            <v>KC Purwodadi</v>
          </cell>
          <cell r="K394">
            <v>0.96875</v>
          </cell>
        </row>
        <row r="395">
          <cell r="D395" t="str">
            <v>KC Rembang</v>
          </cell>
          <cell r="K395">
            <v>1</v>
          </cell>
        </row>
        <row r="396">
          <cell r="D396" t="str">
            <v>KC Salatiga</v>
          </cell>
          <cell r="K396">
            <v>0.97674418604651159</v>
          </cell>
        </row>
        <row r="397">
          <cell r="D397" t="str">
            <v>KC Semarang A. Yani</v>
          </cell>
          <cell r="K397">
            <v>0.989247311827957</v>
          </cell>
        </row>
        <row r="398">
          <cell r="D398" t="str">
            <v>KC Semarang Pandanaran</v>
          </cell>
          <cell r="K398">
            <v>0.953125</v>
          </cell>
        </row>
        <row r="399">
          <cell r="D399" t="str">
            <v>KC Semarang Patimura</v>
          </cell>
          <cell r="K399">
            <v>0.94117647058823528</v>
          </cell>
        </row>
        <row r="400">
          <cell r="D400" t="str">
            <v>KC Slawi</v>
          </cell>
          <cell r="K400">
            <v>1</v>
          </cell>
        </row>
        <row r="401">
          <cell r="D401" t="str">
            <v>KC Tegal</v>
          </cell>
          <cell r="K401">
            <v>0.95833333333333337</v>
          </cell>
        </row>
        <row r="402">
          <cell r="D402" t="str">
            <v>KC Ungaran</v>
          </cell>
          <cell r="K402">
            <v>0.94871794871794868</v>
          </cell>
        </row>
        <row r="403">
          <cell r="D403" t="str">
            <v>KC Bangkalan</v>
          </cell>
          <cell r="K403">
            <v>0.94736842105263153</v>
          </cell>
        </row>
        <row r="404">
          <cell r="D404" t="str">
            <v>KC Bojonegoro</v>
          </cell>
          <cell r="K404">
            <v>0.95652173913043481</v>
          </cell>
        </row>
        <row r="405">
          <cell r="D405" t="str">
            <v>KC Gresik</v>
          </cell>
          <cell r="K405">
            <v>0.94</v>
          </cell>
        </row>
        <row r="406">
          <cell r="D406" t="str">
            <v>KC Jombang</v>
          </cell>
          <cell r="K406">
            <v>0.94444444444444442</v>
          </cell>
        </row>
        <row r="407">
          <cell r="D407" t="str">
            <v>KC Kapas Krampung</v>
          </cell>
          <cell r="K407">
            <v>1</v>
          </cell>
        </row>
        <row r="408">
          <cell r="D408" t="str">
            <v>KC Krian</v>
          </cell>
          <cell r="K408">
            <v>1</v>
          </cell>
        </row>
        <row r="409">
          <cell r="D409" t="str">
            <v>KC Lamongan</v>
          </cell>
          <cell r="K409">
            <v>0.96153846153846156</v>
          </cell>
        </row>
        <row r="410">
          <cell r="D410" t="str">
            <v>KC Manukan</v>
          </cell>
          <cell r="K410">
            <v>0.92592592592592593</v>
          </cell>
        </row>
        <row r="411">
          <cell r="D411" t="str">
            <v>KC Mojokerto</v>
          </cell>
          <cell r="K411">
            <v>0.97727272727272729</v>
          </cell>
        </row>
        <row r="412">
          <cell r="D412" t="str">
            <v>KC Mulyosari</v>
          </cell>
          <cell r="K412">
            <v>1</v>
          </cell>
        </row>
        <row r="413">
          <cell r="D413" t="str">
            <v>KC Pamekasan</v>
          </cell>
          <cell r="K413">
            <v>1</v>
          </cell>
        </row>
        <row r="414">
          <cell r="D414" t="str">
            <v>KC Sampang</v>
          </cell>
          <cell r="K414">
            <v>1</v>
          </cell>
        </row>
        <row r="415">
          <cell r="D415" t="str">
            <v>KC Sidoarjo</v>
          </cell>
          <cell r="K415">
            <v>0.97142857142857142</v>
          </cell>
        </row>
        <row r="416">
          <cell r="D416" t="str">
            <v>KC Sumenep</v>
          </cell>
          <cell r="K416">
            <v>1</v>
          </cell>
        </row>
        <row r="417">
          <cell r="D417" t="str">
            <v>KC Surabaya Diponegoro</v>
          </cell>
          <cell r="K417">
            <v>0.94871794871794868</v>
          </cell>
        </row>
        <row r="418">
          <cell r="D418" t="str">
            <v>KC Surabaya HR Muhammad</v>
          </cell>
          <cell r="K418">
            <v>1</v>
          </cell>
        </row>
        <row r="419">
          <cell r="D419" t="str">
            <v>KC Surabaya Jemursari</v>
          </cell>
          <cell r="K419">
            <v>0.98305084745762716</v>
          </cell>
        </row>
        <row r="420">
          <cell r="D420" t="str">
            <v>KC Surabaya Kaliasin</v>
          </cell>
          <cell r="K420">
            <v>0.96</v>
          </cell>
        </row>
        <row r="421">
          <cell r="D421" t="str">
            <v>KC Surabaya Kertajaya</v>
          </cell>
          <cell r="K421">
            <v>0.967741935483871</v>
          </cell>
        </row>
        <row r="422">
          <cell r="D422" t="str">
            <v>KC Surabaya Kusuma bangsa</v>
          </cell>
          <cell r="K422">
            <v>0.95652173913043481</v>
          </cell>
        </row>
        <row r="423">
          <cell r="D423" t="str">
            <v>KC Surabaya Pahlawan</v>
          </cell>
          <cell r="K423">
            <v>1</v>
          </cell>
        </row>
        <row r="424">
          <cell r="D424" t="str">
            <v>KC Surabaya Rajawali</v>
          </cell>
          <cell r="K424">
            <v>1</v>
          </cell>
        </row>
        <row r="425">
          <cell r="D425" t="str">
            <v>KC Surabaya Tanjung Perak</v>
          </cell>
          <cell r="K425">
            <v>1</v>
          </cell>
        </row>
        <row r="426">
          <cell r="D426" t="str">
            <v>KC Tuban</v>
          </cell>
          <cell r="K426">
            <v>0.95238095238095233</v>
          </cell>
        </row>
        <row r="427">
          <cell r="D427" t="str">
            <v>KC Waru</v>
          </cell>
          <cell r="K427">
            <v>0.97297297297297303</v>
          </cell>
        </row>
        <row r="428">
          <cell r="D428" t="str">
            <v>KC Ajibarang</v>
          </cell>
          <cell r="K428">
            <v>1</v>
          </cell>
        </row>
        <row r="429">
          <cell r="D429" t="str">
            <v>KC Banjarnegara</v>
          </cell>
          <cell r="K429">
            <v>0.88888888888888884</v>
          </cell>
        </row>
        <row r="430">
          <cell r="D430" t="str">
            <v>KC Bantul</v>
          </cell>
          <cell r="K430">
            <v>1</v>
          </cell>
        </row>
        <row r="431">
          <cell r="D431" t="str">
            <v>KC Boyolali</v>
          </cell>
          <cell r="K431">
            <v>1</v>
          </cell>
        </row>
        <row r="432">
          <cell r="D432" t="str">
            <v>KC Cilacap</v>
          </cell>
          <cell r="K432">
            <v>1</v>
          </cell>
        </row>
        <row r="433">
          <cell r="D433" t="str">
            <v>KC Gombong</v>
          </cell>
          <cell r="K433">
            <v>1</v>
          </cell>
        </row>
        <row r="434">
          <cell r="D434" t="str">
            <v>KC Karanganyar</v>
          </cell>
          <cell r="K434">
            <v>1</v>
          </cell>
        </row>
        <row r="435">
          <cell r="D435" t="str">
            <v>KC Kebumen</v>
          </cell>
          <cell r="K435">
            <v>1</v>
          </cell>
        </row>
        <row r="436">
          <cell r="D436" t="str">
            <v>KC Klaten</v>
          </cell>
          <cell r="K436">
            <v>1</v>
          </cell>
        </row>
        <row r="437">
          <cell r="D437" t="str">
            <v>KC Kutoarjo</v>
          </cell>
          <cell r="K437">
            <v>1</v>
          </cell>
        </row>
        <row r="438">
          <cell r="D438" t="str">
            <v>KC Magelang</v>
          </cell>
          <cell r="K438">
            <v>0.99700598802395213</v>
          </cell>
        </row>
        <row r="439">
          <cell r="D439" t="str">
            <v>KC Majenang</v>
          </cell>
          <cell r="K439">
            <v>1</v>
          </cell>
        </row>
        <row r="440">
          <cell r="D440" t="str">
            <v>KC Muntilan</v>
          </cell>
          <cell r="K440">
            <v>1</v>
          </cell>
        </row>
        <row r="441">
          <cell r="D441" t="str">
            <v>KC Parakan</v>
          </cell>
          <cell r="K441">
            <v>1</v>
          </cell>
        </row>
        <row r="442">
          <cell r="D442" t="str">
            <v>KC Purbalingga</v>
          </cell>
          <cell r="K442">
            <v>1</v>
          </cell>
        </row>
        <row r="443">
          <cell r="D443" t="str">
            <v>KC Purwokerto</v>
          </cell>
          <cell r="K443">
            <v>0.97599999999999998</v>
          </cell>
        </row>
        <row r="444">
          <cell r="D444" t="str">
            <v>KC Purworejo</v>
          </cell>
          <cell r="K444">
            <v>0.97727272727272729</v>
          </cell>
        </row>
        <row r="445">
          <cell r="D445" t="str">
            <v>KC Sleman</v>
          </cell>
          <cell r="K445">
            <v>0.98230088495575218</v>
          </cell>
        </row>
        <row r="446">
          <cell r="D446" t="str">
            <v>KC Solo - Sudirman</v>
          </cell>
          <cell r="K446">
            <v>0.97058823529411764</v>
          </cell>
        </row>
        <row r="447">
          <cell r="D447" t="str">
            <v>KC Solo Baru</v>
          </cell>
          <cell r="K447">
            <v>0.967741935483871</v>
          </cell>
        </row>
        <row r="448">
          <cell r="D448" t="str">
            <v>KC Solo Kartasura</v>
          </cell>
          <cell r="K448">
            <v>1</v>
          </cell>
        </row>
        <row r="449">
          <cell r="D449" t="str">
            <v>KC Solo Slamet Riyadi</v>
          </cell>
          <cell r="K449">
            <v>0.9859154929577465</v>
          </cell>
        </row>
        <row r="450">
          <cell r="D450" t="str">
            <v>KC Sragen</v>
          </cell>
          <cell r="K450">
            <v>0.9821428571428571</v>
          </cell>
        </row>
        <row r="451">
          <cell r="D451" t="str">
            <v>KC Sukoharjo</v>
          </cell>
          <cell r="K451">
            <v>1</v>
          </cell>
        </row>
        <row r="452">
          <cell r="D452" t="str">
            <v>KC Temanggung</v>
          </cell>
          <cell r="K452">
            <v>1</v>
          </cell>
        </row>
        <row r="453">
          <cell r="D453" t="str">
            <v>KC Wates</v>
          </cell>
          <cell r="K453">
            <v>1</v>
          </cell>
        </row>
        <row r="454">
          <cell r="D454" t="str">
            <v>KC Wonogiri</v>
          </cell>
          <cell r="K454">
            <v>1</v>
          </cell>
        </row>
        <row r="455">
          <cell r="D455" t="str">
            <v>KC Wonosari</v>
          </cell>
          <cell r="K455">
            <v>1</v>
          </cell>
        </row>
        <row r="456">
          <cell r="D456" t="str">
            <v>KC Wonosobo</v>
          </cell>
          <cell r="K456">
            <v>1</v>
          </cell>
        </row>
        <row r="457">
          <cell r="D457" t="str">
            <v>KC Yogyakarta Adisucipto</v>
          </cell>
          <cell r="K457">
            <v>0.98529411764705888</v>
          </cell>
        </row>
        <row r="458">
          <cell r="D458" t="str">
            <v>KC Yogyakarta Cik Ditiro</v>
          </cell>
          <cell r="K458">
            <v>0.99315068493150682</v>
          </cell>
        </row>
        <row r="459">
          <cell r="D459" t="str">
            <v>KC Yogyakarta Katamso</v>
          </cell>
          <cell r="K459">
            <v>0.99099099099099097</v>
          </cell>
        </row>
        <row r="460">
          <cell r="D460" t="str">
            <v>KC Yogyakarta Mlati</v>
          </cell>
          <cell r="K460">
            <v>0.83720930232558144</v>
          </cell>
        </row>
        <row r="461">
          <cell r="K461">
            <v>0.97410920276852087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52"/>
  <sheetViews>
    <sheetView topLeftCell="I1" workbookViewId="0">
      <selection activeCell="N28" sqref="N28"/>
    </sheetView>
  </sheetViews>
  <sheetFormatPr defaultRowHeight="14.45"/>
  <cols>
    <col min="1" max="1" width="10.140625" bestFit="1" customWidth="1"/>
    <col min="2" max="2" width="33.140625" customWidth="1"/>
    <col min="3" max="3" width="10.140625" bestFit="1" customWidth="1"/>
    <col min="4" max="4" width="23.5703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25.85546875" customWidth="1"/>
  </cols>
  <sheetData>
    <row r="1" spans="1:2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>
      <c r="A2" s="8" cm="1">
        <f t="array" ref="A2:U52">_xlfn._xlws.FILTER('[2]STR-2026-8-2026-8'!$A:$U, ISNUMBER(SEARCH("Palembang", '[2]STR-2026-8-2026-8'!$O:$O)), "")</f>
        <v>46265</v>
      </c>
      <c r="B2" s="9" t="str">
        <v xml:space="preserve">ABUBAKAR SIDIK                          </v>
      </c>
      <c r="C2" s="9" t="str">
        <v>AOMC509</v>
      </c>
      <c r="D2" s="17">
        <v>6301105720501</v>
      </c>
      <c r="E2" s="9">
        <v>0</v>
      </c>
      <c r="F2" s="9" t="str">
        <v>Tidak</v>
      </c>
      <c r="G2" s="9" t="str">
        <v>Tidak</v>
      </c>
      <c r="H2" s="9">
        <v>0</v>
      </c>
      <c r="I2" s="9" t="str">
        <v>Jual Beli Rekening - E channel Trx</v>
      </c>
      <c r="J2" s="9">
        <v>33</v>
      </c>
      <c r="K2" s="9">
        <v>113</v>
      </c>
      <c r="L2" s="9" t="str">
        <v>Narkotika/Judi Online/Penipuan</v>
      </c>
      <c r="M2" s="9" t="str">
        <v xml:space="preserve">KC Pangkal Pinang                       </v>
      </c>
      <c r="N2" s="9" t="str">
        <v xml:space="preserve">KC Pangkal Pinang                       </v>
      </c>
      <c r="O2" s="9" t="str">
        <v xml:space="preserve">Palembang    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>
        <v>0</v>
      </c>
      <c r="U2" s="9" t="str">
        <v>"-"</v>
      </c>
      <c r="V2" s="12" t="s">
        <v>24</v>
      </c>
      <c r="W2" s="13">
        <v>46242</v>
      </c>
      <c r="X2" s="14" t="b">
        <f>[3]STR!$X2</f>
        <v>1</v>
      </c>
    </row>
    <row r="3" spans="1:26">
      <c r="A3" s="8">
        <v>46265</v>
      </c>
      <c r="B3" s="9" t="str">
        <v xml:space="preserve">BAMBANG WALUYO                          </v>
      </c>
      <c r="C3" s="9" t="str">
        <v>BG62817</v>
      </c>
      <c r="D3" s="17">
        <v>60701025164506</v>
      </c>
      <c r="E3" s="9" t="str">
        <v>SEDANG</v>
      </c>
      <c r="F3" s="9" t="str">
        <v>Ya</v>
      </c>
      <c r="G3" s="9" t="str">
        <v>Tidak</v>
      </c>
      <c r="H3" s="9" t="str">
        <v>Tidak</v>
      </c>
      <c r="I3" s="9" t="str">
        <v>Narkotika - Area Lapas</v>
      </c>
      <c r="J3" s="9">
        <v>50</v>
      </c>
      <c r="K3" s="9">
        <v>46</v>
      </c>
      <c r="L3" s="9" t="str">
        <v>Narkotika</v>
      </c>
      <c r="M3" s="9" t="str">
        <v>KC Rimbo Bujang</v>
      </c>
      <c r="N3" s="9" t="str">
        <v>KC Rimbo Bujang</v>
      </c>
      <c r="O3" s="9" t="str">
        <v>Palembang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00394521 - Muhammad Hibbanduta</v>
      </c>
      <c r="U3" s="9" t="str">
        <v>"-"</v>
      </c>
      <c r="V3" s="12" t="s">
        <v>24</v>
      </c>
      <c r="W3" s="13">
        <v>46242</v>
      </c>
      <c r="X3" s="14" t="b">
        <f>[3]STR!$X3</f>
        <v>1</v>
      </c>
    </row>
    <row r="4" spans="1:26">
      <c r="A4" s="8">
        <v>46265</v>
      </c>
      <c r="B4" s="9" t="str">
        <v xml:space="preserve">DAVID PRATAMA                           </v>
      </c>
      <c r="C4" s="9" t="str">
        <v>DGTS779</v>
      </c>
      <c r="D4" s="17">
        <v>170701005114500</v>
      </c>
      <c r="E4" s="9">
        <v>0</v>
      </c>
      <c r="F4" s="9" t="str">
        <v>Tidak</v>
      </c>
      <c r="G4" s="9" t="str">
        <v>Tidak</v>
      </c>
      <c r="H4" s="9">
        <v>0</v>
      </c>
      <c r="I4" s="9" t="str">
        <v>Jual Beli Rekening - E channel Trx</v>
      </c>
      <c r="J4" s="9">
        <v>33</v>
      </c>
      <c r="K4" s="9">
        <v>113</v>
      </c>
      <c r="L4" s="9" t="str">
        <v>Narkotika/Judi Online/Penipuan</v>
      </c>
      <c r="M4" s="9" t="str">
        <v xml:space="preserve">KK BANGKA TRADE CENTER                  </v>
      </c>
      <c r="N4" s="9" t="str">
        <v xml:space="preserve">KC Pangkal Pinang                       </v>
      </c>
      <c r="O4" s="9" t="str">
        <v xml:space="preserve">Palembang  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>
        <v>0</v>
      </c>
      <c r="U4" s="9" t="str">
        <v>"-"</v>
      </c>
      <c r="V4" s="12" t="s">
        <v>24</v>
      </c>
      <c r="W4" s="13">
        <v>46242</v>
      </c>
      <c r="X4" s="14" t="b">
        <f>[3]STR!$X4</f>
        <v>1</v>
      </c>
    </row>
    <row r="5" spans="1:26">
      <c r="A5" s="8">
        <v>46265</v>
      </c>
      <c r="B5" s="9" t="str">
        <v xml:space="preserve">DIMAS PRATAMA                           </v>
      </c>
      <c r="C5" s="9" t="str">
        <v>DPZ8211</v>
      </c>
      <c r="D5" s="17">
        <v>16001001564562</v>
      </c>
      <c r="E5" s="9" t="str">
        <v>TINGGI</v>
      </c>
      <c r="F5" s="9" t="str">
        <v>Tidak</v>
      </c>
      <c r="G5" s="9" t="str">
        <v>Tidak</v>
      </c>
      <c r="H5" s="9" t="str">
        <v>Tidak</v>
      </c>
      <c r="I5" s="9" t="str">
        <v>Narkotika - Area Lapas</v>
      </c>
      <c r="J5" s="9">
        <v>65</v>
      </c>
      <c r="K5" s="9">
        <v>46</v>
      </c>
      <c r="L5" s="9" t="str">
        <v>Narkotika</v>
      </c>
      <c r="M5" s="9" t="str">
        <v>KC Muara Bungo</v>
      </c>
      <c r="N5" s="9" t="str">
        <v>KC Muara Bungo</v>
      </c>
      <c r="O5" s="9" t="str">
        <v>Palembang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90185538 - Muhammad Fahikal Auz</v>
      </c>
      <c r="U5" s="9" t="str">
        <v>"-"</v>
      </c>
      <c r="V5" s="12" t="s">
        <v>24</v>
      </c>
      <c r="W5" s="13">
        <v>46242</v>
      </c>
      <c r="X5" s="14" t="b">
        <f>[3]STR!$X5</f>
        <v>1</v>
      </c>
      <c r="Z5" t="s">
        <v>25</v>
      </c>
    </row>
    <row r="6" spans="1:26">
      <c r="A6" s="8">
        <v>46265</v>
      </c>
      <c r="B6" s="9" t="str">
        <v xml:space="preserve">DIMAS ADRIANTO                          </v>
      </c>
      <c r="C6" s="9" t="str">
        <v>DW14159</v>
      </c>
      <c r="D6" s="17">
        <v>16001086128501</v>
      </c>
      <c r="E6" s="9" t="str">
        <v>SEDANG</v>
      </c>
      <c r="F6" s="9" t="str">
        <v>Tidak</v>
      </c>
      <c r="G6" s="9" t="str">
        <v>Tidak</v>
      </c>
      <c r="H6" s="9" t="str">
        <v>Tidak</v>
      </c>
      <c r="I6" s="9" t="str">
        <v>Narkotika - Area Lapas</v>
      </c>
      <c r="J6" s="9">
        <v>51</v>
      </c>
      <c r="K6" s="9">
        <v>48</v>
      </c>
      <c r="L6" s="9" t="str">
        <v>Narkotika</v>
      </c>
      <c r="M6" s="9" t="str">
        <v>KC Muara Bungo</v>
      </c>
      <c r="N6" s="9" t="str">
        <v>KC Muara Bungo</v>
      </c>
      <c r="O6" s="9" t="str">
        <v>Palembang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90185537 - Moh.Khoerul Fajar Ar</v>
      </c>
      <c r="U6" s="9" t="str">
        <v>"-"</v>
      </c>
      <c r="V6" s="12" t="s">
        <v>24</v>
      </c>
      <c r="W6" s="13">
        <v>46242</v>
      </c>
      <c r="X6" s="14" t="b">
        <f>[3]STR!$X6</f>
        <v>1</v>
      </c>
    </row>
    <row r="7" spans="1:26">
      <c r="A7" s="8">
        <v>46265</v>
      </c>
      <c r="B7" s="9" t="str">
        <v xml:space="preserve">EKO EDDY PURNOMO                        </v>
      </c>
      <c r="C7" s="9" t="str">
        <v>EZ58153</v>
      </c>
      <c r="D7" s="17">
        <v>815001002996503</v>
      </c>
      <c r="E7" s="9">
        <v>0</v>
      </c>
      <c r="F7" s="9" t="str">
        <v>Tidak</v>
      </c>
      <c r="G7" s="9" t="str">
        <v>Tidak</v>
      </c>
      <c r="H7" s="9">
        <v>0</v>
      </c>
      <c r="I7" s="9" t="str">
        <v>Jual Beli Rekening - E channel Trx</v>
      </c>
      <c r="J7" s="9">
        <v>33</v>
      </c>
      <c r="K7" s="9">
        <v>113</v>
      </c>
      <c r="L7" s="9" t="str">
        <v>Narkotika/Judi Online/Penipuan</v>
      </c>
      <c r="M7" s="9" t="str">
        <v xml:space="preserve">UNIT SUMBER JAYA BATURAJA               </v>
      </c>
      <c r="N7" s="9" t="str">
        <v xml:space="preserve">KC Baturaja                             </v>
      </c>
      <c r="O7" s="9" t="str">
        <v xml:space="preserve">Palembang    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>
        <v>0</v>
      </c>
      <c r="U7" s="9" t="str">
        <v>"-"</v>
      </c>
      <c r="V7" s="12" t="s">
        <v>24</v>
      </c>
      <c r="W7" s="13">
        <v>46242</v>
      </c>
      <c r="X7" s="14" t="b">
        <f>[3]STR!$X7</f>
        <v>1</v>
      </c>
    </row>
    <row r="8" spans="1:26">
      <c r="A8" s="8">
        <v>46265</v>
      </c>
      <c r="B8" s="9" t="str">
        <v xml:space="preserve">ERWIN                                   </v>
      </c>
      <c r="C8" s="9" t="str">
        <v>EZE4122</v>
      </c>
      <c r="D8" s="17">
        <v>5901207844503</v>
      </c>
      <c r="E8" s="9">
        <v>0</v>
      </c>
      <c r="F8" s="9" t="str">
        <v>Tidak</v>
      </c>
      <c r="G8" s="9" t="str">
        <v>Tidak</v>
      </c>
      <c r="H8" s="9">
        <v>0</v>
      </c>
      <c r="I8" s="9" t="str">
        <v>Jual Beli Rekening - E channel Trx</v>
      </c>
      <c r="J8" s="9">
        <v>33</v>
      </c>
      <c r="K8" s="9">
        <v>113</v>
      </c>
      <c r="L8" s="9" t="str">
        <v>Narkotika/Judi Online/Penipuan</v>
      </c>
      <c r="M8" s="9" t="str">
        <v xml:space="preserve">KC Palembang A. Rivai                   </v>
      </c>
      <c r="N8" s="9" t="str">
        <v xml:space="preserve">KC Palembang A. Rivai                   </v>
      </c>
      <c r="O8" s="9" t="str">
        <v xml:space="preserve">Palembang       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>
        <v>0</v>
      </c>
      <c r="U8" s="9" t="str">
        <v>"-"</v>
      </c>
      <c r="V8" s="12" t="s">
        <v>24</v>
      </c>
      <c r="W8" s="13">
        <v>46242</v>
      </c>
      <c r="X8" s="14" t="b">
        <f>[3]STR!$X8</f>
        <v>1</v>
      </c>
    </row>
    <row r="9" spans="1:26">
      <c r="A9" s="8">
        <v>46265</v>
      </c>
      <c r="B9" s="9" t="str">
        <v xml:space="preserve">HENDRAWAN                               </v>
      </c>
      <c r="C9" s="9" t="str">
        <v>HAZG606</v>
      </c>
      <c r="D9" s="17">
        <v>170701005183509</v>
      </c>
      <c r="E9" s="9">
        <v>0</v>
      </c>
      <c r="F9" s="9" t="str">
        <v>Tidak</v>
      </c>
      <c r="G9" s="9" t="str">
        <v>Tidak</v>
      </c>
      <c r="H9" s="9">
        <v>0</v>
      </c>
      <c r="I9" s="9" t="str">
        <v>Jual Beli Rekening - E channel Trx</v>
      </c>
      <c r="J9" s="9">
        <v>33</v>
      </c>
      <c r="K9" s="9">
        <v>113</v>
      </c>
      <c r="L9" s="9" t="str">
        <v>Narkotika/Judi Online/Penipuan</v>
      </c>
      <c r="M9" s="9" t="str">
        <v xml:space="preserve">KK BANGKA TRADE CENTER                  </v>
      </c>
      <c r="N9" s="9" t="str">
        <v xml:space="preserve">KC Pangkal Pinang                       </v>
      </c>
      <c r="O9" s="9" t="str">
        <v xml:space="preserve">Palembang       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>
        <v>0</v>
      </c>
      <c r="U9" s="9" t="str">
        <v>"-"</v>
      </c>
      <c r="V9" s="12" t="s">
        <v>24</v>
      </c>
      <c r="W9" s="13">
        <v>46242</v>
      </c>
      <c r="X9" s="14" t="b">
        <f>[3]STR!$X9</f>
        <v>1</v>
      </c>
    </row>
    <row r="10" spans="1:26">
      <c r="A10" s="8">
        <v>46265</v>
      </c>
      <c r="B10" s="9" t="str">
        <v xml:space="preserve">IRWANDO                                 </v>
      </c>
      <c r="C10" s="9" t="str">
        <v>IDJM247</v>
      </c>
      <c r="D10" s="17">
        <v>5901217221509</v>
      </c>
      <c r="E10" s="9">
        <v>0</v>
      </c>
      <c r="F10" s="9" t="str">
        <v>Tidak</v>
      </c>
      <c r="G10" s="9" t="str">
        <v>Tidak</v>
      </c>
      <c r="H10" s="9">
        <v>0</v>
      </c>
      <c r="I10" s="9" t="str">
        <v>Jual Beli Rekening - E channel Trx</v>
      </c>
      <c r="J10" s="9">
        <v>33</v>
      </c>
      <c r="K10" s="9">
        <v>113</v>
      </c>
      <c r="L10" s="9" t="str">
        <v>Narkotika/Judi Online/Penipuan</v>
      </c>
      <c r="M10" s="9" t="str">
        <v xml:space="preserve">KC Palembang A. Rivai                   </v>
      </c>
      <c r="N10" s="9" t="str">
        <v xml:space="preserve">KC Palembang A. Rivai                   </v>
      </c>
      <c r="O10" s="9" t="str">
        <v xml:space="preserve">Palembang       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>
        <v>0</v>
      </c>
      <c r="U10" s="9" t="str">
        <v>"-"</v>
      </c>
      <c r="V10" s="12" t="s">
        <v>24</v>
      </c>
      <c r="W10" s="13">
        <v>46242</v>
      </c>
      <c r="X10" s="14" t="b">
        <f>[3]STR!$X10</f>
        <v>1</v>
      </c>
    </row>
    <row r="11" spans="1:26">
      <c r="A11" s="8">
        <v>46265</v>
      </c>
      <c r="B11" s="9" t="str">
        <v xml:space="preserve">JOHANDRI                                </v>
      </c>
      <c r="C11" s="9" t="str">
        <v>JPK0953</v>
      </c>
      <c r="D11" s="17">
        <v>576601008622504</v>
      </c>
      <c r="E11" s="9">
        <v>0</v>
      </c>
      <c r="F11" s="9" t="str">
        <v>Tidak</v>
      </c>
      <c r="G11" s="9" t="str">
        <v>Tidak</v>
      </c>
      <c r="H11" s="9">
        <v>0</v>
      </c>
      <c r="I11" s="9" t="str">
        <v>Jual Beli Rekening - E channel Trx</v>
      </c>
      <c r="J11" s="9">
        <v>33</v>
      </c>
      <c r="K11" s="9">
        <v>113</v>
      </c>
      <c r="L11" s="9" t="str">
        <v>Narkotika/Judi Online/Penipuan</v>
      </c>
      <c r="M11" s="9" t="str">
        <v xml:space="preserve">UNIT PANGKAL PINANG III PANGKA          </v>
      </c>
      <c r="N11" s="9" t="str">
        <v xml:space="preserve">KC Pangkal Pinang                       </v>
      </c>
      <c r="O11" s="9" t="str">
        <v xml:space="preserve">Palembang                               </v>
      </c>
      <c r="P11" s="9">
        <v>0</v>
      </c>
      <c r="Q11" s="9">
        <v>0</v>
      </c>
      <c r="R11" s="9" t="str">
        <v>Belum TL</v>
      </c>
      <c r="S11" s="9" t="str">
        <v>Belum TL</v>
      </c>
      <c r="T11" s="9">
        <v>0</v>
      </c>
      <c r="U11" s="9" t="str">
        <v>"-"</v>
      </c>
      <c r="V11" s="12" t="s">
        <v>26</v>
      </c>
      <c r="W11" s="13">
        <v>46242</v>
      </c>
      <c r="X11" s="14" t="b">
        <f>[3]STR!$X11</f>
        <v>1</v>
      </c>
    </row>
    <row r="12" spans="1:26">
      <c r="A12" s="8">
        <v>46265</v>
      </c>
      <c r="B12" s="9" t="str">
        <v xml:space="preserve">KUD MAKARTI                             </v>
      </c>
      <c r="C12" s="9" t="str">
        <v>KBX1712</v>
      </c>
      <c r="D12" s="17">
        <v>710501013037536</v>
      </c>
      <c r="E12" s="9" t="str">
        <v>SEDANG</v>
      </c>
      <c r="F12" s="9" t="str">
        <v>Ya</v>
      </c>
      <c r="G12" s="9" t="str">
        <v>Tidak</v>
      </c>
      <c r="H12" s="9" t="str">
        <v>Tidak</v>
      </c>
      <c r="I12" s="9" t="str">
        <v>Narkotika - Area Lapas</v>
      </c>
      <c r="J12" s="9">
        <v>48</v>
      </c>
      <c r="K12" s="9">
        <v>46</v>
      </c>
      <c r="L12" s="9" t="str">
        <v>Narkotika</v>
      </c>
      <c r="M12" s="9" t="str">
        <v>UNIT PETALING ABUNJANI SP</v>
      </c>
      <c r="N12" s="9" t="str">
        <v>KC Abunjani Sipin</v>
      </c>
      <c r="O12" s="9" t="str">
        <v>Palembang</v>
      </c>
      <c r="P12" s="9">
        <v>0</v>
      </c>
      <c r="Q12" s="9">
        <v>0</v>
      </c>
      <c r="R12" s="9" t="str">
        <v>Belum TL</v>
      </c>
      <c r="S12" s="9" t="str">
        <v>Belum TL</v>
      </c>
      <c r="T12" s="9" t="str">
        <v>00336949 - Mochammad Al Farabi</v>
      </c>
      <c r="U12" s="9" t="str">
        <v>"-"</v>
      </c>
      <c r="V12" s="12" t="s">
        <v>26</v>
      </c>
      <c r="W12" s="13">
        <v>46242</v>
      </c>
      <c r="X12" s="14" t="b">
        <f>[3]STR!$X12</f>
        <v>1</v>
      </c>
    </row>
    <row r="13" spans="1:26">
      <c r="A13" s="8">
        <v>46265</v>
      </c>
      <c r="B13" s="9" t="str">
        <v xml:space="preserve">M FIERLY RAMADHANI                      </v>
      </c>
      <c r="C13" s="9" t="str">
        <v>MDNVG76</v>
      </c>
      <c r="D13" s="17">
        <v>60601002101567</v>
      </c>
      <c r="E13" s="9">
        <v>0</v>
      </c>
      <c r="F13" s="9" t="str">
        <v>Tidak</v>
      </c>
      <c r="G13" s="9" t="str">
        <v>Tidak</v>
      </c>
      <c r="H13" s="9">
        <v>0</v>
      </c>
      <c r="I13" s="9" t="str">
        <v>Jual Beli Rekening - E channel Trx</v>
      </c>
      <c r="J13" s="9">
        <v>33</v>
      </c>
      <c r="K13" s="9">
        <v>113</v>
      </c>
      <c r="L13" s="9" t="str">
        <v>Narkotika/Judi Online/Penipuan</v>
      </c>
      <c r="M13" s="9" t="str">
        <v xml:space="preserve">KC Abunjani Sipin                       </v>
      </c>
      <c r="N13" s="9" t="str">
        <v xml:space="preserve">KC Abunjani Sipin                       </v>
      </c>
      <c r="O13" s="9" t="str">
        <v xml:space="preserve">Palembang       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>
        <v>0</v>
      </c>
      <c r="U13" s="9" t="str">
        <v>"-"</v>
      </c>
      <c r="V13" s="12" t="s">
        <v>24</v>
      </c>
      <c r="W13" s="13">
        <v>46242</v>
      </c>
      <c r="X13" s="14" t="b">
        <f>[3]STR!$X13</f>
        <v>1</v>
      </c>
    </row>
    <row r="14" spans="1:26">
      <c r="A14" s="8">
        <v>46265</v>
      </c>
      <c r="B14" s="9" t="str">
        <v xml:space="preserve">MAWAR JAYA SENTOSA                      </v>
      </c>
      <c r="C14" s="9" t="str">
        <v>MPSV164</v>
      </c>
      <c r="D14" s="17">
        <v>13101001484301</v>
      </c>
      <c r="E14" s="9" t="str">
        <v>SEDANG</v>
      </c>
      <c r="F14" s="9" t="str">
        <v>Tidak</v>
      </c>
      <c r="G14" s="9" t="str">
        <v>Tidak</v>
      </c>
      <c r="H14" s="9" t="str">
        <v>Tidak</v>
      </c>
      <c r="I14" s="9" t="str">
        <v>Perpajakan</v>
      </c>
      <c r="J14" s="9">
        <v>48</v>
      </c>
      <c r="K14" s="9">
        <v>41</v>
      </c>
      <c r="L14" s="9" t="str">
        <v>Perpajakan</v>
      </c>
      <c r="M14" s="9" t="str">
        <v xml:space="preserve">KC Tanjung Pandan                       </v>
      </c>
      <c r="N14" s="9" t="str">
        <v xml:space="preserve">KC Tanjung Pandan                       </v>
      </c>
      <c r="O14" s="9" t="str">
        <v xml:space="preserve">Palembang       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 t="str">
        <v>90185537 - Moh.Khoerul Fajar Ar</v>
      </c>
      <c r="U14" s="9" t="str">
        <v>"-"</v>
      </c>
      <c r="V14" s="12" t="s">
        <v>24</v>
      </c>
      <c r="W14" s="13">
        <v>46242</v>
      </c>
      <c r="X14" s="14" t="b">
        <f>[3]STR!$X14</f>
        <v>1</v>
      </c>
    </row>
    <row r="15" spans="1:26">
      <c r="A15" s="8">
        <v>46265</v>
      </c>
      <c r="B15" s="9" t="str">
        <v xml:space="preserve">MUHAMMAD RAZIN RAMADHAN                 </v>
      </c>
      <c r="C15" s="9" t="str">
        <v>MRTL588</v>
      </c>
      <c r="D15" s="17">
        <v>6301100578501</v>
      </c>
      <c r="E15" s="9">
        <v>0</v>
      </c>
      <c r="F15" s="9" t="str">
        <v>Tidak</v>
      </c>
      <c r="G15" s="9" t="str">
        <v>Tidak</v>
      </c>
      <c r="H15" s="9">
        <v>0</v>
      </c>
      <c r="I15" s="9" t="str">
        <v>Jual Beli Rekening - E channel Trx</v>
      </c>
      <c r="J15" s="9">
        <v>33</v>
      </c>
      <c r="K15" s="9">
        <v>113</v>
      </c>
      <c r="L15" s="9" t="str">
        <v>Narkotika/Judi Online/Penipuan</v>
      </c>
      <c r="M15" s="9" t="str">
        <v xml:space="preserve">KC Pangkal Pinang                       </v>
      </c>
      <c r="N15" s="9" t="str">
        <v xml:space="preserve">KC Pangkal Pinang                       </v>
      </c>
      <c r="O15" s="9" t="str">
        <v xml:space="preserve">Palembang                               </v>
      </c>
      <c r="P15" s="9">
        <v>0</v>
      </c>
      <c r="Q15" s="9">
        <v>0</v>
      </c>
      <c r="R15" s="9" t="str">
        <v>Belum TL</v>
      </c>
      <c r="S15" s="9" t="str">
        <v>Belum TL</v>
      </c>
      <c r="T15" s="9">
        <v>0</v>
      </c>
      <c r="U15" s="9" t="str">
        <v>"-"</v>
      </c>
      <c r="V15" s="12" t="s">
        <v>26</v>
      </c>
      <c r="W15" s="13">
        <v>46242</v>
      </c>
      <c r="X15" s="14" t="b">
        <f>[3]STR!$X15</f>
        <v>1</v>
      </c>
    </row>
    <row r="16" spans="1:26">
      <c r="A16" s="8">
        <v>46265</v>
      </c>
      <c r="B16" s="9" t="str">
        <v xml:space="preserve">NATAL ARIANSYAH                         </v>
      </c>
      <c r="C16" s="9" t="str">
        <v>NMVT676</v>
      </c>
      <c r="D16" s="17">
        <v>574201023497500</v>
      </c>
      <c r="E16" s="9">
        <v>0</v>
      </c>
      <c r="F16" s="9" t="str">
        <v>Tidak</v>
      </c>
      <c r="G16" s="9" t="str">
        <v>Tidak</v>
      </c>
      <c r="H16" s="9">
        <v>0</v>
      </c>
      <c r="I16" s="9" t="str">
        <v>Jual Beli Rekening - E channel Trx</v>
      </c>
      <c r="J16" s="9">
        <v>33</v>
      </c>
      <c r="K16" s="9">
        <v>113</v>
      </c>
      <c r="L16" s="9" t="str">
        <v>Narkotika/Judi Online/Penipuan</v>
      </c>
      <c r="M16" s="9" t="str">
        <v xml:space="preserve">UNIT 5 ULU PALEMBANG A RIVAI            </v>
      </c>
      <c r="N16" s="9" t="str">
        <v xml:space="preserve">KC Palembang A. Rivai                   </v>
      </c>
      <c r="O16" s="9" t="str">
        <v xml:space="preserve">Palembang                               </v>
      </c>
      <c r="P16" s="9">
        <v>0</v>
      </c>
      <c r="Q16" s="9">
        <v>0</v>
      </c>
      <c r="R16" s="9" t="str">
        <v>Belum TL</v>
      </c>
      <c r="S16" s="9" t="str">
        <v>Belum TL</v>
      </c>
      <c r="T16" s="9">
        <v>0</v>
      </c>
      <c r="U16" s="9" t="str">
        <v>"-"</v>
      </c>
      <c r="V16" s="12" t="s">
        <v>26</v>
      </c>
      <c r="W16" s="13">
        <v>46242</v>
      </c>
      <c r="X16" s="14" t="b">
        <f>[3]STR!$X16</f>
        <v>1</v>
      </c>
    </row>
    <row r="17" spans="1:24">
      <c r="A17" s="8">
        <v>46265</v>
      </c>
      <c r="B17" s="9" t="str">
        <v xml:space="preserve">OPLIYANTO                               </v>
      </c>
      <c r="C17" s="9" t="str">
        <v>OF35932</v>
      </c>
      <c r="D17" s="17">
        <v>574201024321508</v>
      </c>
      <c r="E17" s="9">
        <v>0</v>
      </c>
      <c r="F17" s="9" t="str">
        <v>Tidak</v>
      </c>
      <c r="G17" s="9" t="str">
        <v>Tidak</v>
      </c>
      <c r="H17" s="9">
        <v>0</v>
      </c>
      <c r="I17" s="9" t="str">
        <v>Jual Beli Rekening - E channel Trx</v>
      </c>
      <c r="J17" s="9">
        <v>33</v>
      </c>
      <c r="K17" s="9">
        <v>113</v>
      </c>
      <c r="L17" s="9" t="str">
        <v>Narkotika/Judi Online/Penipuan</v>
      </c>
      <c r="M17" s="9" t="str">
        <v xml:space="preserve">UNIT 5 ULU PALEMBANG A RIVAI            </v>
      </c>
      <c r="N17" s="9" t="str">
        <v xml:space="preserve">KC Palembang A. Rivai                   </v>
      </c>
      <c r="O17" s="9" t="str">
        <v xml:space="preserve">Palembang                               </v>
      </c>
      <c r="P17" s="9">
        <v>0</v>
      </c>
      <c r="Q17" s="9">
        <v>0</v>
      </c>
      <c r="R17" s="9" t="str">
        <v>Belum TL</v>
      </c>
      <c r="S17" s="9" t="str">
        <v>Belum TL</v>
      </c>
      <c r="T17" s="9">
        <v>0</v>
      </c>
      <c r="U17" s="9" t="str">
        <v>"-"</v>
      </c>
      <c r="V17" s="12" t="s">
        <v>24</v>
      </c>
      <c r="W17" s="13">
        <v>46242</v>
      </c>
      <c r="X17" s="14" t="b">
        <f>[3]STR!$X17</f>
        <v>1</v>
      </c>
    </row>
    <row r="18" spans="1:24">
      <c r="A18" s="8">
        <v>46265</v>
      </c>
      <c r="B18" s="9" t="str">
        <v xml:space="preserve">RAJAWALI PUTRAMAS MANDIRI               </v>
      </c>
      <c r="C18" s="9" t="str">
        <v>RAUP534</v>
      </c>
      <c r="D18" s="17">
        <v>13101001349307</v>
      </c>
      <c r="E18" s="9" t="str">
        <v>SEDANG</v>
      </c>
      <c r="F18" s="9" t="str">
        <v>Tidak</v>
      </c>
      <c r="G18" s="9" t="str">
        <v>Tidak</v>
      </c>
      <c r="H18" s="9" t="str">
        <v>Tidak</v>
      </c>
      <c r="I18" s="9" t="str">
        <v>Perpajakan</v>
      </c>
      <c r="J18" s="9">
        <v>48</v>
      </c>
      <c r="K18" s="9">
        <v>41</v>
      </c>
      <c r="L18" s="9" t="str">
        <v>Perpajakan</v>
      </c>
      <c r="M18" s="9" t="str">
        <v xml:space="preserve">KC Tanjung Pandan                       </v>
      </c>
      <c r="N18" s="9" t="str">
        <v xml:space="preserve">KC Tanjung Pandan                       </v>
      </c>
      <c r="O18" s="9" t="str">
        <v xml:space="preserve">Palembang                               </v>
      </c>
      <c r="P18" s="9">
        <v>0</v>
      </c>
      <c r="Q18" s="9">
        <v>0</v>
      </c>
      <c r="R18" s="9" t="str">
        <v>Belum TL</v>
      </c>
      <c r="S18" s="9" t="str">
        <v>Belum TL</v>
      </c>
      <c r="T18" s="9" t="str">
        <v>90186790 - Muhammad Alfin Farha</v>
      </c>
      <c r="U18" s="9" t="str">
        <v>"-"</v>
      </c>
      <c r="V18" s="12" t="s">
        <v>24</v>
      </c>
      <c r="W18" s="13">
        <v>46242</v>
      </c>
      <c r="X18" s="14" t="b">
        <f>[3]STR!$X18</f>
        <v>1</v>
      </c>
    </row>
    <row r="19" spans="1:24">
      <c r="A19" s="8">
        <v>46265</v>
      </c>
      <c r="B19" s="9" t="str">
        <v xml:space="preserve">RIZAL                                   </v>
      </c>
      <c r="C19" s="9" t="str">
        <v>RGN0821</v>
      </c>
      <c r="D19" s="17">
        <v>714201049832530</v>
      </c>
      <c r="E19" s="9">
        <v>0</v>
      </c>
      <c r="F19" s="9" t="str">
        <v>Tidak</v>
      </c>
      <c r="G19" s="9" t="str">
        <v>Tidak</v>
      </c>
      <c r="H19" s="9">
        <v>0</v>
      </c>
      <c r="I19" s="9" t="str">
        <v>Jual Beli Rekening - E channel Trx</v>
      </c>
      <c r="J19" s="9">
        <v>33</v>
      </c>
      <c r="K19" s="9">
        <v>113</v>
      </c>
      <c r="L19" s="9" t="str">
        <v>Narkotika/Judi Online/Penipuan</v>
      </c>
      <c r="M19" s="9" t="str">
        <v xml:space="preserve">UNIT SUKARNO HATTA PANGKAL PIN          </v>
      </c>
      <c r="N19" s="9" t="str">
        <v xml:space="preserve">KC Pangkal Pinang                       </v>
      </c>
      <c r="O19" s="9" t="str">
        <v xml:space="preserve">Palembang                               </v>
      </c>
      <c r="P19" s="9">
        <v>0</v>
      </c>
      <c r="Q19" s="9">
        <v>0</v>
      </c>
      <c r="R19" s="9" t="str">
        <v>Belum TL</v>
      </c>
      <c r="S19" s="9" t="str">
        <v>Belum TL</v>
      </c>
      <c r="T19" s="9">
        <v>0</v>
      </c>
      <c r="U19" s="9" t="str">
        <v>"-"</v>
      </c>
      <c r="V19" s="12" t="s">
        <v>26</v>
      </c>
      <c r="W19" s="13">
        <v>46242</v>
      </c>
      <c r="X19" s="14" t="b">
        <f>[3]STR!$X19</f>
        <v>1</v>
      </c>
    </row>
    <row r="20" spans="1:24">
      <c r="A20" s="8">
        <v>46265</v>
      </c>
      <c r="B20" s="9" t="str">
        <v xml:space="preserve">RICKY PRATAMA                           </v>
      </c>
      <c r="C20" s="9" t="str">
        <v>ROX8484</v>
      </c>
      <c r="D20" s="17">
        <v>209101000763560</v>
      </c>
      <c r="E20" s="9">
        <v>0</v>
      </c>
      <c r="F20" s="9" t="str">
        <v>Tidak</v>
      </c>
      <c r="G20" s="9" t="str">
        <v>Tidak</v>
      </c>
      <c r="H20" s="9">
        <v>0</v>
      </c>
      <c r="I20" s="9" t="str">
        <v>Jual Beli Rekening - E channel Trx</v>
      </c>
      <c r="J20" s="9">
        <v>33</v>
      </c>
      <c r="K20" s="9">
        <v>113</v>
      </c>
      <c r="L20" s="9" t="str">
        <v>Narkotika/Judi Online/Penipuan</v>
      </c>
      <c r="M20" s="9" t="str">
        <v xml:space="preserve">KCP TOBOALI                             </v>
      </c>
      <c r="N20" s="9" t="str">
        <v xml:space="preserve">KC Pangkal Pinang                       </v>
      </c>
      <c r="O20" s="9" t="str">
        <v xml:space="preserve">Palembang                               </v>
      </c>
      <c r="P20" s="9">
        <v>0</v>
      </c>
      <c r="Q20" s="9">
        <v>0</v>
      </c>
      <c r="R20" s="9" t="str">
        <v>Belum TL</v>
      </c>
      <c r="S20" s="9" t="str">
        <v>Belum TL</v>
      </c>
      <c r="T20" s="9">
        <v>0</v>
      </c>
      <c r="U20" s="9" t="str">
        <v>"-"</v>
      </c>
      <c r="V20" s="12" t="s">
        <v>26</v>
      </c>
      <c r="W20" s="13">
        <v>46242</v>
      </c>
      <c r="X20" s="14" t="b">
        <f>[3]STR!$X20</f>
        <v>1</v>
      </c>
    </row>
    <row r="21" spans="1:24">
      <c r="A21" s="8">
        <v>46265</v>
      </c>
      <c r="B21" s="9" t="str">
        <v xml:space="preserve">RIO CANDRA                              </v>
      </c>
      <c r="C21" s="9" t="str">
        <v>RQPE345</v>
      </c>
      <c r="D21" s="17">
        <v>576601008304504</v>
      </c>
      <c r="E21" s="9">
        <v>0</v>
      </c>
      <c r="F21" s="9" t="str">
        <v>Tidak</v>
      </c>
      <c r="G21" s="9" t="str">
        <v>Tidak</v>
      </c>
      <c r="H21" s="9">
        <v>0</v>
      </c>
      <c r="I21" s="9" t="str">
        <v>Jual Beli Rekening - E channel Trx</v>
      </c>
      <c r="J21" s="9">
        <v>33</v>
      </c>
      <c r="K21" s="9">
        <v>113</v>
      </c>
      <c r="L21" s="9" t="str">
        <v>Narkotika/Judi Online/Penipuan</v>
      </c>
      <c r="M21" s="9" t="str">
        <v xml:space="preserve">UNIT PANGKAL PINANG III PANGKA          </v>
      </c>
      <c r="N21" s="9" t="str">
        <v xml:space="preserve">KC Pangkal Pinang                       </v>
      </c>
      <c r="O21" s="9" t="str">
        <v xml:space="preserve">Palembang                               </v>
      </c>
      <c r="P21" s="9">
        <v>0</v>
      </c>
      <c r="Q21" s="9">
        <v>0</v>
      </c>
      <c r="R21" s="9" t="str">
        <v>Belum TL</v>
      </c>
      <c r="S21" s="9" t="str">
        <v>Belum TL</v>
      </c>
      <c r="T21" s="9">
        <v>0</v>
      </c>
      <c r="U21" s="9" t="str">
        <v>"-"</v>
      </c>
      <c r="V21" s="12" t="s">
        <v>26</v>
      </c>
      <c r="W21" s="13">
        <v>46242</v>
      </c>
      <c r="X21" s="14" t="b">
        <f>[3]STR!$X21</f>
        <v>1</v>
      </c>
    </row>
    <row r="22" spans="1:24">
      <c r="A22" s="8">
        <v>46265</v>
      </c>
      <c r="B22" s="9" t="str">
        <v xml:space="preserve">SUCI RAHAYU                             </v>
      </c>
      <c r="C22" s="9" t="str">
        <v>SLAAN01</v>
      </c>
      <c r="D22" s="17">
        <v>573701011760508</v>
      </c>
      <c r="E22" s="9">
        <v>0</v>
      </c>
      <c r="F22" s="9" t="str">
        <v>Tidak</v>
      </c>
      <c r="G22" s="9" t="str">
        <v>Tidak</v>
      </c>
      <c r="H22" s="9">
        <v>0</v>
      </c>
      <c r="I22" s="9" t="str">
        <v>Jual Beli Rekening - E channel Trx</v>
      </c>
      <c r="J22" s="9">
        <v>33</v>
      </c>
      <c r="K22" s="9">
        <v>113</v>
      </c>
      <c r="L22" s="9" t="str">
        <v>Narkotika/Judi Online/Penipuan</v>
      </c>
      <c r="M22" s="9" t="str">
        <v xml:space="preserve">UNIT PENDOPO PAGAR ALAM                 </v>
      </c>
      <c r="N22" s="9" t="str">
        <v xml:space="preserve">KC Pagar Alam                           </v>
      </c>
      <c r="O22" s="9" t="str">
        <v xml:space="preserve">Palembang                               </v>
      </c>
      <c r="P22" s="9">
        <v>0</v>
      </c>
      <c r="Q22" s="9">
        <v>0</v>
      </c>
      <c r="R22" s="9" t="str">
        <v>Belum TL</v>
      </c>
      <c r="S22" s="9" t="str">
        <v>Belum TL</v>
      </c>
      <c r="T22" s="9">
        <v>0</v>
      </c>
      <c r="U22" s="9" t="str">
        <v>"-"</v>
      </c>
      <c r="V22" s="12" t="s">
        <v>26</v>
      </c>
      <c r="W22" s="13">
        <v>46242</v>
      </c>
      <c r="X22" s="14" t="b">
        <f>[3]STR!$X22</f>
        <v>1</v>
      </c>
    </row>
    <row r="23" spans="1:24">
      <c r="A23" s="8">
        <v>46265</v>
      </c>
      <c r="B23" s="9" t="str">
        <v xml:space="preserve">SYARIFUDIN                              </v>
      </c>
      <c r="C23" s="9" t="str">
        <v>SLESE47</v>
      </c>
      <c r="D23" s="17">
        <v>574201024331503</v>
      </c>
      <c r="E23" s="9">
        <v>0</v>
      </c>
      <c r="F23" s="9" t="str">
        <v>Tidak</v>
      </c>
      <c r="G23" s="9" t="str">
        <v>Tidak</v>
      </c>
      <c r="H23" s="9">
        <v>0</v>
      </c>
      <c r="I23" s="9" t="str">
        <v>Jual Beli Rekening - E channel Trx</v>
      </c>
      <c r="J23" s="9">
        <v>33</v>
      </c>
      <c r="K23" s="9">
        <v>113</v>
      </c>
      <c r="L23" s="9" t="str">
        <v>Narkotika/Judi Online/Penipuan</v>
      </c>
      <c r="M23" s="9" t="str">
        <v xml:space="preserve">UNIT 5 ULU PALEMBANG A RIVAI            </v>
      </c>
      <c r="N23" s="9" t="str">
        <v xml:space="preserve">KC Palembang A. Rivai                   </v>
      </c>
      <c r="O23" s="9" t="str">
        <v xml:space="preserve">Palembang                               </v>
      </c>
      <c r="P23" s="9">
        <v>0</v>
      </c>
      <c r="Q23" s="9">
        <v>0</v>
      </c>
      <c r="R23" s="9" t="str">
        <v>Belum TL</v>
      </c>
      <c r="S23" s="9" t="str">
        <v>Belum TL</v>
      </c>
      <c r="T23" s="9">
        <v>0</v>
      </c>
      <c r="U23" s="9" t="str">
        <v>"-"</v>
      </c>
      <c r="V23" s="12" t="s">
        <v>26</v>
      </c>
      <c r="W23" s="13">
        <v>46242</v>
      </c>
      <c r="X23" s="14" t="b">
        <f>[3]STR!$X23</f>
        <v>1</v>
      </c>
    </row>
    <row r="24" spans="1:24">
      <c r="A24" s="8">
        <v>46265</v>
      </c>
      <c r="B24" s="9" t="str">
        <v xml:space="preserve">SUPRIYANTO                              </v>
      </c>
      <c r="C24" s="9" t="str">
        <v>SMHL247</v>
      </c>
      <c r="D24" s="17">
        <v>16001000315562</v>
      </c>
      <c r="E24" s="9" t="str">
        <v>TINGGI</v>
      </c>
      <c r="F24" s="9" t="str">
        <v>Tidak</v>
      </c>
      <c r="G24" s="9" t="str">
        <v>Tidak</v>
      </c>
      <c r="H24" s="9" t="str">
        <v>Tidak</v>
      </c>
      <c r="I24" s="9" t="str">
        <v>Perpajakan</v>
      </c>
      <c r="J24" s="9">
        <v>75</v>
      </c>
      <c r="K24" s="9">
        <v>1.33</v>
      </c>
      <c r="L24" s="9" t="str">
        <v>Perpajakan</v>
      </c>
      <c r="M24" s="9" t="str">
        <v xml:space="preserve">KC Muara Bungo                          </v>
      </c>
      <c r="N24" s="9" t="str">
        <v xml:space="preserve">KC Muara Bungo                          </v>
      </c>
      <c r="O24" s="9" t="str">
        <v xml:space="preserve">Palembang                               </v>
      </c>
      <c r="P24" s="9">
        <v>0</v>
      </c>
      <c r="Q24" s="9">
        <v>0</v>
      </c>
      <c r="R24" s="9" t="str">
        <v>Belum TL</v>
      </c>
      <c r="S24" s="9" t="str">
        <v>Belum TL</v>
      </c>
      <c r="T24" s="9" t="str">
        <v>90171841 - Rifqi Aziz</v>
      </c>
      <c r="U24" s="9" t="str">
        <v>"-"</v>
      </c>
      <c r="V24" s="12" t="s">
        <v>26</v>
      </c>
      <c r="W24" s="13">
        <v>46242</v>
      </c>
      <c r="X24" s="14" t="b">
        <f>[3]STR!$X24</f>
        <v>1</v>
      </c>
    </row>
    <row r="25" spans="1:24">
      <c r="A25" s="8">
        <v>46265</v>
      </c>
      <c r="B25" s="9" t="str">
        <v xml:space="preserve">SEPTI INDRIYANI                         </v>
      </c>
      <c r="C25" s="9" t="str">
        <v>SWYW625</v>
      </c>
      <c r="D25" s="17">
        <v>5901212646500</v>
      </c>
      <c r="E25" s="9">
        <v>0</v>
      </c>
      <c r="F25" s="9" t="str">
        <v>Tidak</v>
      </c>
      <c r="G25" s="9" t="str">
        <v>Tidak</v>
      </c>
      <c r="H25" s="9">
        <v>0</v>
      </c>
      <c r="I25" s="9" t="str">
        <v>Jual Beli Rekening - E channel Trx</v>
      </c>
      <c r="J25" s="9">
        <v>33</v>
      </c>
      <c r="K25" s="9">
        <v>113</v>
      </c>
      <c r="L25" s="9" t="str">
        <v>Narkotika/Judi Online/Penipuan</v>
      </c>
      <c r="M25" s="9" t="str">
        <v xml:space="preserve">KC Palembang A. Rivai                   </v>
      </c>
      <c r="N25" s="9" t="str">
        <v xml:space="preserve">KC Palembang A. Rivai                   </v>
      </c>
      <c r="O25" s="9" t="str">
        <v xml:space="preserve">Palembang                               </v>
      </c>
      <c r="P25" s="9">
        <v>0</v>
      </c>
      <c r="Q25" s="9">
        <v>0</v>
      </c>
      <c r="R25" s="9" t="str">
        <v>Belum TL</v>
      </c>
      <c r="S25" s="9" t="str">
        <v>Belum TL</v>
      </c>
      <c r="T25" s="9">
        <v>0</v>
      </c>
      <c r="U25" s="9" t="str">
        <v>"-"</v>
      </c>
      <c r="V25" s="12" t="s">
        <v>24</v>
      </c>
      <c r="W25" s="13">
        <v>46242</v>
      </c>
      <c r="X25" s="14" t="b">
        <f>[3]STR!$X25</f>
        <v>1</v>
      </c>
    </row>
    <row r="26" spans="1:24">
      <c r="A26" s="8">
        <v>46265</v>
      </c>
      <c r="B26" s="9" t="str">
        <v xml:space="preserve">CV BONANZA                              </v>
      </c>
      <c r="C26" s="9" t="str">
        <v>C124387</v>
      </c>
      <c r="D26" s="17">
        <v>13101999999305</v>
      </c>
      <c r="E26" s="9" t="str">
        <v>SEDANG</v>
      </c>
      <c r="F26" s="9" t="str">
        <v>Tidak</v>
      </c>
      <c r="G26" s="9" t="str">
        <v>Tidak</v>
      </c>
      <c r="H26" s="9" t="str">
        <v>Tidak</v>
      </c>
      <c r="I26" s="9" t="str">
        <v>Perpajakan</v>
      </c>
      <c r="J26" s="9">
        <v>50</v>
      </c>
      <c r="K26" s="9">
        <v>41</v>
      </c>
      <c r="L26" s="9" t="str">
        <v>Perpajakan</v>
      </c>
      <c r="M26" s="9" t="str">
        <v xml:space="preserve">KC Tanjung Pandan                       </v>
      </c>
      <c r="N26" s="9" t="str">
        <v xml:space="preserve">KC Tanjung Pandan                       </v>
      </c>
      <c r="O26" s="9" t="str">
        <v xml:space="preserve">Palembang                               </v>
      </c>
      <c r="P26" s="9">
        <v>0</v>
      </c>
      <c r="Q26" s="9" t="str">
        <v>Tidak</v>
      </c>
      <c r="R26" s="9" t="str">
        <v>Belum TL</v>
      </c>
      <c r="S26" s="9" t="str">
        <v>Approved</v>
      </c>
      <c r="T26" s="9" t="str">
        <v>90185538 - Muhammad Fahikal Auz</v>
      </c>
      <c r="U26" s="9" t="str">
        <v>"-"</v>
      </c>
      <c r="V26" s="12" t="s">
        <v>26</v>
      </c>
      <c r="W26" s="13">
        <v>46242</v>
      </c>
      <c r="X26" s="14" t="b">
        <f>[3]STR!$X26</f>
        <v>1</v>
      </c>
    </row>
    <row r="27" spans="1:24">
      <c r="A27" s="8">
        <v>46265</v>
      </c>
      <c r="B27" s="9" t="str">
        <v xml:space="preserve">CV IKHWAH                               </v>
      </c>
      <c r="C27" s="9" t="str">
        <v>CQ23555</v>
      </c>
      <c r="D27" s="17">
        <v>13101002180308</v>
      </c>
      <c r="E27" s="9" t="str">
        <v>SEDANG</v>
      </c>
      <c r="F27" s="9" t="str">
        <v>Tidak</v>
      </c>
      <c r="G27" s="9" t="str">
        <v>Tidak</v>
      </c>
      <c r="H27" s="9" t="str">
        <v>Tidak</v>
      </c>
      <c r="I27" s="9" t="str">
        <v>Perpajakan</v>
      </c>
      <c r="J27" s="9">
        <v>48</v>
      </c>
      <c r="K27" s="9">
        <v>41</v>
      </c>
      <c r="L27" s="9" t="str">
        <v>Perpajakan</v>
      </c>
      <c r="M27" s="9" t="str">
        <v xml:space="preserve">KC Tanjung Pandan                       </v>
      </c>
      <c r="N27" s="9" t="str">
        <v xml:space="preserve">KC Tanjung Pandan                       </v>
      </c>
      <c r="O27" s="9" t="str">
        <v xml:space="preserve">Palembang                               </v>
      </c>
      <c r="P27" s="9">
        <v>0</v>
      </c>
      <c r="Q27" s="9" t="str">
        <v>Tidak</v>
      </c>
      <c r="R27" s="9" t="str">
        <v>Belum TL</v>
      </c>
      <c r="S27" s="9" t="str">
        <v>Approved</v>
      </c>
      <c r="T27" s="9" t="str">
        <v>90170665 - Mutiara Ayuningtyas</v>
      </c>
      <c r="U27" s="9" t="str">
        <v>"-"</v>
      </c>
      <c r="V27" s="12" t="s">
        <v>26</v>
      </c>
      <c r="W27" s="13">
        <v>46242</v>
      </c>
      <c r="X27" s="14" t="b">
        <f>[3]STR!$X27</f>
        <v>1</v>
      </c>
    </row>
    <row r="28" spans="1:24">
      <c r="A28" s="8">
        <v>46265</v>
      </c>
      <c r="B28" s="9" t="str">
        <v xml:space="preserve">KENTDY                                  </v>
      </c>
      <c r="C28" s="9" t="str">
        <v>KKG2624</v>
      </c>
      <c r="D28" s="17">
        <v>60601111111564</v>
      </c>
      <c r="E28" s="9" t="str">
        <v>SEDANG</v>
      </c>
      <c r="F28" s="9" t="str">
        <v>Tidak</v>
      </c>
      <c r="G28" s="9" t="str">
        <v>Tidak</v>
      </c>
      <c r="H28" s="9" t="str">
        <v>Tidak</v>
      </c>
      <c r="I28" s="9" t="str">
        <v>Perpajakan</v>
      </c>
      <c r="J28" s="9">
        <v>60</v>
      </c>
      <c r="K28" s="9">
        <v>1.33</v>
      </c>
      <c r="L28" s="9" t="str">
        <v>Perpajakan</v>
      </c>
      <c r="M28" s="9" t="str">
        <v xml:space="preserve">KC Abunjani Sipin                       </v>
      </c>
      <c r="N28" s="9" t="str">
        <v xml:space="preserve">KC Abunjani Sipin                       </v>
      </c>
      <c r="O28" s="9" t="str">
        <v xml:space="preserve">Palembang                               </v>
      </c>
      <c r="P28" s="9">
        <v>0</v>
      </c>
      <c r="Q28" s="9" t="str">
        <v>Tidak</v>
      </c>
      <c r="R28" s="9" t="str">
        <v>Belum TL</v>
      </c>
      <c r="S28" s="9" t="str">
        <v>Approved</v>
      </c>
      <c r="T28" s="9" t="str">
        <v>90186796 - Devito Arya Wiradila</v>
      </c>
      <c r="U28" s="9" t="str">
        <v>"-"</v>
      </c>
      <c r="V28" s="12" t="s">
        <v>24</v>
      </c>
      <c r="W28" s="13">
        <v>46242</v>
      </c>
      <c r="X28" s="14" t="b">
        <f>[3]STR!$X28</f>
        <v>1</v>
      </c>
    </row>
    <row r="29" spans="1:24">
      <c r="A29" s="8">
        <v>46265</v>
      </c>
      <c r="B29" s="9" t="str">
        <v xml:space="preserve">NOVITA NUR AFIFAH                       </v>
      </c>
      <c r="C29" s="9" t="str">
        <v>NBNN862</v>
      </c>
      <c r="D29" s="17">
        <v>223901000693561</v>
      </c>
      <c r="E29" s="9" t="str">
        <v>SEDANG</v>
      </c>
      <c r="F29" s="9" t="str">
        <v>Ya</v>
      </c>
      <c r="G29" s="9" t="str">
        <v>Tidak</v>
      </c>
      <c r="H29" s="9" t="str">
        <v>Ya</v>
      </c>
      <c r="I29" s="9" t="str">
        <v>Prostitusi</v>
      </c>
      <c r="J29" s="9">
        <v>47</v>
      </c>
      <c r="K29" s="9">
        <v>104</v>
      </c>
      <c r="L29" s="9" t="str">
        <v>Prostitusi</v>
      </c>
      <c r="M29" s="9" t="str">
        <v xml:space="preserve">KCP SUNGAI BAHAR                        </v>
      </c>
      <c r="N29" s="9" t="str">
        <v xml:space="preserve">KC Muara Bulian                         </v>
      </c>
      <c r="O29" s="9" t="str">
        <v xml:space="preserve">Palembang                               </v>
      </c>
      <c r="P29" s="9">
        <v>0</v>
      </c>
      <c r="Q29" s="9" t="str">
        <v>Tidak</v>
      </c>
      <c r="R29" s="9" t="str">
        <v>Belum TL</v>
      </c>
      <c r="S29" s="9" t="str">
        <v>Approved</v>
      </c>
      <c r="T29" s="9" t="str">
        <v>90186790 - Muhammad Alfin Farha</v>
      </c>
      <c r="U29" s="9" t="str">
        <v>"-"</v>
      </c>
      <c r="V29" s="12" t="s">
        <v>24</v>
      </c>
      <c r="W29" s="13">
        <v>46242</v>
      </c>
      <c r="X29" s="14" t="b">
        <f>[3]STR!$X29</f>
        <v>1</v>
      </c>
    </row>
    <row r="30" spans="1:24">
      <c r="A30" s="8">
        <v>46265</v>
      </c>
      <c r="B30" s="9" t="str">
        <v xml:space="preserve">MASJID BAITUL MAKMUR                    </v>
      </c>
      <c r="C30" s="9" t="str">
        <v>MMZJ553</v>
      </c>
      <c r="D30" s="17">
        <v>220501002101531</v>
      </c>
      <c r="E30" s="9" t="str">
        <v>SEDANG</v>
      </c>
      <c r="F30" s="9" t="str">
        <v>Tidak</v>
      </c>
      <c r="G30" s="9" t="str">
        <v>Tidak</v>
      </c>
      <c r="H30" s="9" t="str">
        <v>Tidak</v>
      </c>
      <c r="I30" s="9" t="str">
        <v>Perpajakan</v>
      </c>
      <c r="J30" s="9">
        <v>48</v>
      </c>
      <c r="K30" s="9">
        <v>41</v>
      </c>
      <c r="L30" s="9" t="str">
        <v>Perpajakan</v>
      </c>
      <c r="M30" s="9" t="str">
        <v xml:space="preserve">KCP KM 5                                </v>
      </c>
      <c r="N30" s="9" t="str">
        <v xml:space="preserve">KC Palembang Sriwijaya                  </v>
      </c>
      <c r="O30" s="9" t="str">
        <v xml:space="preserve">Palembang                               </v>
      </c>
      <c r="P30" s="9">
        <v>0</v>
      </c>
      <c r="Q30" s="9" t="str">
        <v>Tidak</v>
      </c>
      <c r="R30" s="9" t="str">
        <v>Belum TL</v>
      </c>
      <c r="S30" s="9" t="str">
        <v>Approved</v>
      </c>
      <c r="T30" s="9" t="str">
        <v>00394520 - Frida Akbar Rani</v>
      </c>
      <c r="U30" s="9" t="str">
        <v>"-"</v>
      </c>
      <c r="V30" s="12" t="s">
        <v>26</v>
      </c>
      <c r="W30" s="13">
        <v>46242</v>
      </c>
      <c r="X30" s="14" t="b">
        <f>[3]STR!$X30</f>
        <v>1</v>
      </c>
    </row>
    <row r="31" spans="1:24">
      <c r="A31" s="8">
        <v>46265</v>
      </c>
      <c r="B31" s="9" t="str">
        <v xml:space="preserve">PT  HAMPARAN ANUGERAH                   </v>
      </c>
      <c r="C31" s="9" t="str">
        <v>POE3622</v>
      </c>
      <c r="D31" s="17">
        <v>220501000593562</v>
      </c>
      <c r="E31" s="9">
        <v>0</v>
      </c>
      <c r="F31" s="9" t="str">
        <v>Tidak</v>
      </c>
      <c r="G31" s="9" t="str">
        <v>Tidak</v>
      </c>
      <c r="H31" s="9" t="str">
        <v>Tidak</v>
      </c>
      <c r="I31" s="9" t="str">
        <v>Perpajakan</v>
      </c>
      <c r="J31" s="9">
        <v>33</v>
      </c>
      <c r="K31" s="9">
        <v>41</v>
      </c>
      <c r="L31" s="9" t="str">
        <v>Perpajakan</v>
      </c>
      <c r="M31" s="9" t="str">
        <v xml:space="preserve">KCP KM 5                                </v>
      </c>
      <c r="N31" s="9" t="str">
        <v xml:space="preserve">KC Palembang Sriwijaya                  </v>
      </c>
      <c r="O31" s="9" t="str">
        <v xml:space="preserve">Palembang                               </v>
      </c>
      <c r="P31" s="9">
        <v>0</v>
      </c>
      <c r="Q31" s="9" t="str">
        <v>Ya</v>
      </c>
      <c r="R31" s="9" t="str">
        <v>Belum TL</v>
      </c>
      <c r="S31" s="9" t="str">
        <v>Approved</v>
      </c>
      <c r="T31" s="9" t="str">
        <v>00336949 - Mochammad Al Farabi</v>
      </c>
      <c r="U31" s="9" t="str">
        <v>"-"</v>
      </c>
      <c r="V31" s="12" t="s">
        <v>26</v>
      </c>
      <c r="W31" s="13">
        <v>46242</v>
      </c>
      <c r="X31" s="14" t="b">
        <f>[3]STR!$X31</f>
        <v>1</v>
      </c>
    </row>
    <row r="32" spans="1:24">
      <c r="A32" s="8">
        <v>46265</v>
      </c>
      <c r="B32" s="9" t="str">
        <v xml:space="preserve">PT UMKM RUDI APRIADI                    </v>
      </c>
      <c r="C32" s="9" t="str">
        <v>PNW0931</v>
      </c>
      <c r="D32" s="17">
        <v>220501000580569</v>
      </c>
      <c r="E32" s="9">
        <v>0</v>
      </c>
      <c r="F32" s="9" t="str">
        <v>Tidak</v>
      </c>
      <c r="G32" s="9" t="str">
        <v>Tidak</v>
      </c>
      <c r="H32" s="9" t="str">
        <v>Tidak</v>
      </c>
      <c r="I32" s="9" t="str">
        <v>Perpajakan</v>
      </c>
      <c r="J32" s="9">
        <v>33</v>
      </c>
      <c r="K32" s="9">
        <v>41</v>
      </c>
      <c r="L32" s="9" t="str">
        <v>Perpajakan</v>
      </c>
      <c r="M32" s="9" t="str">
        <v xml:space="preserve">KCP KM 5                                </v>
      </c>
      <c r="N32" s="9" t="str">
        <v xml:space="preserve">KC Palembang Sriwijaya                  </v>
      </c>
      <c r="O32" s="9" t="str">
        <v xml:space="preserve">Palembang                               </v>
      </c>
      <c r="P32" s="9">
        <v>0</v>
      </c>
      <c r="Q32" s="9" t="str">
        <v>Tidak</v>
      </c>
      <c r="R32" s="9" t="str">
        <v>Belum TL</v>
      </c>
      <c r="S32" s="9" t="str">
        <v>Approved</v>
      </c>
      <c r="T32" s="9" t="str">
        <v>90171841 - Rifqi Aziz</v>
      </c>
      <c r="U32" s="9" t="str">
        <v>"-"</v>
      </c>
      <c r="V32" s="12" t="s">
        <v>26</v>
      </c>
      <c r="W32" s="13">
        <v>46242</v>
      </c>
      <c r="X32" s="14" t="b">
        <f>[3]STR!$X32</f>
        <v>1</v>
      </c>
    </row>
    <row r="33" spans="1:24" ht="14.25" customHeight="1">
      <c r="A33" s="8">
        <v>46265</v>
      </c>
      <c r="B33" s="9" t="str">
        <v xml:space="preserve">RABU                                    </v>
      </c>
      <c r="C33" s="9" t="str">
        <v>RSV5790</v>
      </c>
      <c r="D33" s="17">
        <v>355201054695530</v>
      </c>
      <c r="E33" s="9" t="str">
        <v>SEDANG</v>
      </c>
      <c r="F33" s="9" t="str">
        <v>Ya</v>
      </c>
      <c r="G33" s="9" t="str">
        <v>Tidak</v>
      </c>
      <c r="H33" s="9" t="str">
        <v>Tidak</v>
      </c>
      <c r="I33" s="9" t="str">
        <v>Narkotika - Area Lapas</v>
      </c>
      <c r="J33" s="9">
        <v>53</v>
      </c>
      <c r="K33" s="9">
        <v>46</v>
      </c>
      <c r="L33" s="9" t="str">
        <v>Narkotika</v>
      </c>
      <c r="M33" s="9" t="str">
        <v>UNIT SANGETI JAMBI</v>
      </c>
      <c r="N33" s="9" t="str">
        <v>KC Jambi</v>
      </c>
      <c r="O33" s="9" t="str">
        <v>Palembang</v>
      </c>
      <c r="P33" s="9" t="str">
        <v>Tidak</v>
      </c>
      <c r="Q33" s="9">
        <v>0</v>
      </c>
      <c r="R33" s="9" t="str">
        <v>Pending Approver</v>
      </c>
      <c r="S33" s="9" t="str">
        <v>Belum TL</v>
      </c>
      <c r="T33" s="9" t="str">
        <v>90185537 - Moh.Khoerul Fajar Ar</v>
      </c>
      <c r="U33" s="9" t="str">
        <v>"-"</v>
      </c>
      <c r="V33" s="12" t="s">
        <v>26</v>
      </c>
      <c r="W33" s="13">
        <v>46242</v>
      </c>
      <c r="X33" s="14" t="b">
        <f>[3]STR!$X33</f>
        <v>1</v>
      </c>
    </row>
    <row r="34" spans="1:24">
      <c r="A34" s="8">
        <v>46265</v>
      </c>
      <c r="B34" s="9" t="str">
        <v xml:space="preserve">MUHAMMAD RONI                           </v>
      </c>
      <c r="C34" s="9" t="str">
        <v>MECE934</v>
      </c>
      <c r="D34" s="17">
        <v>567001014406531</v>
      </c>
      <c r="E34" s="9" t="str">
        <v>SEDANG</v>
      </c>
      <c r="F34" s="9" t="str">
        <v>Ya</v>
      </c>
      <c r="G34" s="9" t="str">
        <v>Tidak</v>
      </c>
      <c r="H34" s="9" t="str">
        <v>Tidak</v>
      </c>
      <c r="I34" s="9" t="str">
        <v>Pencurian Rekening</v>
      </c>
      <c r="J34" s="9">
        <v>49</v>
      </c>
      <c r="K34" s="9">
        <v>59</v>
      </c>
      <c r="L34" s="9" t="str">
        <v>Perbankan</v>
      </c>
      <c r="M34" s="9" t="str">
        <v xml:space="preserve">UNIT PELABUHAN DAGANG KUALA TU          </v>
      </c>
      <c r="N34" s="9" t="str">
        <v xml:space="preserve">KC Kuala Tungkal                        </v>
      </c>
      <c r="O34" s="9" t="str">
        <v xml:space="preserve">Palembang                               </v>
      </c>
      <c r="P34" s="9" t="str">
        <v>Tidak</v>
      </c>
      <c r="Q34" s="9" t="str">
        <v>Tidak</v>
      </c>
      <c r="R34" s="9" t="str">
        <v>Pending Approver</v>
      </c>
      <c r="S34" s="9" t="str">
        <v>Approved</v>
      </c>
      <c r="T34" s="9" t="str">
        <v>90150130 - Intan Aida Pratiwi</v>
      </c>
      <c r="U34" s="9" t="str">
        <v>"-"</v>
      </c>
      <c r="V34" s="12" t="s">
        <v>27</v>
      </c>
      <c r="W34" s="13">
        <v>46242</v>
      </c>
      <c r="X34" s="14" t="b">
        <f>[3]STR!$X34</f>
        <v>1</v>
      </c>
    </row>
    <row r="35" spans="1:24">
      <c r="A35" s="8">
        <v>46265</v>
      </c>
      <c r="B35" s="9" t="str">
        <v xml:space="preserve">MARISA PUJI ASTUTI                      </v>
      </c>
      <c r="C35" s="9" t="str">
        <v>MCVQ325</v>
      </c>
      <c r="D35" s="17">
        <v>31501001302563</v>
      </c>
      <c r="E35" s="9" t="str">
        <v>SEDANG</v>
      </c>
      <c r="F35" s="9" t="str">
        <v>Tidak</v>
      </c>
      <c r="G35" s="9" t="str">
        <v>Tidak</v>
      </c>
      <c r="H35" s="9" t="str">
        <v>Tidak</v>
      </c>
      <c r="I35" s="9" t="str">
        <v>Narkotika - Area Lapas</v>
      </c>
      <c r="J35" s="9">
        <v>60</v>
      </c>
      <c r="K35" s="9">
        <v>46</v>
      </c>
      <c r="L35" s="9" t="str">
        <v>Narkotika</v>
      </c>
      <c r="M35" s="9" t="str">
        <v>KC Muara Bulian</v>
      </c>
      <c r="N35" s="9" t="str">
        <v>KC Muara Bulian</v>
      </c>
      <c r="O35" s="9" t="str">
        <v>Palembang</v>
      </c>
      <c r="P35" s="9" t="str">
        <v>Tidak</v>
      </c>
      <c r="Q35" s="9" t="str">
        <v>Ya</v>
      </c>
      <c r="R35" s="9" t="str">
        <v>Pending Approver</v>
      </c>
      <c r="S35" s="9" t="str">
        <v>Approved</v>
      </c>
      <c r="T35" s="9" t="str">
        <v>90186790 - Muhammad Alfin Farha</v>
      </c>
      <c r="U35" s="9" t="str">
        <v>"-"</v>
      </c>
      <c r="V35" s="12" t="s">
        <v>26</v>
      </c>
      <c r="W35" s="13">
        <v>46242</v>
      </c>
      <c r="X35" s="14" t="b">
        <f>[3]STR!$X35</f>
        <v>0</v>
      </c>
    </row>
    <row r="36" spans="1:24">
      <c r="A36" s="8">
        <v>46265</v>
      </c>
      <c r="B36" s="9" t="str">
        <v xml:space="preserve">YULIZA FITRI                            </v>
      </c>
      <c r="C36" s="9" t="str">
        <v>YCW5374</v>
      </c>
      <c r="D36" s="17">
        <v>572401000027564</v>
      </c>
      <c r="E36" s="9" t="str">
        <v>SEDANG</v>
      </c>
      <c r="F36" s="9" t="str">
        <v>Ya</v>
      </c>
      <c r="G36" s="9" t="str">
        <v>Tidak</v>
      </c>
      <c r="H36" s="9" t="str">
        <v>Tidak</v>
      </c>
      <c r="I36" s="9" t="str">
        <v>Narkotika - Area Lapas</v>
      </c>
      <c r="J36" s="9">
        <v>50</v>
      </c>
      <c r="K36" s="9">
        <v>46</v>
      </c>
      <c r="L36" s="9" t="str">
        <v>Narkotika</v>
      </c>
      <c r="M36" s="9" t="str">
        <v>UNIT MUARA BUNGO</v>
      </c>
      <c r="N36" s="9" t="str">
        <v>KC Muara Bungo</v>
      </c>
      <c r="O36" s="9" t="str">
        <v>Palembang</v>
      </c>
      <c r="P36" s="9" t="str">
        <v>Tidak</v>
      </c>
      <c r="Q36" s="9">
        <v>0</v>
      </c>
      <c r="R36" s="9" t="str">
        <v>Done</v>
      </c>
      <c r="S36" s="9" t="str">
        <v>Belum TL</v>
      </c>
      <c r="T36" s="9" t="str">
        <v>90171841 - Rifqi Aziz</v>
      </c>
      <c r="U36" s="9" t="str">
        <v>"-"</v>
      </c>
      <c r="V36" s="12" t="s">
        <v>26</v>
      </c>
      <c r="W36" s="13">
        <v>46242</v>
      </c>
      <c r="X36" s="14" t="b">
        <f>[3]STR!$X36</f>
        <v>1</v>
      </c>
    </row>
    <row r="37" spans="1:24">
      <c r="A37" s="8">
        <v>46265</v>
      </c>
      <c r="B37" s="9" t="str">
        <v xml:space="preserve">PERINTIS LESTARI TALANGDUKU             </v>
      </c>
      <c r="C37" s="9" t="str">
        <v>PH81021</v>
      </c>
      <c r="D37" s="17">
        <v>2001002996306</v>
      </c>
      <c r="E37" s="9" t="str">
        <v>TINGGI</v>
      </c>
      <c r="F37" s="9" t="str">
        <v>Tidak</v>
      </c>
      <c r="G37" s="9" t="str">
        <v>Tidak</v>
      </c>
      <c r="H37" s="9" t="str">
        <v>Tidak</v>
      </c>
      <c r="I37" s="9" t="str">
        <v>Perpajakan</v>
      </c>
      <c r="J37" s="9">
        <v>63</v>
      </c>
      <c r="K37" s="9">
        <v>1.33</v>
      </c>
      <c r="L37" s="9" t="str">
        <v>Perpajakan</v>
      </c>
      <c r="M37" s="9" t="str">
        <v xml:space="preserve">KC Jambi                                </v>
      </c>
      <c r="N37" s="9" t="str">
        <v xml:space="preserve">KC Jambi                                </v>
      </c>
      <c r="O37" s="9" t="str">
        <v xml:space="preserve">Palembang                               </v>
      </c>
      <c r="P37" s="9" t="str">
        <v>Tidak</v>
      </c>
      <c r="Q37" s="9">
        <v>0</v>
      </c>
      <c r="R37" s="9" t="str">
        <v>Done</v>
      </c>
      <c r="S37" s="9" t="str">
        <v>Belum TL</v>
      </c>
      <c r="T37" s="9" t="str">
        <v>90171841 - Rifqi Aziz</v>
      </c>
      <c r="U37" s="9" t="str">
        <v>"-"</v>
      </c>
      <c r="V37" s="12" t="s">
        <v>26</v>
      </c>
      <c r="W37" s="13">
        <v>46242</v>
      </c>
      <c r="X37" s="14" t="b">
        <f>[3]STR!$X37</f>
        <v>1</v>
      </c>
    </row>
    <row r="38" spans="1:24">
      <c r="A38" s="8">
        <v>46265</v>
      </c>
      <c r="B38" s="9" t="str">
        <v xml:space="preserve">HANIPAH                                 </v>
      </c>
      <c r="C38" s="9" t="str">
        <v>HNS1043</v>
      </c>
      <c r="D38" s="17">
        <v>710201007082509</v>
      </c>
      <c r="E38" s="9" t="str">
        <v>SEDANG</v>
      </c>
      <c r="F38" s="9" t="str">
        <v>Ya</v>
      </c>
      <c r="G38" s="9" t="str">
        <v>Tidak</v>
      </c>
      <c r="H38" s="9" t="str">
        <v>Tidak</v>
      </c>
      <c r="I38" s="9" t="str">
        <v>Narkotika - Area Lapas</v>
      </c>
      <c r="J38" s="9">
        <v>60</v>
      </c>
      <c r="K38" s="9">
        <v>46</v>
      </c>
      <c r="L38" s="9" t="str">
        <v>Narkotika</v>
      </c>
      <c r="M38" s="9" t="str">
        <v>UNIT RANTAU PANJANG BANGKO</v>
      </c>
      <c r="N38" s="9" t="str">
        <v>KC Bangko</v>
      </c>
      <c r="O38" s="9" t="str">
        <v>Palembang</v>
      </c>
      <c r="P38" s="9" t="str">
        <v>Tidak</v>
      </c>
      <c r="Q38" s="9" t="str">
        <v>Tidak</v>
      </c>
      <c r="R38" s="9" t="str">
        <v>Done</v>
      </c>
      <c r="S38" s="9" t="str">
        <v>Approved</v>
      </c>
      <c r="T38" s="9" t="str">
        <v>90150130 - Intan Aida Pratiwi</v>
      </c>
      <c r="U38" s="9" t="str">
        <v>"-"</v>
      </c>
      <c r="V38" s="12" t="s">
        <v>27</v>
      </c>
      <c r="W38" s="13">
        <v>46242</v>
      </c>
      <c r="X38" s="14" t="b">
        <f>[3]STR!$X38</f>
        <v>1</v>
      </c>
    </row>
    <row r="39" spans="1:24">
      <c r="A39" s="8">
        <v>46265</v>
      </c>
      <c r="B39" s="9" t="str">
        <v xml:space="preserve">JUYAR BRIGIF 8 GARUDA CAKTI             </v>
      </c>
      <c r="C39" s="9" t="str">
        <v>JGU2140</v>
      </c>
      <c r="D39" s="17">
        <v>12901002076304</v>
      </c>
      <c r="E39" s="9" t="str">
        <v>TINGGI</v>
      </c>
      <c r="F39" s="9" t="str">
        <v>Tidak</v>
      </c>
      <c r="G39" s="9" t="str">
        <v>Tidak</v>
      </c>
      <c r="H39" s="9" t="str">
        <v>Tidak</v>
      </c>
      <c r="I39" s="9" t="str">
        <v>Perpajakan</v>
      </c>
      <c r="J39" s="9">
        <v>68</v>
      </c>
      <c r="K39" s="9">
        <v>41</v>
      </c>
      <c r="L39" s="9" t="str">
        <v>Perpajakan</v>
      </c>
      <c r="M39" s="9" t="str">
        <v xml:space="preserve">KC Lubuk Linggau                        </v>
      </c>
      <c r="N39" s="9" t="str">
        <v xml:space="preserve">KC Lubuk Linggau                        </v>
      </c>
      <c r="O39" s="9" t="str">
        <v xml:space="preserve">Palembang                               </v>
      </c>
      <c r="P39" s="9" t="str">
        <v>Tidak</v>
      </c>
      <c r="Q39" s="9" t="str">
        <v>Tidak</v>
      </c>
      <c r="R39" s="9" t="str">
        <v>Done</v>
      </c>
      <c r="S39" s="9" t="str">
        <v>Approved</v>
      </c>
      <c r="T39" s="9" t="str">
        <v>00336949 - Mochammad Al Farabi</v>
      </c>
      <c r="U39" s="9" t="str">
        <v>"-"</v>
      </c>
      <c r="V39" s="12" t="s">
        <v>24</v>
      </c>
      <c r="W39" s="13">
        <v>46242</v>
      </c>
      <c r="X39" s="14" t="b">
        <f>[3]STR!$X39</f>
        <v>0</v>
      </c>
    </row>
    <row r="40" spans="1:24">
      <c r="A40" s="8">
        <v>46265</v>
      </c>
      <c r="B40" s="9" t="str">
        <v xml:space="preserve">IRFAN AFRINAL                           </v>
      </c>
      <c r="C40" s="9" t="str">
        <v>INL9097</v>
      </c>
      <c r="D40" s="17">
        <v>572401000033565</v>
      </c>
      <c r="E40" s="9" t="str">
        <v>SEDANG</v>
      </c>
      <c r="F40" s="9" t="str">
        <v>Ya</v>
      </c>
      <c r="G40" s="9" t="str">
        <v>Tidak</v>
      </c>
      <c r="H40" s="9" t="str">
        <v>Tidak</v>
      </c>
      <c r="I40" s="9" t="str">
        <v>Narkotika - Area Lapas</v>
      </c>
      <c r="J40" s="9">
        <v>50</v>
      </c>
      <c r="K40" s="9">
        <v>46</v>
      </c>
      <c r="L40" s="9" t="str">
        <v>Narkotika</v>
      </c>
      <c r="M40" s="9" t="str">
        <v>UNIT MUARA BUNGO</v>
      </c>
      <c r="N40" s="9" t="str">
        <v>KC Muara Bungo</v>
      </c>
      <c r="O40" s="9" t="str">
        <v>Palembang</v>
      </c>
      <c r="P40" s="9" t="str">
        <v>Tidak</v>
      </c>
      <c r="Q40" s="9" t="str">
        <v>Ya</v>
      </c>
      <c r="R40" s="9" t="str">
        <v>Done</v>
      </c>
      <c r="S40" s="9" t="str">
        <v>Approved</v>
      </c>
      <c r="T40" s="9" t="str">
        <v>90171841 - Rifqi Aziz</v>
      </c>
      <c r="U40" s="9" t="str">
        <v>"-"</v>
      </c>
      <c r="V40" s="12" t="s">
        <v>27</v>
      </c>
      <c r="W40" s="13">
        <v>46242</v>
      </c>
      <c r="X40" s="14" t="b">
        <f>[3]STR!$X40</f>
        <v>1</v>
      </c>
    </row>
    <row r="41" spans="1:24">
      <c r="A41" s="8">
        <v>46265</v>
      </c>
      <c r="B41" s="9" t="str">
        <v xml:space="preserve">ARSONI PRANATA                          </v>
      </c>
      <c r="C41" s="9" t="str">
        <v>ASE5669</v>
      </c>
      <c r="D41" s="17">
        <v>4001000841569</v>
      </c>
      <c r="E41" s="9" t="str">
        <v>TINGGI</v>
      </c>
      <c r="F41" s="9" t="str">
        <v>Ya</v>
      </c>
      <c r="G41" s="9" t="str">
        <v>Tidak</v>
      </c>
      <c r="H41" s="9" t="str">
        <v>Tidak</v>
      </c>
      <c r="I41" s="9" t="str">
        <v>Narkotika - Area Lapas</v>
      </c>
      <c r="J41" s="9">
        <v>70</v>
      </c>
      <c r="K41" s="9">
        <v>46</v>
      </c>
      <c r="L41" s="9" t="str">
        <v>Narkotika</v>
      </c>
      <c r="M41" s="9" t="str">
        <v>KC Lahat</v>
      </c>
      <c r="N41" s="9" t="str">
        <v>KC Lahat</v>
      </c>
      <c r="O41" s="9" t="str">
        <v>Palembang</v>
      </c>
      <c r="P41" s="9" t="str">
        <v>Tidak</v>
      </c>
      <c r="Q41" s="9" t="str">
        <v>Tidak</v>
      </c>
      <c r="R41" s="9" t="str">
        <v>Done</v>
      </c>
      <c r="S41" s="9" t="str">
        <v>Approved</v>
      </c>
      <c r="T41" s="9" t="str">
        <v>00394521 - Muhammad Hibbanduta</v>
      </c>
      <c r="U41" s="9" t="str">
        <v>"-"</v>
      </c>
      <c r="V41" s="12" t="s">
        <v>27</v>
      </c>
      <c r="W41" s="13">
        <v>46242</v>
      </c>
      <c r="X41" s="14" t="b">
        <f>[3]STR!$X41</f>
        <v>0</v>
      </c>
    </row>
    <row r="42" spans="1:24">
      <c r="A42" s="8">
        <v>46265</v>
      </c>
      <c r="B42" s="9" t="str">
        <v xml:space="preserve">ANDETA                                  </v>
      </c>
      <c r="C42" s="9" t="str">
        <v>AEKN763</v>
      </c>
      <c r="D42" s="17">
        <v>12901000626569</v>
      </c>
      <c r="E42" s="9" t="str">
        <v>SEDANG</v>
      </c>
      <c r="F42" s="9" t="str">
        <v>Tidak</v>
      </c>
      <c r="G42" s="9" t="str">
        <v>Tidak</v>
      </c>
      <c r="H42" s="9" t="str">
        <v>Tidak</v>
      </c>
      <c r="I42" s="9" t="str">
        <v>Perpajakan</v>
      </c>
      <c r="J42" s="9">
        <v>60</v>
      </c>
      <c r="K42" s="9">
        <v>1.33</v>
      </c>
      <c r="L42" s="9" t="str">
        <v>Perpajakan</v>
      </c>
      <c r="M42" s="9" t="str">
        <v xml:space="preserve">KC Lubuk Linggau                        </v>
      </c>
      <c r="N42" s="9" t="str">
        <v xml:space="preserve">KC Lubuk Linggau                        </v>
      </c>
      <c r="O42" s="9" t="str">
        <v xml:space="preserve">Palembang                               </v>
      </c>
      <c r="P42" s="9" t="str">
        <v>Tidak</v>
      </c>
      <c r="Q42" s="9" t="str">
        <v>Tidak</v>
      </c>
      <c r="R42" s="9" t="str">
        <v>Done</v>
      </c>
      <c r="S42" s="9" t="str">
        <v>Approved</v>
      </c>
      <c r="T42" s="9" t="str">
        <v>00336949 - Mochammad Al Farabi</v>
      </c>
      <c r="U42" s="9" t="str">
        <v>"-"</v>
      </c>
      <c r="V42" s="12" t="s">
        <v>24</v>
      </c>
      <c r="W42" s="13">
        <v>46242</v>
      </c>
      <c r="X42" s="14" t="b">
        <f>[3]STR!$X42</f>
        <v>0</v>
      </c>
    </row>
    <row r="43" spans="1:24">
      <c r="A43" s="8">
        <v>46265</v>
      </c>
      <c r="B43" s="9" t="str">
        <v xml:space="preserve">BRIGIF 8 GARUDA CAKTI                   </v>
      </c>
      <c r="C43" s="9" t="str">
        <v>BFV5062</v>
      </c>
      <c r="D43" s="17">
        <v>12901001704564</v>
      </c>
      <c r="E43" s="9" t="str">
        <v>SEDANG</v>
      </c>
      <c r="F43" s="9" t="str">
        <v>Tidak</v>
      </c>
      <c r="G43" s="9" t="str">
        <v>Tidak</v>
      </c>
      <c r="H43" s="9" t="str">
        <v>Tidak</v>
      </c>
      <c r="I43" s="9" t="str">
        <v>Perpajakan</v>
      </c>
      <c r="J43" s="9">
        <v>50</v>
      </c>
      <c r="K43" s="9">
        <v>41</v>
      </c>
      <c r="L43" s="9" t="str">
        <v>Perpajakan</v>
      </c>
      <c r="M43" s="9" t="str">
        <v xml:space="preserve">KC Lubuk Linggau                        </v>
      </c>
      <c r="N43" s="9" t="str">
        <v xml:space="preserve">KC Lubuk Linggau                        </v>
      </c>
      <c r="O43" s="9" t="str">
        <v xml:space="preserve">Palembang                               </v>
      </c>
      <c r="P43" s="9" t="str">
        <v>Tidak</v>
      </c>
      <c r="Q43" s="9" t="str">
        <v>Tidak</v>
      </c>
      <c r="R43" s="9" t="str">
        <v>Done</v>
      </c>
      <c r="S43" s="9" t="str">
        <v>Approved</v>
      </c>
      <c r="T43" s="9" t="str">
        <v>00394521 - Muhammad Hibbanduta</v>
      </c>
      <c r="U43" s="9" t="str">
        <v>"-"</v>
      </c>
      <c r="V43" s="12" t="s">
        <v>24</v>
      </c>
      <c r="W43" s="13">
        <v>46242</v>
      </c>
      <c r="X43" s="14" t="b">
        <f>[3]STR!$X43</f>
        <v>1</v>
      </c>
    </row>
    <row r="44" spans="1:24">
      <c r="A44" s="8">
        <v>46265</v>
      </c>
      <c r="B44" s="9" t="str">
        <v xml:space="preserve">BUYUNG AMAN                             </v>
      </c>
      <c r="C44" s="9" t="str">
        <v>BP06228</v>
      </c>
      <c r="D44" s="17">
        <v>710201000023562</v>
      </c>
      <c r="E44" s="9" t="str">
        <v>SEDANG</v>
      </c>
      <c r="F44" s="9" t="str">
        <v>Tidak</v>
      </c>
      <c r="G44" s="9" t="str">
        <v>Tidak</v>
      </c>
      <c r="H44" s="9" t="str">
        <v>Tidak</v>
      </c>
      <c r="I44" s="9" t="str">
        <v>Narkotika - Area Lapas</v>
      </c>
      <c r="J44" s="9">
        <v>50</v>
      </c>
      <c r="K44" s="9">
        <v>46</v>
      </c>
      <c r="L44" s="9" t="str">
        <v>Narkotika</v>
      </c>
      <c r="M44" s="9" t="str">
        <v>UNIT RANTAU PANJANG BANGKO</v>
      </c>
      <c r="N44" s="9" t="str">
        <v>KC Bangko</v>
      </c>
      <c r="O44" s="9" t="str">
        <v>Palembang</v>
      </c>
      <c r="P44" s="9" t="str">
        <v>Tidak</v>
      </c>
      <c r="Q44" s="9" t="str">
        <v>Ya</v>
      </c>
      <c r="R44" s="9" t="str">
        <v>Done</v>
      </c>
      <c r="S44" s="9" t="str">
        <v>Approved</v>
      </c>
      <c r="T44" s="9" t="str">
        <v>90185537 - Moh.Khoerul Fajar Ar</v>
      </c>
      <c r="U44" s="9" t="str">
        <v>"-"</v>
      </c>
      <c r="V44" s="12" t="s">
        <v>27</v>
      </c>
      <c r="W44" s="13">
        <v>46242</v>
      </c>
      <c r="X44" s="14" t="b">
        <f>[3]STR!$X44</f>
        <v>1</v>
      </c>
    </row>
    <row r="45" spans="1:24">
      <c r="A45" s="8">
        <v>46265</v>
      </c>
      <c r="B45" s="9" t="str">
        <v xml:space="preserve">DENI IRAWAN                             </v>
      </c>
      <c r="C45" s="9" t="str">
        <v>DCST044</v>
      </c>
      <c r="D45" s="17">
        <v>223901008713501</v>
      </c>
      <c r="E45" s="9" t="str">
        <v>SEDANG</v>
      </c>
      <c r="F45" s="9" t="str">
        <v>Tidak</v>
      </c>
      <c r="G45" s="9" t="str">
        <v>Tidak</v>
      </c>
      <c r="H45" s="9" t="str">
        <v>Ya</v>
      </c>
      <c r="I45" s="9" t="str">
        <v>Narkotika - Area Lapas</v>
      </c>
      <c r="J45" s="9">
        <v>49</v>
      </c>
      <c r="K45" s="9">
        <v>46</v>
      </c>
      <c r="L45" s="9" t="str">
        <v>Narkotika</v>
      </c>
      <c r="M45" s="9" t="str">
        <v>KCP SUNGAI BAHAR</v>
      </c>
      <c r="N45" s="9" t="str">
        <v>KC Muara Bulian</v>
      </c>
      <c r="O45" s="9" t="str">
        <v>Palembang</v>
      </c>
      <c r="P45" s="9" t="str">
        <v>Tidak</v>
      </c>
      <c r="Q45" s="9" t="str">
        <v>Tidak</v>
      </c>
      <c r="R45" s="9" t="str">
        <v>Done</v>
      </c>
      <c r="S45" s="9" t="str">
        <v>Approved</v>
      </c>
      <c r="T45" s="9" t="str">
        <v>00394521 - Muhammad Hibbanduta</v>
      </c>
      <c r="U45" s="9" t="str">
        <v>"-"</v>
      </c>
      <c r="V45" s="12" t="s">
        <v>27</v>
      </c>
      <c r="W45" s="13">
        <v>46242</v>
      </c>
      <c r="X45" s="14" t="b">
        <f>[3]STR!$X45</f>
        <v>0</v>
      </c>
    </row>
    <row r="46" spans="1:24">
      <c r="A46" s="8">
        <v>46265</v>
      </c>
      <c r="B46" s="9" t="str">
        <v xml:space="preserve">PT TRI SAKTI PURWOSARI MAKMUR           </v>
      </c>
      <c r="C46" s="9" t="str">
        <v>TGR7069</v>
      </c>
      <c r="D46" s="17">
        <v>2001006457304</v>
      </c>
      <c r="E46" s="9" t="str">
        <v>SEDANG</v>
      </c>
      <c r="F46" s="9" t="str">
        <v>Tidak</v>
      </c>
      <c r="G46" s="9" t="str">
        <v>Tidak</v>
      </c>
      <c r="H46" s="9" t="str">
        <v>Tidak</v>
      </c>
      <c r="I46" s="9" t="str">
        <v>Narkotika - Area Lapas</v>
      </c>
      <c r="J46" s="9">
        <v>50</v>
      </c>
      <c r="K46" s="9">
        <v>46</v>
      </c>
      <c r="L46" s="9" t="str">
        <v>Narkotika</v>
      </c>
      <c r="M46" s="9" t="str">
        <v>KC Jambi</v>
      </c>
      <c r="N46" s="9" t="str">
        <v>KC Jambi</v>
      </c>
      <c r="O46" s="9" t="str">
        <v>Palembang</v>
      </c>
      <c r="P46" s="9" t="str">
        <v>Tidak</v>
      </c>
      <c r="Q46" s="9" t="str">
        <v>Tidak</v>
      </c>
      <c r="R46" s="9" t="str">
        <v>Done</v>
      </c>
      <c r="S46" s="9" t="str">
        <v>Approved</v>
      </c>
      <c r="T46" s="9" t="str">
        <v>90186790 - Muhammad Alfin Farha</v>
      </c>
      <c r="U46" s="9" t="str">
        <v>"-"</v>
      </c>
      <c r="V46" s="12" t="s">
        <v>27</v>
      </c>
      <c r="W46" s="13">
        <v>46242</v>
      </c>
      <c r="X46" s="14" t="b">
        <f>[3]STR!$X46</f>
        <v>0</v>
      </c>
    </row>
    <row r="47" spans="1:24">
      <c r="A47" s="8">
        <v>46265</v>
      </c>
      <c r="B47" s="9" t="str">
        <v xml:space="preserve">SINDI DWI NADAA                         </v>
      </c>
      <c r="C47" s="9" t="str">
        <v>SJDJL44</v>
      </c>
      <c r="D47" s="17">
        <v>572201025231530</v>
      </c>
      <c r="E47" s="9">
        <v>0</v>
      </c>
      <c r="F47" s="9" t="str">
        <v>Tidak</v>
      </c>
      <c r="G47" s="9" t="str">
        <v>Tidak</v>
      </c>
      <c r="H47" s="9" t="str">
        <v>Ya</v>
      </c>
      <c r="I47" s="9" t="str">
        <v>Narkotika - Area Lapas</v>
      </c>
      <c r="J47" s="9">
        <v>33</v>
      </c>
      <c r="K47" s="9">
        <v>48</v>
      </c>
      <c r="L47" s="9" t="str">
        <v>Narkotika</v>
      </c>
      <c r="M47" s="9" t="str">
        <v>UNIT UNIJA JAMBI</v>
      </c>
      <c r="N47" s="9" t="str">
        <v>KC Jambi</v>
      </c>
      <c r="O47" s="9" t="str">
        <v>Palembang</v>
      </c>
      <c r="P47" s="9" t="str">
        <v>Tidak</v>
      </c>
      <c r="Q47" s="9" t="str">
        <v>Tidak</v>
      </c>
      <c r="R47" s="9" t="str">
        <v>Done</v>
      </c>
      <c r="S47" s="9" t="str">
        <v>Approved</v>
      </c>
      <c r="T47" s="9" t="str">
        <v>90171841 - Rifqi Aziz</v>
      </c>
      <c r="U47" s="9" t="str">
        <v>"-"</v>
      </c>
      <c r="V47" s="12" t="s">
        <v>27</v>
      </c>
      <c r="W47" s="13">
        <v>46242</v>
      </c>
      <c r="X47" s="14" t="b">
        <f>[3]STR!$X47</f>
        <v>0</v>
      </c>
    </row>
    <row r="48" spans="1:24">
      <c r="A48" s="8">
        <v>46265</v>
      </c>
      <c r="B48" s="9" t="str">
        <v xml:space="preserve">SURYA RASA ABADI                        </v>
      </c>
      <c r="C48" s="9" t="str">
        <v>SKHOB58</v>
      </c>
      <c r="D48" s="17">
        <v>13101002357303</v>
      </c>
      <c r="E48" s="9">
        <v>0</v>
      </c>
      <c r="F48" s="9" t="str">
        <v>Tidak</v>
      </c>
      <c r="G48" s="9" t="str">
        <v>Tidak</v>
      </c>
      <c r="H48" s="9" t="str">
        <v>Tidak</v>
      </c>
      <c r="I48" s="9" t="str">
        <v>Perpajakan</v>
      </c>
      <c r="J48" s="9">
        <v>33</v>
      </c>
      <c r="K48" s="9">
        <v>41</v>
      </c>
      <c r="L48" s="9" t="str">
        <v>Perpajakan</v>
      </c>
      <c r="M48" s="9" t="str">
        <v xml:space="preserve">KC Tanjung Pandan                       </v>
      </c>
      <c r="N48" s="9" t="str">
        <v xml:space="preserve">KC Tanjung Pandan                       </v>
      </c>
      <c r="O48" s="9" t="str">
        <v xml:space="preserve">Palembang                               </v>
      </c>
      <c r="P48" s="9" t="str">
        <v>Tidak</v>
      </c>
      <c r="Q48" s="9" t="str">
        <v>Tidak</v>
      </c>
      <c r="R48" s="9" t="str">
        <v>Done</v>
      </c>
      <c r="S48" s="9" t="str">
        <v>Approved</v>
      </c>
      <c r="T48" s="9" t="str">
        <v>90186796 - Devito Arya Wiradila</v>
      </c>
      <c r="U48" s="9" t="str">
        <v>"-"</v>
      </c>
      <c r="V48" s="12" t="s">
        <v>26</v>
      </c>
      <c r="W48" s="13">
        <v>46242</v>
      </c>
      <c r="X48" s="14" t="b">
        <f>[3]STR!$X48</f>
        <v>1</v>
      </c>
    </row>
    <row r="49" spans="1:24">
      <c r="A49" s="8">
        <v>46265</v>
      </c>
      <c r="B49" s="9" t="str">
        <v xml:space="preserve">PELITA AGRO LESTARI                     </v>
      </c>
      <c r="C49" s="9" t="str">
        <v>PKY5217</v>
      </c>
      <c r="D49" s="17">
        <v>2001006560301</v>
      </c>
      <c r="E49" s="9" t="str">
        <v>SEDANG</v>
      </c>
      <c r="F49" s="9" t="str">
        <v>Tidak</v>
      </c>
      <c r="G49" s="9" t="str">
        <v>Tidak</v>
      </c>
      <c r="H49" s="9" t="str">
        <v>Tidak</v>
      </c>
      <c r="I49" s="9" t="str">
        <v>Perpajakan</v>
      </c>
      <c r="J49" s="9">
        <v>50</v>
      </c>
      <c r="K49" s="9">
        <v>41</v>
      </c>
      <c r="L49" s="9" t="str">
        <v>Perpajakan</v>
      </c>
      <c r="M49" s="9" t="str">
        <v xml:space="preserve">KC Jambi                                </v>
      </c>
      <c r="N49" s="9" t="str">
        <v xml:space="preserve">KC Jambi                                </v>
      </c>
      <c r="O49" s="9" t="str">
        <v xml:space="preserve">Palembang                               </v>
      </c>
      <c r="P49" s="9" t="str">
        <v>Tidak</v>
      </c>
      <c r="Q49" s="9" t="str">
        <v>Tidak</v>
      </c>
      <c r="R49" s="9" t="str">
        <v>Done</v>
      </c>
      <c r="S49" s="9" t="str">
        <v>Approved</v>
      </c>
      <c r="T49" s="9" t="str">
        <v>00394520 - Frida Akbar Rani</v>
      </c>
      <c r="U49" s="9" t="str">
        <v>"-"</v>
      </c>
      <c r="V49" s="12" t="s">
        <v>26</v>
      </c>
      <c r="W49" s="13">
        <v>46242</v>
      </c>
      <c r="X49" s="14" t="b">
        <f>[3]STR!$X49</f>
        <v>1</v>
      </c>
    </row>
    <row r="50" spans="1:24">
      <c r="A50" s="8">
        <v>46265</v>
      </c>
      <c r="B50" s="9" t="str">
        <v xml:space="preserve">PUTRA RENGAS BERJAYA                    </v>
      </c>
      <c r="C50" s="9" t="str">
        <v>PJU0023</v>
      </c>
      <c r="D50" s="17">
        <v>31501000647562</v>
      </c>
      <c r="E50" s="9" t="str">
        <v>SEDANG</v>
      </c>
      <c r="F50" s="9" t="str">
        <v>Tidak</v>
      </c>
      <c r="G50" s="9" t="str">
        <v>Tidak</v>
      </c>
      <c r="H50" s="9" t="str">
        <v>Tidak</v>
      </c>
      <c r="I50" s="9" t="str">
        <v>Green Financial Crime (GFC)</v>
      </c>
      <c r="J50" s="9">
        <v>50</v>
      </c>
      <c r="K50" s="9">
        <v>45</v>
      </c>
      <c r="L50" s="9" t="str">
        <v>Green Financial Crime</v>
      </c>
      <c r="M50" s="9" t="str">
        <v xml:space="preserve">KC Muara Bulian                         </v>
      </c>
      <c r="N50" s="9" t="str">
        <v xml:space="preserve">KC Muara Bulian                         </v>
      </c>
      <c r="O50" s="9" t="str">
        <v xml:space="preserve">Palembang                               </v>
      </c>
      <c r="P50" s="9" t="str">
        <v>Tidak</v>
      </c>
      <c r="Q50" s="9" t="str">
        <v>Tidak</v>
      </c>
      <c r="R50" s="9" t="str">
        <v>Done</v>
      </c>
      <c r="S50" s="9" t="str">
        <v>Approved</v>
      </c>
      <c r="T50" s="9" t="str">
        <v>00336949 - Mochammad Al Farabi</v>
      </c>
      <c r="U50" s="9" t="str">
        <v>PEP :-</v>
      </c>
      <c r="V50" s="12" t="s">
        <v>27</v>
      </c>
      <c r="W50" s="13">
        <v>46242</v>
      </c>
      <c r="X50" s="14" t="b">
        <f>[3]STR!$X50</f>
        <v>1</v>
      </c>
    </row>
    <row r="51" spans="1:24">
      <c r="A51" s="8">
        <v>46265</v>
      </c>
      <c r="B51" s="9" t="str">
        <v xml:space="preserve">MISBAHUL KHAIRI                         </v>
      </c>
      <c r="C51" s="9" t="str">
        <v>MJXE883</v>
      </c>
      <c r="D51" s="17">
        <v>571601022807539</v>
      </c>
      <c r="E51" s="9" t="str">
        <v>SEDANG</v>
      </c>
      <c r="F51" s="9" t="str">
        <v>Ya</v>
      </c>
      <c r="G51" s="9" t="str">
        <v>Tidak</v>
      </c>
      <c r="H51" s="9" t="str">
        <v>Tidak</v>
      </c>
      <c r="I51" s="9" t="str">
        <v>Narkotika - Area Lapas</v>
      </c>
      <c r="J51" s="9">
        <v>54</v>
      </c>
      <c r="K51" s="9">
        <v>48</v>
      </c>
      <c r="L51" s="9" t="str">
        <v>Narkotika</v>
      </c>
      <c r="M51" s="9" t="str">
        <v>UNIT KOTA MUARA BULIAN MUARA B</v>
      </c>
      <c r="N51" s="9" t="str">
        <v>KC Muara Bulian</v>
      </c>
      <c r="O51" s="9" t="str">
        <v>Palembang</v>
      </c>
      <c r="P51" s="9" t="str">
        <v>Tidak</v>
      </c>
      <c r="Q51" s="9" t="str">
        <v>Ya</v>
      </c>
      <c r="R51" s="9" t="str">
        <v>Done</v>
      </c>
      <c r="S51" s="9" t="str">
        <v>Approved</v>
      </c>
      <c r="T51" s="9" t="str">
        <v>00336949 - Mochammad Al Farabi</v>
      </c>
      <c r="U51" s="9" t="str">
        <v>"-"</v>
      </c>
      <c r="V51" s="12" t="s">
        <v>24</v>
      </c>
      <c r="W51" s="13">
        <v>46242</v>
      </c>
      <c r="X51" s="14" t="b">
        <f>[3]STR!$X51</f>
        <v>1</v>
      </c>
    </row>
    <row r="52" spans="1:24">
      <c r="A52" s="8">
        <v>46265</v>
      </c>
      <c r="B52" s="9" t="str">
        <v xml:space="preserve">MAJU JAYA                               </v>
      </c>
      <c r="C52" s="9" t="str">
        <v>MVJ4561</v>
      </c>
      <c r="D52" s="17">
        <v>13101000646308</v>
      </c>
      <c r="E52" s="9" t="str">
        <v>SEDANG</v>
      </c>
      <c r="F52" s="9" t="str">
        <v>Tidak</v>
      </c>
      <c r="G52" s="9" t="str">
        <v>Tidak</v>
      </c>
      <c r="H52" s="9" t="str">
        <v>Tidak</v>
      </c>
      <c r="I52" s="9" t="str">
        <v>Perpajakan</v>
      </c>
      <c r="J52" s="9">
        <v>48</v>
      </c>
      <c r="K52" s="9">
        <v>41</v>
      </c>
      <c r="L52" s="9" t="str">
        <v>Perpajakan</v>
      </c>
      <c r="M52" s="9" t="str">
        <v xml:space="preserve">KC Tanjung Pandan                       </v>
      </c>
      <c r="N52" s="9" t="str">
        <v xml:space="preserve">KC Tanjung Pandan                       </v>
      </c>
      <c r="O52" s="9" t="str">
        <v xml:space="preserve">Palembang                               </v>
      </c>
      <c r="P52" s="9" t="str">
        <v>Tidak</v>
      </c>
      <c r="Q52" s="9" t="str">
        <v>Ya</v>
      </c>
      <c r="R52" s="9" t="str">
        <v>Done</v>
      </c>
      <c r="S52" s="9" t="str">
        <v>Approved</v>
      </c>
      <c r="T52" s="9" t="str">
        <v>00394521 - Muhammad Hibbanduta</v>
      </c>
      <c r="U52" s="9" t="str">
        <v>"-"</v>
      </c>
      <c r="V52" s="12" t="s">
        <v>26</v>
      </c>
      <c r="W52" s="13">
        <v>46242</v>
      </c>
      <c r="X52" s="14" t="b">
        <f>[3]STR!$X52</f>
        <v>1</v>
      </c>
    </row>
  </sheetData>
  <protectedRanges>
    <protectedRange sqref="V1:X52" name="Range2"/>
  </protectedRanges>
  <dataValidations count="2">
    <dataValidation type="list" allowBlank="1" showInputMessage="1" showErrorMessage="1" sqref="V36:V37 V33 V4:V25" xr:uid="{1138E544-5281-4311-A1F3-CEC71F83B8F1}">
      <formula1>"Helvi Juliansyah, Ari Yustrianza"</formula1>
    </dataValidation>
    <dataValidation type="list" allowBlank="1" showInputMessage="1" showErrorMessage="1" sqref="V26:V32 V34:V35 V38:V52 V2:V3" xr:uid="{1C34A317-BFD6-4149-B003-915A0D8D0D8D}">
      <formula1>"Helvi Juliansyah, Ari Yustrianza,Bukan RAC Palembang"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23"/>
  <sheetViews>
    <sheetView workbookViewId="0">
      <selection sqref="A1:XFD1"/>
    </sheetView>
  </sheetViews>
  <sheetFormatPr defaultRowHeight="14.45"/>
  <cols>
    <col min="1" max="1" width="5.5703125" customWidth="1"/>
    <col min="2" max="2" width="23" customWidth="1"/>
    <col min="3" max="3" width="22.7109375" customWidth="1"/>
  </cols>
  <sheetData>
    <row r="1" spans="1:5" ht="15">
      <c r="D1" s="50">
        <v>46280</v>
      </c>
      <c r="E1" s="51"/>
    </row>
    <row r="2" spans="1:5">
      <c r="A2" s="4" t="s">
        <v>28</v>
      </c>
      <c r="B2" s="24" t="s">
        <v>29</v>
      </c>
      <c r="C2" s="23" t="s">
        <v>30</v>
      </c>
      <c r="D2" s="22" t="s">
        <v>31</v>
      </c>
      <c r="E2" s="22" t="s">
        <v>32</v>
      </c>
    </row>
    <row r="3" spans="1:5">
      <c r="A3" s="3">
        <v>1</v>
      </c>
      <c r="B3" s="15" t="s">
        <v>33</v>
      </c>
      <c r="C3" s="9" t="s">
        <v>34</v>
      </c>
      <c r="D3" s="25">
        <f>_xlfn.XLOOKUP(B3,'[4]HASIL TINDAK LANJUT BO 2026'!$D:$D,'[4]HASIL TINDAK LANJUT BO 2026'!$K:$K)</f>
        <v>1</v>
      </c>
      <c r="E3" s="47">
        <f>AVERAGE(D3:D23)</f>
        <v>0.99601186658049745</v>
      </c>
    </row>
    <row r="4" spans="1:5">
      <c r="A4" s="3">
        <v>2</v>
      </c>
      <c r="B4" s="16" t="s">
        <v>35</v>
      </c>
      <c r="C4" s="9" t="s">
        <v>34</v>
      </c>
      <c r="D4" s="25">
        <f>_xlfn.XLOOKUP(B4,'[4]HASIL TINDAK LANJUT BO 2026'!$D:$D,'[4]HASIL TINDAK LANJUT BO 2026'!$K:$K)</f>
        <v>1</v>
      </c>
      <c r="E4" s="48"/>
    </row>
    <row r="5" spans="1:5">
      <c r="A5" s="3">
        <v>3</v>
      </c>
      <c r="B5" s="16" t="s">
        <v>36</v>
      </c>
      <c r="C5" s="9" t="s">
        <v>37</v>
      </c>
      <c r="D5" s="25">
        <f>_xlfn.XLOOKUP(B5,'[4]HASIL TINDAK LANJUT BO 2026'!$D:$D,'[4]HASIL TINDAK LANJUT BO 2026'!$K:$K)</f>
        <v>1</v>
      </c>
      <c r="E5" s="48"/>
    </row>
    <row r="6" spans="1:5">
      <c r="A6" s="3">
        <v>4</v>
      </c>
      <c r="B6" s="16" t="s">
        <v>38</v>
      </c>
      <c r="C6" s="9" t="s">
        <v>34</v>
      </c>
      <c r="D6" s="25">
        <f>_xlfn.XLOOKUP(B6,'[4]HASIL TINDAK LANJUT BO 2026'!$D:$D,'[4]HASIL TINDAK LANJUT BO 2026'!$K:$K)</f>
        <v>1</v>
      </c>
      <c r="E6" s="48"/>
    </row>
    <row r="7" spans="1:5">
      <c r="A7" s="3">
        <v>5</v>
      </c>
      <c r="B7" s="16" t="s">
        <v>39</v>
      </c>
      <c r="C7" s="9" t="s">
        <v>37</v>
      </c>
      <c r="D7" s="25">
        <f>_xlfn.XLOOKUP(B7,'[4]HASIL TINDAK LANJUT BO 2026'!$D:$D,'[4]HASIL TINDAK LANJUT BO 2026'!$K:$K)</f>
        <v>1</v>
      </c>
      <c r="E7" s="48"/>
    </row>
    <row r="8" spans="1:5">
      <c r="A8" s="3">
        <v>6</v>
      </c>
      <c r="B8" s="16" t="s">
        <v>40</v>
      </c>
      <c r="C8" s="9" t="s">
        <v>34</v>
      </c>
      <c r="D8" s="25">
        <f>_xlfn.XLOOKUP(B8,'[4]HASIL TINDAK LANJUT BO 2026'!$D:$D,'[4]HASIL TINDAK LANJUT BO 2026'!$K:$K)</f>
        <v>1</v>
      </c>
      <c r="E8" s="48"/>
    </row>
    <row r="9" spans="1:5">
      <c r="A9" s="3">
        <v>7</v>
      </c>
      <c r="B9" s="16" t="s">
        <v>41</v>
      </c>
      <c r="C9" s="9" t="s">
        <v>37</v>
      </c>
      <c r="D9" s="25">
        <f>_xlfn.XLOOKUP(B9,'[4]HASIL TINDAK LANJUT BO 2026'!$D:$D,'[4]HASIL TINDAK LANJUT BO 2026'!$K:$K)</f>
        <v>1</v>
      </c>
      <c r="E9" s="48"/>
    </row>
    <row r="10" spans="1:5">
      <c r="A10" s="3">
        <v>8</v>
      </c>
      <c r="B10" s="16" t="s">
        <v>42</v>
      </c>
      <c r="C10" s="9" t="s">
        <v>37</v>
      </c>
      <c r="D10" s="25">
        <f>_xlfn.XLOOKUP(B10,'[4]HASIL TINDAK LANJUT BO 2026'!$D:$D,'[4]HASIL TINDAK LANJUT BO 2026'!$K:$K)</f>
        <v>0.97959183673469385</v>
      </c>
      <c r="E10" s="48"/>
    </row>
    <row r="11" spans="1:5">
      <c r="A11" s="3">
        <v>9</v>
      </c>
      <c r="B11" s="16" t="s">
        <v>43</v>
      </c>
      <c r="C11" s="9" t="s">
        <v>34</v>
      </c>
      <c r="D11" s="25">
        <f>_xlfn.XLOOKUP(B11,'[4]HASIL TINDAK LANJUT BO 2026'!$D:$D,'[4]HASIL TINDAK LANJUT BO 2026'!$K:$K)</f>
        <v>1</v>
      </c>
      <c r="E11" s="48"/>
    </row>
    <row r="12" spans="1:5">
      <c r="A12" s="3">
        <v>10</v>
      </c>
      <c r="B12" s="16" t="s">
        <v>44</v>
      </c>
      <c r="C12" s="9" t="s">
        <v>34</v>
      </c>
      <c r="D12" s="25">
        <f>_xlfn.XLOOKUP(B12,'[4]HASIL TINDAK LANJUT BO 2026'!$D:$D,'[4]HASIL TINDAK LANJUT BO 2026'!$K:$K)</f>
        <v>1</v>
      </c>
      <c r="E12" s="48"/>
    </row>
    <row r="13" spans="1:5">
      <c r="A13" s="3">
        <v>11</v>
      </c>
      <c r="B13" s="16" t="s">
        <v>45</v>
      </c>
      <c r="C13" s="9" t="s">
        <v>37</v>
      </c>
      <c r="D13" s="25">
        <f>_xlfn.XLOOKUP(B13,'[4]HASIL TINDAK LANJUT BO 2026'!$D:$D,'[4]HASIL TINDAK LANJUT BO 2026'!$K:$K)</f>
        <v>1</v>
      </c>
      <c r="E13" s="48"/>
    </row>
    <row r="14" spans="1:5">
      <c r="A14" s="3">
        <v>12</v>
      </c>
      <c r="B14" s="16" t="s">
        <v>46</v>
      </c>
      <c r="C14" s="9" t="s">
        <v>37</v>
      </c>
      <c r="D14" s="25">
        <f>_xlfn.XLOOKUP(B14,'[4]HASIL TINDAK LANJUT BO 2026'!$D:$D,'[4]HASIL TINDAK LANJUT BO 2026'!$K:$K)</f>
        <v>1</v>
      </c>
      <c r="E14" s="48"/>
    </row>
    <row r="15" spans="1:5">
      <c r="A15" s="3">
        <v>13</v>
      </c>
      <c r="B15" s="16" t="s">
        <v>47</v>
      </c>
      <c r="C15" s="9" t="s">
        <v>34</v>
      </c>
      <c r="D15" s="25">
        <f>_xlfn.XLOOKUP(B15,'[4]HASIL TINDAK LANJUT BO 2026'!$D:$D,'[4]HASIL TINDAK LANJUT BO 2026'!$K:$K)</f>
        <v>1</v>
      </c>
      <c r="E15" s="48"/>
    </row>
    <row r="16" spans="1:5">
      <c r="A16" s="3">
        <v>14</v>
      </c>
      <c r="B16" s="16" t="s">
        <v>48</v>
      </c>
      <c r="C16" s="9" t="s">
        <v>34</v>
      </c>
      <c r="D16" s="25">
        <f>_xlfn.XLOOKUP(B16,'[4]HASIL TINDAK LANJUT BO 2026'!$D:$D,'[4]HASIL TINDAK LANJUT BO 2026'!$K:$K)</f>
        <v>0.99354838709677418</v>
      </c>
      <c r="E16" s="48"/>
    </row>
    <row r="17" spans="1:5">
      <c r="A17" s="3">
        <v>15</v>
      </c>
      <c r="B17" s="16" t="s">
        <v>49</v>
      </c>
      <c r="C17" s="9" t="s">
        <v>37</v>
      </c>
      <c r="D17" s="25">
        <f>_xlfn.XLOOKUP(B17,'[4]HASIL TINDAK LANJUT BO 2026'!$D:$D,'[4]HASIL TINDAK LANJUT BO 2026'!$K:$K)</f>
        <v>1</v>
      </c>
      <c r="E17" s="48"/>
    </row>
    <row r="18" spans="1:5">
      <c r="A18" s="3">
        <v>16</v>
      </c>
      <c r="B18" s="16" t="s">
        <v>50</v>
      </c>
      <c r="C18" s="9" t="s">
        <v>37</v>
      </c>
      <c r="D18" s="25">
        <f>_xlfn.XLOOKUP(B18,'[4]HASIL TINDAK LANJUT BO 2026'!$D:$D,'[4]HASIL TINDAK LANJUT BO 2026'!$K:$K)</f>
        <v>0.96875</v>
      </c>
      <c r="E18" s="48"/>
    </row>
    <row r="19" spans="1:5">
      <c r="A19" s="3">
        <v>17</v>
      </c>
      <c r="B19" s="16" t="s">
        <v>51</v>
      </c>
      <c r="C19" s="9" t="s">
        <v>34</v>
      </c>
      <c r="D19" s="25">
        <f>_xlfn.XLOOKUP(B19,'[4]HASIL TINDAK LANJUT BO 2026'!$D:$D,'[4]HASIL TINDAK LANJUT BO 2026'!$K:$K)</f>
        <v>1</v>
      </c>
      <c r="E19" s="48"/>
    </row>
    <row r="20" spans="1:5">
      <c r="A20" s="3">
        <v>18</v>
      </c>
      <c r="B20" s="16" t="s">
        <v>52</v>
      </c>
      <c r="C20" s="9" t="s">
        <v>37</v>
      </c>
      <c r="D20" s="25">
        <f>_xlfn.XLOOKUP(B20,'[4]HASIL TINDAK LANJUT BO 2026'!$D:$D,'[4]HASIL TINDAK LANJUT BO 2026'!$K:$K)</f>
        <v>0.97435897435897434</v>
      </c>
      <c r="E20" s="48"/>
    </row>
    <row r="21" spans="1:5">
      <c r="A21" s="3">
        <v>19</v>
      </c>
      <c r="B21" s="16" t="s">
        <v>53</v>
      </c>
      <c r="C21" s="9" t="s">
        <v>37</v>
      </c>
      <c r="D21" s="25">
        <f>_xlfn.XLOOKUP(B21,'[4]HASIL TINDAK LANJUT BO 2026'!$D:$D,'[4]HASIL TINDAK LANJUT BO 2026'!$K:$K)</f>
        <v>1</v>
      </c>
      <c r="E21" s="48"/>
    </row>
    <row r="22" spans="1:5">
      <c r="A22" s="3">
        <v>20</v>
      </c>
      <c r="B22" s="16" t="s">
        <v>54</v>
      </c>
      <c r="C22" s="9" t="s">
        <v>37</v>
      </c>
      <c r="D22" s="25">
        <f>_xlfn.XLOOKUP(B22,'[4]HASIL TINDAK LANJUT BO 2026'!$D:$D,'[4]HASIL TINDAK LANJUT BO 2026'!$K:$K)</f>
        <v>1</v>
      </c>
      <c r="E22" s="48"/>
    </row>
    <row r="23" spans="1:5">
      <c r="A23" s="3">
        <v>21</v>
      </c>
      <c r="B23" s="16" t="s">
        <v>55</v>
      </c>
      <c r="C23" s="9" t="s">
        <v>34</v>
      </c>
      <c r="D23" s="25">
        <f>_xlfn.XLOOKUP(B23,'[4]HASIL TINDAK LANJUT BO 2026'!$D:$D,'[4]HASIL TINDAK LANJUT BO 2026'!$K:$K)</f>
        <v>1</v>
      </c>
      <c r="E23" s="49"/>
    </row>
  </sheetData>
  <mergeCells count="2">
    <mergeCell ref="E3:E23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4046-E7BB-4D14-A589-2BA2E13958FC}">
  <sheetPr>
    <tabColor theme="6" tint="-0.249977111117893"/>
  </sheetPr>
  <dimension ref="A1:E23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7.42578125" bestFit="1" customWidth="1"/>
  </cols>
  <sheetData>
    <row r="1" spans="1:5" ht="15">
      <c r="D1" s="50">
        <v>46280</v>
      </c>
      <c r="E1" s="51"/>
    </row>
    <row r="2" spans="1:5">
      <c r="A2" s="4" t="s">
        <v>28</v>
      </c>
      <c r="B2" s="24" t="s">
        <v>29</v>
      </c>
      <c r="C2" s="23" t="s">
        <v>30</v>
      </c>
      <c r="D2" s="22" t="s">
        <v>56</v>
      </c>
      <c r="E2" s="22" t="s">
        <v>32</v>
      </c>
    </row>
    <row r="3" spans="1:5">
      <c r="A3" s="3">
        <v>1</v>
      </c>
      <c r="B3" s="15" t="s">
        <v>33</v>
      </c>
      <c r="C3" s="9" t="s">
        <v>34</v>
      </c>
      <c r="D3" s="26">
        <f>_xlfn.XLOOKUP(B3,'[1]Pengkinian Data'!$B:$B,'[1]Pengkinian Data'!$E:$E)</f>
        <v>1</v>
      </c>
      <c r="E3" s="52">
        <f>AVERAGE(D3:D23)</f>
        <v>1</v>
      </c>
    </row>
    <row r="4" spans="1:5">
      <c r="A4" s="3">
        <v>2</v>
      </c>
      <c r="B4" s="16" t="s">
        <v>35</v>
      </c>
      <c r="C4" s="9" t="s">
        <v>34</v>
      </c>
      <c r="D4" s="26">
        <f>_xlfn.XLOOKUP(B4,'[1]Pengkinian Data'!$B:$B,'[1]Pengkinian Data'!$E:$E)</f>
        <v>1</v>
      </c>
      <c r="E4" s="53"/>
    </row>
    <row r="5" spans="1:5">
      <c r="A5" s="3">
        <v>3</v>
      </c>
      <c r="B5" s="16" t="s">
        <v>36</v>
      </c>
      <c r="C5" s="9" t="s">
        <v>37</v>
      </c>
      <c r="D5" s="26">
        <v>1</v>
      </c>
      <c r="E5" s="53"/>
    </row>
    <row r="6" spans="1:5">
      <c r="A6" s="3">
        <v>4</v>
      </c>
      <c r="B6" s="16" t="s">
        <v>38</v>
      </c>
      <c r="C6" s="9" t="s">
        <v>34</v>
      </c>
      <c r="D6" s="26">
        <f>_xlfn.XLOOKUP(B6,'[1]Pengkinian Data'!$B:$B,'[1]Pengkinian Data'!$E:$E)</f>
        <v>1</v>
      </c>
      <c r="E6" s="53"/>
    </row>
    <row r="7" spans="1:5">
      <c r="A7" s="3">
        <v>5</v>
      </c>
      <c r="B7" s="16" t="s">
        <v>39</v>
      </c>
      <c r="C7" s="9" t="s">
        <v>37</v>
      </c>
      <c r="D7" s="26">
        <f>_xlfn.XLOOKUP(B7,'[1]Pengkinian Data'!$B:$B,'[1]Pengkinian Data'!$E:$E)</f>
        <v>1</v>
      </c>
      <c r="E7" s="53"/>
    </row>
    <row r="8" spans="1:5">
      <c r="A8" s="3">
        <v>6</v>
      </c>
      <c r="B8" s="16" t="s">
        <v>40</v>
      </c>
      <c r="C8" s="9" t="s">
        <v>34</v>
      </c>
      <c r="D8" s="26">
        <f>_xlfn.XLOOKUP(B8,'[1]Pengkinian Data'!$B:$B,'[1]Pengkinian Data'!$E:$E)</f>
        <v>1</v>
      </c>
      <c r="E8" s="53"/>
    </row>
    <row r="9" spans="1:5">
      <c r="A9" s="3">
        <v>7</v>
      </c>
      <c r="B9" s="16" t="s">
        <v>41</v>
      </c>
      <c r="C9" s="9" t="s">
        <v>37</v>
      </c>
      <c r="D9" s="26">
        <f>_xlfn.XLOOKUP(B9,'[1]Pengkinian Data'!$B:$B,'[1]Pengkinian Data'!$E:$E)</f>
        <v>1</v>
      </c>
      <c r="E9" s="53"/>
    </row>
    <row r="10" spans="1:5">
      <c r="A10" s="3">
        <v>8</v>
      </c>
      <c r="B10" s="16" t="s">
        <v>42</v>
      </c>
      <c r="C10" s="9" t="s">
        <v>37</v>
      </c>
      <c r="D10" s="26">
        <f>_xlfn.XLOOKUP(B10,'[1]Pengkinian Data'!$B:$B,'[1]Pengkinian Data'!$E:$E)</f>
        <v>1</v>
      </c>
      <c r="E10" s="53"/>
    </row>
    <row r="11" spans="1:5">
      <c r="A11" s="3">
        <v>9</v>
      </c>
      <c r="B11" s="16" t="s">
        <v>43</v>
      </c>
      <c r="C11" s="9" t="s">
        <v>34</v>
      </c>
      <c r="D11" s="26">
        <f>_xlfn.XLOOKUP(B11,'[1]Pengkinian Data'!$B:$B,'[1]Pengkinian Data'!$E:$E)</f>
        <v>1</v>
      </c>
      <c r="E11" s="53"/>
    </row>
    <row r="12" spans="1:5">
      <c r="A12" s="3">
        <v>10</v>
      </c>
      <c r="B12" s="16" t="s">
        <v>44</v>
      </c>
      <c r="C12" s="9" t="s">
        <v>34</v>
      </c>
      <c r="D12" s="26">
        <f>_xlfn.XLOOKUP(B12,'[1]Pengkinian Data'!$B:$B,'[1]Pengkinian Data'!$E:$E)</f>
        <v>1</v>
      </c>
      <c r="E12" s="53"/>
    </row>
    <row r="13" spans="1:5">
      <c r="A13" s="3">
        <v>11</v>
      </c>
      <c r="B13" s="16" t="s">
        <v>45</v>
      </c>
      <c r="C13" s="9" t="s">
        <v>37</v>
      </c>
      <c r="D13" s="26">
        <f>_xlfn.XLOOKUP(B13,'[1]Pengkinian Data'!$B:$B,'[1]Pengkinian Data'!$E:$E)</f>
        <v>1</v>
      </c>
      <c r="E13" s="53"/>
    </row>
    <row r="14" spans="1:5">
      <c r="A14" s="3">
        <v>12</v>
      </c>
      <c r="B14" s="16" t="s">
        <v>46</v>
      </c>
      <c r="C14" s="9" t="s">
        <v>37</v>
      </c>
      <c r="D14" s="26">
        <f>_xlfn.XLOOKUP(B14,'[1]Pengkinian Data'!$B:$B,'[1]Pengkinian Data'!$E:$E)</f>
        <v>1</v>
      </c>
      <c r="E14" s="53"/>
    </row>
    <row r="15" spans="1:5">
      <c r="A15" s="3">
        <v>13</v>
      </c>
      <c r="B15" s="16" t="s">
        <v>47</v>
      </c>
      <c r="C15" s="9" t="s">
        <v>34</v>
      </c>
      <c r="D15" s="26">
        <f>_xlfn.XLOOKUP(B15,'[1]Pengkinian Data'!$B:$B,'[1]Pengkinian Data'!$E:$E)</f>
        <v>1</v>
      </c>
      <c r="E15" s="53"/>
    </row>
    <row r="16" spans="1:5">
      <c r="A16" s="3">
        <v>14</v>
      </c>
      <c r="B16" s="16" t="s">
        <v>48</v>
      </c>
      <c r="C16" s="9" t="s">
        <v>34</v>
      </c>
      <c r="D16" s="26">
        <f>_xlfn.XLOOKUP(B16,'[1]Pengkinian Data'!$B:$B,'[1]Pengkinian Data'!$E:$E)</f>
        <v>1</v>
      </c>
      <c r="E16" s="53"/>
    </row>
    <row r="17" spans="1:5">
      <c r="A17" s="3">
        <v>15</v>
      </c>
      <c r="B17" s="16" t="s">
        <v>49</v>
      </c>
      <c r="C17" s="9" t="s">
        <v>37</v>
      </c>
      <c r="D17" s="26">
        <f>_xlfn.XLOOKUP(B17,'[1]Pengkinian Data'!$B:$B,'[1]Pengkinian Data'!$E:$E)</f>
        <v>1</v>
      </c>
      <c r="E17" s="53"/>
    </row>
    <row r="18" spans="1:5">
      <c r="A18" s="3">
        <v>16</v>
      </c>
      <c r="B18" s="16" t="s">
        <v>50</v>
      </c>
      <c r="C18" s="9" t="s">
        <v>37</v>
      </c>
      <c r="D18" s="26">
        <f>_xlfn.XLOOKUP(B18,'[1]Pengkinian Data'!$B:$B,'[1]Pengkinian Data'!$E:$E)</f>
        <v>1</v>
      </c>
      <c r="E18" s="53"/>
    </row>
    <row r="19" spans="1:5">
      <c r="A19" s="3">
        <v>17</v>
      </c>
      <c r="B19" s="16" t="s">
        <v>51</v>
      </c>
      <c r="C19" s="9" t="s">
        <v>34</v>
      </c>
      <c r="D19" s="26">
        <f>_xlfn.XLOOKUP(B19,'[1]Pengkinian Data'!$B:$B,'[1]Pengkinian Data'!$E:$E)</f>
        <v>1</v>
      </c>
      <c r="E19" s="53"/>
    </row>
    <row r="20" spans="1:5">
      <c r="A20" s="3">
        <v>18</v>
      </c>
      <c r="B20" s="16" t="s">
        <v>52</v>
      </c>
      <c r="C20" s="9" t="s">
        <v>37</v>
      </c>
      <c r="D20" s="26">
        <f>_xlfn.XLOOKUP(B20,'[1]Pengkinian Data'!$B:$B,'[1]Pengkinian Data'!$E:$E)</f>
        <v>1</v>
      </c>
      <c r="E20" s="53"/>
    </row>
    <row r="21" spans="1:5">
      <c r="A21" s="3">
        <v>19</v>
      </c>
      <c r="B21" s="16" t="s">
        <v>53</v>
      </c>
      <c r="C21" s="9" t="s">
        <v>37</v>
      </c>
      <c r="D21" s="26">
        <f>_xlfn.XLOOKUP(B21,'[1]Pengkinian Data'!$B:$B,'[1]Pengkinian Data'!$E:$E)</f>
        <v>1</v>
      </c>
      <c r="E21" s="53"/>
    </row>
    <row r="22" spans="1:5">
      <c r="A22" s="3">
        <v>20</v>
      </c>
      <c r="B22" s="16" t="s">
        <v>54</v>
      </c>
      <c r="C22" s="9" t="s">
        <v>37</v>
      </c>
      <c r="D22" s="26">
        <f>_xlfn.XLOOKUP(B22,'[1]Pengkinian Data'!$B:$B,'[1]Pengkinian Data'!$E:$E)</f>
        <v>1</v>
      </c>
      <c r="E22" s="53"/>
    </row>
    <row r="23" spans="1:5">
      <c r="A23" s="3">
        <v>21</v>
      </c>
      <c r="B23" s="16" t="s">
        <v>55</v>
      </c>
      <c r="C23" s="9" t="s">
        <v>34</v>
      </c>
      <c r="D23" s="26">
        <f>_xlfn.XLOOKUP(B23,'[1]Pengkinian Data'!$B:$B,'[1]Pengkinian Data'!$E:$E)</f>
        <v>1</v>
      </c>
      <c r="E23" s="54"/>
    </row>
  </sheetData>
  <mergeCells count="2">
    <mergeCell ref="E3:E23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23"/>
  <sheetViews>
    <sheetView workbookViewId="0">
      <selection activeCell="K14" sqref="K14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0.7109375" bestFit="1" customWidth="1"/>
  </cols>
  <sheetData>
    <row r="1" spans="1:5" ht="15">
      <c r="D1" s="50">
        <v>46280</v>
      </c>
      <c r="E1" s="51"/>
    </row>
    <row r="2" spans="1:5">
      <c r="A2" s="4" t="s">
        <v>28</v>
      </c>
      <c r="B2" s="24" t="s">
        <v>29</v>
      </c>
      <c r="C2" s="23" t="s">
        <v>30</v>
      </c>
      <c r="D2" s="22" t="s">
        <v>57</v>
      </c>
      <c r="E2" s="22" t="s">
        <v>32</v>
      </c>
    </row>
    <row r="3" spans="1:5">
      <c r="A3" s="3">
        <v>1</v>
      </c>
      <c r="B3" s="15" t="s">
        <v>33</v>
      </c>
      <c r="C3" s="9" t="s">
        <v>34</v>
      </c>
      <c r="D3" s="25">
        <f>_xlfn.XLOOKUP(B3, '[1]Bad Data'!$B:$B, '[1]Bad Data'!$D:$D)</f>
        <v>4.8399999999999997E-3</v>
      </c>
      <c r="E3" s="47">
        <f>AVERAGE(D3:D23)</f>
        <v>2.6785714285714282E-3</v>
      </c>
    </row>
    <row r="4" spans="1:5">
      <c r="A4" s="3">
        <v>2</v>
      </c>
      <c r="B4" s="16" t="s">
        <v>35</v>
      </c>
      <c r="C4" s="9" t="s">
        <v>34</v>
      </c>
      <c r="D4" s="25">
        <f>_xlfn.XLOOKUP(B4, '[1]Bad Data'!$B:$B, '[1]Bad Data'!$D:$D)</f>
        <v>1.0499999999999999E-3</v>
      </c>
      <c r="E4" s="48"/>
    </row>
    <row r="5" spans="1:5">
      <c r="A5" s="3">
        <v>3</v>
      </c>
      <c r="B5" s="16" t="s">
        <v>36</v>
      </c>
      <c r="C5" s="9" t="s">
        <v>37</v>
      </c>
      <c r="D5" s="25">
        <f>_xlfn.XLOOKUP(B5, '[1]Bad Data'!$B:$B, '[1]Bad Data'!$D:$D)</f>
        <v>3.6099999999999999E-3</v>
      </c>
      <c r="E5" s="48"/>
    </row>
    <row r="6" spans="1:5">
      <c r="A6" s="3">
        <v>4</v>
      </c>
      <c r="B6" s="16" t="s">
        <v>38</v>
      </c>
      <c r="C6" s="9" t="s">
        <v>34</v>
      </c>
      <c r="D6" s="25">
        <f>_xlfn.XLOOKUP(B6, '[1]Bad Data'!$B:$B, '[1]Bad Data'!$D:$D)</f>
        <v>3.13E-3</v>
      </c>
      <c r="E6" s="48"/>
    </row>
    <row r="7" spans="1:5">
      <c r="A7" s="3">
        <v>5</v>
      </c>
      <c r="B7" s="16" t="s">
        <v>39</v>
      </c>
      <c r="C7" s="9" t="s">
        <v>37</v>
      </c>
      <c r="D7" s="25">
        <f>_xlfn.XLOOKUP(B7, '[1]Bad Data'!$B:$B, '[1]Bad Data'!$D:$D)</f>
        <v>2.3E-3</v>
      </c>
      <c r="E7" s="48"/>
    </row>
    <row r="8" spans="1:5">
      <c r="A8" s="3">
        <v>6</v>
      </c>
      <c r="B8" s="16" t="s">
        <v>40</v>
      </c>
      <c r="C8" s="9" t="s">
        <v>34</v>
      </c>
      <c r="D8" s="25">
        <f>_xlfn.XLOOKUP(B8, '[1]Bad Data'!$B:$B, '[1]Bad Data'!$D:$D)</f>
        <v>6.7499999999999999E-3</v>
      </c>
      <c r="E8" s="48"/>
    </row>
    <row r="9" spans="1:5">
      <c r="A9" s="3">
        <v>7</v>
      </c>
      <c r="B9" s="16" t="s">
        <v>41</v>
      </c>
      <c r="C9" s="9" t="s">
        <v>37</v>
      </c>
      <c r="D9" s="25">
        <f>_xlfn.XLOOKUP(B9, '[1]Bad Data'!$B:$B, '[1]Bad Data'!$D:$D)</f>
        <v>3.2000000000000003E-4</v>
      </c>
      <c r="E9" s="48"/>
    </row>
    <row r="10" spans="1:5">
      <c r="A10" s="3">
        <v>8</v>
      </c>
      <c r="B10" s="16" t="s">
        <v>42</v>
      </c>
      <c r="C10" s="9" t="s">
        <v>37</v>
      </c>
      <c r="D10" s="25">
        <f>_xlfn.XLOOKUP(B10, '[1]Bad Data'!$B:$B, '[1]Bad Data'!$D:$D)</f>
        <v>3.7299999999999998E-3</v>
      </c>
      <c r="E10" s="48"/>
    </row>
    <row r="11" spans="1:5">
      <c r="A11" s="3">
        <v>9</v>
      </c>
      <c r="B11" s="16" t="s">
        <v>43</v>
      </c>
      <c r="C11" s="9" t="s">
        <v>34</v>
      </c>
      <c r="D11" s="25">
        <f>_xlfn.XLOOKUP(B11, '[1]Bad Data'!$B:$B, '[1]Bad Data'!$D:$D)</f>
        <v>3.79E-3</v>
      </c>
      <c r="E11" s="48"/>
    </row>
    <row r="12" spans="1:5">
      <c r="A12" s="3">
        <v>10</v>
      </c>
      <c r="B12" s="16" t="s">
        <v>44</v>
      </c>
      <c r="C12" s="9" t="s">
        <v>34</v>
      </c>
      <c r="D12" s="25">
        <f>_xlfn.XLOOKUP(B12, '[1]Bad Data'!$B:$B, '[1]Bad Data'!$D:$D)</f>
        <v>5.0600000000000003E-3</v>
      </c>
      <c r="E12" s="48"/>
    </row>
    <row r="13" spans="1:5">
      <c r="A13" s="3">
        <v>11</v>
      </c>
      <c r="B13" s="16" t="s">
        <v>45</v>
      </c>
      <c r="C13" s="9" t="s">
        <v>37</v>
      </c>
      <c r="D13" s="25">
        <f>_xlfn.XLOOKUP(B13, '[1]Bad Data'!$B:$B, '[1]Bad Data'!$D:$D)</f>
        <v>2.96E-3</v>
      </c>
      <c r="E13" s="48"/>
    </row>
    <row r="14" spans="1:5">
      <c r="A14" s="3">
        <v>12</v>
      </c>
      <c r="B14" s="16" t="s">
        <v>46</v>
      </c>
      <c r="C14" s="9" t="s">
        <v>37</v>
      </c>
      <c r="D14" s="25">
        <f>_xlfn.XLOOKUP(B14, '[1]Bad Data'!$B:$B, '[1]Bad Data'!$D:$D)</f>
        <v>1.82E-3</v>
      </c>
      <c r="E14" s="48"/>
    </row>
    <row r="15" spans="1:5">
      <c r="A15" s="3">
        <v>13</v>
      </c>
      <c r="B15" s="16" t="s">
        <v>47</v>
      </c>
      <c r="C15" s="9" t="s">
        <v>34</v>
      </c>
      <c r="D15" s="25">
        <f>_xlfn.XLOOKUP(B15, '[1]Bad Data'!$B:$B, '[1]Bad Data'!$D:$D)</f>
        <v>3.2200000000000002E-3</v>
      </c>
      <c r="E15" s="48"/>
    </row>
    <row r="16" spans="1:5">
      <c r="A16" s="3">
        <v>14</v>
      </c>
      <c r="B16" s="16" t="s">
        <v>48</v>
      </c>
      <c r="C16" s="9" t="s">
        <v>34</v>
      </c>
      <c r="D16" s="25">
        <f>_xlfn.XLOOKUP(B16, '[1]Bad Data'!$B:$B, '[1]Bad Data'!$D:$D)</f>
        <v>1E-3</v>
      </c>
      <c r="E16" s="48"/>
    </row>
    <row r="17" spans="1:5">
      <c r="A17" s="3">
        <v>15</v>
      </c>
      <c r="B17" s="16" t="s">
        <v>49</v>
      </c>
      <c r="C17" s="9" t="s">
        <v>37</v>
      </c>
      <c r="D17" s="25">
        <f>_xlfn.XLOOKUP(B17, '[1]Bad Data'!$B:$B, '[1]Bad Data'!$D:$D)</f>
        <v>3.7699999999999999E-3</v>
      </c>
      <c r="E17" s="48"/>
    </row>
    <row r="18" spans="1:5">
      <c r="A18" s="3">
        <v>16</v>
      </c>
      <c r="B18" s="16" t="s">
        <v>50</v>
      </c>
      <c r="C18" s="9" t="s">
        <v>37</v>
      </c>
      <c r="D18" s="25">
        <f>_xlfn.XLOOKUP(B18, '[1]Bad Data'!$B:$B, '[1]Bad Data'!$D:$D)</f>
        <v>1.92E-3</v>
      </c>
      <c r="E18" s="48"/>
    </row>
    <row r="19" spans="1:5">
      <c r="A19" s="3">
        <v>17</v>
      </c>
      <c r="B19" s="16" t="s">
        <v>51</v>
      </c>
      <c r="C19" s="9" t="s">
        <v>34</v>
      </c>
      <c r="D19" s="25">
        <f>_xlfn.XLOOKUP(B19, '[1]Bad Data'!$B:$B, '[1]Bad Data'!$D:$D)</f>
        <v>3.3E-4</v>
      </c>
      <c r="E19" s="48"/>
    </row>
    <row r="20" spans="1:5">
      <c r="A20" s="3">
        <v>18</v>
      </c>
      <c r="B20" s="16" t="s">
        <v>52</v>
      </c>
      <c r="C20" s="9" t="s">
        <v>37</v>
      </c>
      <c r="D20" s="25">
        <f>_xlfn.XLOOKUP(B20, '[1]Bad Data'!$B:$B, '[1]Bad Data'!$D:$D)</f>
        <v>1.01E-3</v>
      </c>
      <c r="E20" s="48"/>
    </row>
    <row r="21" spans="1:5">
      <c r="A21" s="3">
        <v>19</v>
      </c>
      <c r="B21" s="16" t="s">
        <v>53</v>
      </c>
      <c r="C21" s="9" t="s">
        <v>37</v>
      </c>
      <c r="D21" s="25">
        <f>_xlfn.XLOOKUP(B21, '[1]Bad Data'!$B:$B, '[1]Bad Data'!$D:$D)</f>
        <v>1.89E-3</v>
      </c>
      <c r="E21" s="48"/>
    </row>
    <row r="22" spans="1:5">
      <c r="A22" s="3">
        <v>20</v>
      </c>
      <c r="B22" s="16" t="s">
        <v>54</v>
      </c>
      <c r="C22" s="9" t="s">
        <v>37</v>
      </c>
      <c r="D22" s="25">
        <f>_xlfn.XLOOKUP(B22, '[1]Bad Data'!$B:$B, '[1]Bad Data'!$D:$D)</f>
        <v>1.83E-3</v>
      </c>
      <c r="E22" s="48"/>
    </row>
    <row r="23" spans="1:5">
      <c r="A23" s="3">
        <v>21</v>
      </c>
      <c r="B23" s="16" t="s">
        <v>55</v>
      </c>
      <c r="C23" s="9" t="s">
        <v>34</v>
      </c>
      <c r="D23" s="25">
        <f>_xlfn.XLOOKUP(B23, '[1]Bad Data'!$B:$B, '[1]Bad Data'!$D:$D)</f>
        <v>1.92E-3</v>
      </c>
      <c r="E23" s="49"/>
    </row>
  </sheetData>
  <mergeCells count="2">
    <mergeCell ref="E3:E23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28</v>
      </c>
      <c r="B1" s="4" t="s">
        <v>29</v>
      </c>
      <c r="C1" s="4" t="s">
        <v>30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</row>
    <row r="2" spans="1:9">
      <c r="A2" s="3">
        <v>1</v>
      </c>
      <c r="B2" s="1" t="s">
        <v>64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65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66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67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68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69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70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71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72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73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74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75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76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77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78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79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80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81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82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83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84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85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86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87</v>
      </c>
      <c r="C25" s="3"/>
      <c r="D25" s="3"/>
      <c r="E25" s="3"/>
      <c r="F25" s="3"/>
      <c r="G25" s="3"/>
      <c r="H25" s="3"/>
      <c r="I25" s="3"/>
    </row>
    <row r="27" spans="1:9">
      <c r="B27" s="5" t="s">
        <v>88</v>
      </c>
    </row>
    <row r="28" spans="1:9">
      <c r="B28" s="5" t="s">
        <v>89</v>
      </c>
    </row>
    <row r="29" spans="1:9">
      <c r="B29" s="6" t="s">
        <v>90</v>
      </c>
    </row>
    <row r="31" spans="1:9">
      <c r="B31" t="s">
        <v>91</v>
      </c>
    </row>
    <row r="32" spans="1:9">
      <c r="B32" t="s">
        <v>92</v>
      </c>
    </row>
    <row r="33" spans="2:2">
      <c r="B33" t="s">
        <v>93</v>
      </c>
    </row>
    <row r="34" spans="2:2">
      <c r="B34" t="s">
        <v>94</v>
      </c>
    </row>
    <row r="35" spans="2:2">
      <c r="B35" t="s">
        <v>95</v>
      </c>
    </row>
    <row r="36" spans="2:2">
      <c r="B36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workbookViewId="0">
      <selection activeCell="O16" sqref="O16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55" t="s">
        <v>28</v>
      </c>
      <c r="B1" s="55" t="s">
        <v>29</v>
      </c>
      <c r="C1" s="55" t="s">
        <v>30</v>
      </c>
      <c r="D1" s="55" t="s">
        <v>97</v>
      </c>
      <c r="E1" s="55" t="s">
        <v>60</v>
      </c>
      <c r="F1" s="55" t="s">
        <v>63</v>
      </c>
    </row>
    <row r="2" spans="1:6" s="7" customFormat="1">
      <c r="A2" s="56"/>
      <c r="B2" s="56"/>
      <c r="C2" s="56"/>
      <c r="D2" s="56"/>
      <c r="E2" s="56"/>
      <c r="F2" s="56"/>
    </row>
    <row r="3" spans="1:6">
      <c r="A3" s="3"/>
      <c r="B3" s="18" t="s">
        <v>98</v>
      </c>
      <c r="C3" s="18" t="s">
        <v>98</v>
      </c>
      <c r="D3" s="18" t="s">
        <v>98</v>
      </c>
      <c r="E3" s="18" t="s">
        <v>98</v>
      </c>
      <c r="F3" s="18" t="s">
        <v>98</v>
      </c>
    </row>
    <row r="4" spans="1:6">
      <c r="A4" s="3"/>
      <c r="B4" s="1"/>
      <c r="C4" s="3"/>
      <c r="D4" s="3"/>
      <c r="E4" s="3"/>
      <c r="F4" s="3"/>
    </row>
    <row r="5" spans="1:6">
      <c r="A5" s="3"/>
      <c r="B5" s="1"/>
      <c r="C5" s="3"/>
      <c r="D5" s="3"/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88</v>
      </c>
    </row>
    <row r="30" spans="1:6">
      <c r="B30" s="5" t="s">
        <v>89</v>
      </c>
    </row>
    <row r="31" spans="1:6">
      <c r="B31" s="6" t="s">
        <v>99</v>
      </c>
    </row>
    <row r="34" spans="2:2">
      <c r="B34" t="s">
        <v>91</v>
      </c>
    </row>
    <row r="35" spans="2:2">
      <c r="B35" t="s">
        <v>92</v>
      </c>
    </row>
    <row r="36" spans="2:2">
      <c r="B36" t="s">
        <v>93</v>
      </c>
    </row>
    <row r="37" spans="2:2">
      <c r="B37" t="s">
        <v>94</v>
      </c>
    </row>
    <row r="38" spans="2:2">
      <c r="B38" t="s">
        <v>100</v>
      </c>
    </row>
    <row r="39" spans="2:2">
      <c r="B39" t="s">
        <v>101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5127-21CE-46E9-96DA-DB9D04BB7E28}">
  <dimension ref="A1:H23"/>
  <sheetViews>
    <sheetView topLeftCell="A6" workbookViewId="0">
      <selection activeCell="J10" sqref="J10:J11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 ht="15">
      <c r="A1" s="4" t="s">
        <v>28</v>
      </c>
      <c r="B1" s="4" t="s">
        <v>29</v>
      </c>
      <c r="C1" s="4" t="s">
        <v>30</v>
      </c>
      <c r="D1" s="19" t="s">
        <v>102</v>
      </c>
      <c r="E1" s="19" t="s">
        <v>102</v>
      </c>
      <c r="F1" s="19" t="s">
        <v>103</v>
      </c>
    </row>
    <row r="2" spans="1:8" ht="14.45" customHeight="1">
      <c r="A2" s="3">
        <v>1</v>
      </c>
      <c r="B2" s="15" t="s">
        <v>33</v>
      </c>
      <c r="C2" s="3" t="s">
        <v>34</v>
      </c>
      <c r="D2" s="21">
        <v>7.8339999999999996</v>
      </c>
      <c r="E2" s="57">
        <f>AVERAGE(D2:D11)</f>
        <v>7.7412999999999998</v>
      </c>
      <c r="F2" s="57">
        <f>AVERAGE(E2:E11)</f>
        <v>7.7412999999999998</v>
      </c>
      <c r="G2" s="20"/>
      <c r="H2" s="20"/>
    </row>
    <row r="3" spans="1:8" ht="14.45" customHeight="1">
      <c r="A3" s="3">
        <v>2</v>
      </c>
      <c r="B3" s="16" t="s">
        <v>35</v>
      </c>
      <c r="C3" s="3" t="s">
        <v>34</v>
      </c>
      <c r="D3" s="21">
        <v>7.569</v>
      </c>
      <c r="E3" s="58"/>
      <c r="F3" s="58"/>
      <c r="G3" s="20"/>
      <c r="H3" s="20"/>
    </row>
    <row r="4" spans="1:8" ht="14.45" customHeight="1">
      <c r="A4" s="3">
        <v>4</v>
      </c>
      <c r="B4" s="16" t="s">
        <v>38</v>
      </c>
      <c r="C4" s="3" t="s">
        <v>34</v>
      </c>
      <c r="D4" s="21">
        <v>8.3849999999999998</v>
      </c>
      <c r="E4" s="58"/>
      <c r="F4" s="58"/>
      <c r="G4" s="20"/>
      <c r="H4" s="20"/>
    </row>
    <row r="5" spans="1:8" ht="14.45" customHeight="1">
      <c r="A5" s="3">
        <v>6</v>
      </c>
      <c r="B5" s="16" t="s">
        <v>40</v>
      </c>
      <c r="C5" s="3" t="s">
        <v>34</v>
      </c>
      <c r="D5" s="21">
        <v>8.1310000000000002</v>
      </c>
      <c r="E5" s="58"/>
      <c r="F5" s="58"/>
      <c r="G5" s="20"/>
      <c r="H5" s="20"/>
    </row>
    <row r="6" spans="1:8" ht="14.45" customHeight="1">
      <c r="A6" s="3">
        <v>9</v>
      </c>
      <c r="B6" s="16" t="s">
        <v>43</v>
      </c>
      <c r="C6" s="3" t="s">
        <v>34</v>
      </c>
      <c r="D6" s="21">
        <v>6.1660000000000004</v>
      </c>
      <c r="E6" s="58"/>
      <c r="F6" s="58"/>
      <c r="G6" s="20"/>
      <c r="H6" s="20"/>
    </row>
    <row r="7" spans="1:8" ht="14.45" customHeight="1">
      <c r="A7" s="3">
        <v>10</v>
      </c>
      <c r="B7" s="16" t="s">
        <v>44</v>
      </c>
      <c r="C7" s="3" t="s">
        <v>34</v>
      </c>
      <c r="D7" s="21">
        <v>6.7839999999999998</v>
      </c>
      <c r="E7" s="58"/>
      <c r="F7" s="58"/>
      <c r="G7" s="20"/>
      <c r="H7" s="20"/>
    </row>
    <row r="8" spans="1:8" ht="14.45" customHeight="1">
      <c r="A8" s="3">
        <v>13</v>
      </c>
      <c r="B8" s="16" t="s">
        <v>47</v>
      </c>
      <c r="C8" s="3" t="s">
        <v>34</v>
      </c>
      <c r="D8" s="21">
        <v>8.5269999999999992</v>
      </c>
      <c r="E8" s="58"/>
      <c r="F8" s="58"/>
      <c r="G8" s="20"/>
      <c r="H8" s="20"/>
    </row>
    <row r="9" spans="1:8" ht="14.45" customHeight="1">
      <c r="A9" s="3">
        <v>14</v>
      </c>
      <c r="B9" s="16" t="s">
        <v>48</v>
      </c>
      <c r="C9" s="3" t="s">
        <v>34</v>
      </c>
      <c r="D9" s="21">
        <v>8.4819999999999993</v>
      </c>
      <c r="E9" s="58"/>
      <c r="F9" s="58"/>
      <c r="G9" s="20"/>
      <c r="H9" s="20"/>
    </row>
    <row r="10" spans="1:8" ht="14.45" customHeight="1">
      <c r="A10" s="3">
        <v>17</v>
      </c>
      <c r="B10" s="16" t="s">
        <v>51</v>
      </c>
      <c r="C10" s="3" t="s">
        <v>34</v>
      </c>
      <c r="D10" s="21">
        <v>7.9580000000000002</v>
      </c>
      <c r="E10" s="58"/>
      <c r="F10" s="58"/>
      <c r="G10" s="20"/>
      <c r="H10" s="20"/>
    </row>
    <row r="11" spans="1:8" ht="14.45" customHeight="1">
      <c r="A11" s="3">
        <v>21</v>
      </c>
      <c r="B11" s="16" t="s">
        <v>55</v>
      </c>
      <c r="C11" s="3" t="s">
        <v>34</v>
      </c>
      <c r="D11" s="21">
        <v>7.577</v>
      </c>
      <c r="E11" s="58"/>
      <c r="F11" s="58"/>
      <c r="G11" s="20"/>
      <c r="H11" s="20"/>
    </row>
    <row r="12" spans="1:8" ht="14.45" customHeight="1">
      <c r="A12" s="3">
        <v>3</v>
      </c>
      <c r="B12" s="16" t="s">
        <v>36</v>
      </c>
      <c r="C12" s="3" t="s">
        <v>37</v>
      </c>
      <c r="D12" s="27">
        <v>7.5060000000000002</v>
      </c>
      <c r="E12" s="59">
        <f>AVERAGE(D12:D22)</f>
        <v>6.6892727272727264</v>
      </c>
      <c r="F12" s="59">
        <f>AVERAGE(E12:E22)</f>
        <v>6.6892727272727264</v>
      </c>
      <c r="G12" s="20"/>
      <c r="H12" s="20"/>
    </row>
    <row r="13" spans="1:8" ht="14.45" customHeight="1">
      <c r="A13" s="3">
        <v>5</v>
      </c>
      <c r="B13" s="16" t="s">
        <v>39</v>
      </c>
      <c r="C13" s="3" t="s">
        <v>37</v>
      </c>
      <c r="D13" s="27">
        <v>6.242</v>
      </c>
      <c r="E13" s="60"/>
      <c r="F13" s="60"/>
      <c r="G13" s="20"/>
      <c r="H13" s="20"/>
    </row>
    <row r="14" spans="1:8" ht="14.45" customHeight="1">
      <c r="A14" s="3">
        <v>7</v>
      </c>
      <c r="B14" s="16" t="s">
        <v>41</v>
      </c>
      <c r="C14" s="3" t="s">
        <v>37</v>
      </c>
      <c r="D14" s="27">
        <v>7.85</v>
      </c>
      <c r="E14" s="60"/>
      <c r="F14" s="60"/>
      <c r="G14" s="20"/>
      <c r="H14" s="20"/>
    </row>
    <row r="15" spans="1:8" ht="14.45" customHeight="1">
      <c r="A15" s="3">
        <v>8</v>
      </c>
      <c r="B15" s="16" t="s">
        <v>42</v>
      </c>
      <c r="C15" s="3" t="s">
        <v>37</v>
      </c>
      <c r="D15" s="27">
        <v>5.7370000000000001</v>
      </c>
      <c r="E15" s="60"/>
      <c r="F15" s="60"/>
      <c r="G15" s="20"/>
      <c r="H15" s="20"/>
    </row>
    <row r="16" spans="1:8" ht="14.45" customHeight="1">
      <c r="A16" s="3">
        <v>11</v>
      </c>
      <c r="B16" s="16" t="s">
        <v>45</v>
      </c>
      <c r="C16" s="3" t="s">
        <v>37</v>
      </c>
      <c r="D16" s="27">
        <v>5.8739999999999997</v>
      </c>
      <c r="E16" s="60"/>
      <c r="F16" s="60"/>
      <c r="G16" s="20"/>
      <c r="H16" s="20"/>
    </row>
    <row r="17" spans="1:8" ht="14.45" customHeight="1">
      <c r="A17" s="3">
        <v>12</v>
      </c>
      <c r="B17" s="16" t="s">
        <v>46</v>
      </c>
      <c r="C17" s="3" t="s">
        <v>37</v>
      </c>
      <c r="D17" s="27">
        <v>5.1059999999999999</v>
      </c>
      <c r="E17" s="60"/>
      <c r="F17" s="60"/>
      <c r="G17" s="20"/>
      <c r="H17" s="20"/>
    </row>
    <row r="18" spans="1:8" ht="14.45" customHeight="1">
      <c r="A18" s="3">
        <v>15</v>
      </c>
      <c r="B18" s="16" t="s">
        <v>49</v>
      </c>
      <c r="C18" s="3" t="s">
        <v>37</v>
      </c>
      <c r="D18" s="27">
        <v>8.9629999999999992</v>
      </c>
      <c r="E18" s="60"/>
      <c r="F18" s="60"/>
      <c r="G18" s="20"/>
      <c r="H18" s="20"/>
    </row>
    <row r="19" spans="1:8" ht="14.45" customHeight="1">
      <c r="A19" s="3">
        <v>16</v>
      </c>
      <c r="B19" s="16" t="s">
        <v>50</v>
      </c>
      <c r="C19" s="3" t="s">
        <v>37</v>
      </c>
      <c r="D19" s="27">
        <v>7.0060000000000002</v>
      </c>
      <c r="E19" s="60"/>
      <c r="F19" s="60"/>
      <c r="G19" s="20"/>
      <c r="H19" s="20"/>
    </row>
    <row r="20" spans="1:8" ht="14.45" customHeight="1">
      <c r="A20" s="3">
        <v>18</v>
      </c>
      <c r="B20" s="16" t="s">
        <v>52</v>
      </c>
      <c r="C20" s="3" t="s">
        <v>37</v>
      </c>
      <c r="D20" s="27">
        <v>5.7539999999999996</v>
      </c>
      <c r="E20" s="60"/>
      <c r="F20" s="60"/>
      <c r="G20" s="20"/>
      <c r="H20" s="20"/>
    </row>
    <row r="21" spans="1:8" ht="14.45" customHeight="1">
      <c r="A21" s="3">
        <v>19</v>
      </c>
      <c r="B21" s="16" t="s">
        <v>53</v>
      </c>
      <c r="C21" s="3" t="s">
        <v>37</v>
      </c>
      <c r="D21" s="27">
        <v>6.1459999999999999</v>
      </c>
      <c r="E21" s="60"/>
      <c r="F21" s="60"/>
      <c r="G21" s="20"/>
      <c r="H21" s="20"/>
    </row>
    <row r="22" spans="1:8" ht="14.45" customHeight="1">
      <c r="A22" s="3">
        <v>20</v>
      </c>
      <c r="B22" s="16" t="s">
        <v>54</v>
      </c>
      <c r="C22" s="3" t="s">
        <v>37</v>
      </c>
      <c r="D22" s="27">
        <v>7.3979999999999997</v>
      </c>
      <c r="E22" s="60"/>
      <c r="F22" s="60"/>
      <c r="G22" s="20"/>
      <c r="H22" s="20"/>
    </row>
    <row r="23" spans="1:8" ht="15"/>
  </sheetData>
  <autoFilter ref="A1:D1" xr:uid="{FD9A7B95-F124-4CE6-993C-88740F8340E7}">
    <sortState xmlns:xlrd2="http://schemas.microsoft.com/office/spreadsheetml/2017/richdata2" ref="A2:D22">
      <sortCondition ref="C1"/>
    </sortState>
  </autoFilter>
  <mergeCells count="4">
    <mergeCell ref="E2:E11"/>
    <mergeCell ref="E12:E22"/>
    <mergeCell ref="F2:F11"/>
    <mergeCell ref="F12:F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79B9-B67B-4C5A-ACB7-0550BC67B15C}">
  <dimension ref="A1:H23"/>
  <sheetViews>
    <sheetView workbookViewId="0">
      <selection activeCell="E2" sqref="E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 ht="15">
      <c r="A1" s="4" t="s">
        <v>28</v>
      </c>
      <c r="B1" s="4" t="s">
        <v>29</v>
      </c>
      <c r="C1" s="4" t="s">
        <v>30</v>
      </c>
      <c r="D1" s="19" t="s">
        <v>104</v>
      </c>
      <c r="E1" s="19" t="s">
        <v>105</v>
      </c>
      <c r="F1" s="19" t="s">
        <v>106</v>
      </c>
    </row>
    <row r="2" spans="1:8" ht="14.45" customHeight="1">
      <c r="A2" s="3">
        <v>1</v>
      </c>
      <c r="B2" s="15" t="s">
        <v>33</v>
      </c>
      <c r="C2" s="3" t="s">
        <v>34</v>
      </c>
      <c r="D2" s="28">
        <v>4.4720000000000004</v>
      </c>
      <c r="E2" s="59">
        <f>AVERAGE(D2:D11)</f>
        <v>5.1740000000000004</v>
      </c>
      <c r="F2" s="59">
        <f>AVERAGE(E2:E11)</f>
        <v>5.1740000000000004</v>
      </c>
      <c r="G2" s="20"/>
      <c r="H2" s="20"/>
    </row>
    <row r="3" spans="1:8" ht="14.45" customHeight="1">
      <c r="A3" s="3">
        <v>2</v>
      </c>
      <c r="B3" s="16" t="s">
        <v>35</v>
      </c>
      <c r="C3" s="3" t="s">
        <v>34</v>
      </c>
      <c r="D3" s="28">
        <v>4.2430000000000003</v>
      </c>
      <c r="E3" s="59"/>
      <c r="F3" s="59"/>
      <c r="G3" s="20"/>
      <c r="H3" s="20"/>
    </row>
    <row r="4" spans="1:8" ht="14.45" customHeight="1">
      <c r="A4" s="3">
        <v>4</v>
      </c>
      <c r="B4" s="16" t="s">
        <v>38</v>
      </c>
      <c r="C4" s="3" t="s">
        <v>34</v>
      </c>
      <c r="D4" s="28">
        <v>4.899</v>
      </c>
      <c r="E4" s="59"/>
      <c r="F4" s="59"/>
      <c r="G4" s="20"/>
      <c r="H4" s="20"/>
    </row>
    <row r="5" spans="1:8" ht="14.45" customHeight="1">
      <c r="A5" s="3">
        <v>6</v>
      </c>
      <c r="B5" s="16" t="s">
        <v>40</v>
      </c>
      <c r="C5" s="3" t="s">
        <v>34</v>
      </c>
      <c r="D5" s="28">
        <v>6.1239999999999997</v>
      </c>
      <c r="E5" s="59"/>
      <c r="F5" s="59"/>
      <c r="G5" s="20"/>
      <c r="H5" s="20"/>
    </row>
    <row r="6" spans="1:8" ht="14.45" customHeight="1">
      <c r="A6" s="3">
        <v>9</v>
      </c>
      <c r="B6" s="16" t="s">
        <v>43</v>
      </c>
      <c r="C6" s="3" t="s">
        <v>34</v>
      </c>
      <c r="D6" s="28">
        <v>6.1239999999999997</v>
      </c>
      <c r="E6" s="59"/>
      <c r="F6" s="59"/>
      <c r="G6" s="20"/>
      <c r="H6" s="20"/>
    </row>
    <row r="7" spans="1:8" ht="14.45" customHeight="1">
      <c r="A7" s="3">
        <v>10</v>
      </c>
      <c r="B7" s="16" t="s">
        <v>44</v>
      </c>
      <c r="C7" s="3" t="s">
        <v>34</v>
      </c>
      <c r="D7" s="28">
        <v>5.6120000000000001</v>
      </c>
      <c r="E7" s="59"/>
      <c r="F7" s="59"/>
      <c r="G7" s="20"/>
      <c r="H7" s="20"/>
    </row>
    <row r="8" spans="1:8" ht="14.45" customHeight="1">
      <c r="A8" s="3">
        <v>13</v>
      </c>
      <c r="B8" s="16" t="s">
        <v>47</v>
      </c>
      <c r="C8" s="3" t="s">
        <v>34</v>
      </c>
      <c r="D8" s="28">
        <v>4.899</v>
      </c>
      <c r="E8" s="59"/>
      <c r="F8" s="59"/>
      <c r="G8" s="20"/>
      <c r="H8" s="20"/>
    </row>
    <row r="9" spans="1:8" ht="14.45" customHeight="1">
      <c r="A9" s="3">
        <v>14</v>
      </c>
      <c r="B9" s="16" t="s">
        <v>48</v>
      </c>
      <c r="C9" s="3" t="s">
        <v>34</v>
      </c>
      <c r="D9" s="28">
        <v>4.5</v>
      </c>
      <c r="E9" s="59"/>
      <c r="F9" s="59"/>
      <c r="G9" s="20"/>
      <c r="H9" s="20"/>
    </row>
    <row r="10" spans="1:8" ht="14.45" customHeight="1">
      <c r="A10" s="3">
        <v>17</v>
      </c>
      <c r="B10" s="16" t="s">
        <v>51</v>
      </c>
      <c r="C10" s="3" t="s">
        <v>34</v>
      </c>
      <c r="D10" s="28">
        <v>6.1239999999999997</v>
      </c>
      <c r="E10" s="59"/>
      <c r="F10" s="59"/>
      <c r="G10" s="20"/>
      <c r="H10" s="20"/>
    </row>
    <row r="11" spans="1:8" ht="14.45" customHeight="1">
      <c r="A11" s="3">
        <v>21</v>
      </c>
      <c r="B11" s="16" t="s">
        <v>55</v>
      </c>
      <c r="C11" s="3" t="s">
        <v>34</v>
      </c>
      <c r="D11" s="28">
        <v>4.7430000000000003</v>
      </c>
      <c r="E11" s="59"/>
      <c r="F11" s="59"/>
      <c r="G11" s="20"/>
      <c r="H11" s="20"/>
    </row>
    <row r="12" spans="1:8" ht="14.45" customHeight="1">
      <c r="A12" s="3">
        <v>3</v>
      </c>
      <c r="B12" s="16" t="s">
        <v>36</v>
      </c>
      <c r="C12" s="3" t="s">
        <v>37</v>
      </c>
      <c r="D12" s="28">
        <v>4.899</v>
      </c>
      <c r="E12" s="59">
        <f>AVERAGE(D12:D22)</f>
        <v>5.253454545454546</v>
      </c>
      <c r="F12" s="59">
        <f>AVERAGE(E12:E22)</f>
        <v>5.253454545454546</v>
      </c>
      <c r="G12" s="20"/>
      <c r="H12" s="20"/>
    </row>
    <row r="13" spans="1:8" ht="14.45" customHeight="1">
      <c r="A13" s="3">
        <v>5</v>
      </c>
      <c r="B13" s="16" t="s">
        <v>39</v>
      </c>
      <c r="C13" s="3" t="s">
        <v>37</v>
      </c>
      <c r="D13" s="28">
        <v>5.1959999999999997</v>
      </c>
      <c r="E13" s="60"/>
      <c r="F13" s="60"/>
      <c r="G13" s="20"/>
      <c r="H13" s="20"/>
    </row>
    <row r="14" spans="1:8" ht="14.45" customHeight="1">
      <c r="A14" s="3">
        <v>7</v>
      </c>
      <c r="B14" s="16" t="s">
        <v>41</v>
      </c>
      <c r="C14" s="3" t="s">
        <v>37</v>
      </c>
      <c r="D14" s="28">
        <v>4.899</v>
      </c>
      <c r="E14" s="60"/>
      <c r="F14" s="60"/>
      <c r="G14" s="20"/>
      <c r="H14" s="20"/>
    </row>
    <row r="15" spans="1:8" ht="14.45" customHeight="1">
      <c r="A15" s="3">
        <v>8</v>
      </c>
      <c r="B15" s="16" t="s">
        <v>42</v>
      </c>
      <c r="C15" s="3" t="s">
        <v>37</v>
      </c>
      <c r="D15" s="28">
        <v>5.1959999999999997</v>
      </c>
      <c r="E15" s="60"/>
      <c r="F15" s="60"/>
      <c r="G15" s="20"/>
      <c r="H15" s="20"/>
    </row>
    <row r="16" spans="1:8" ht="14.45" customHeight="1">
      <c r="A16" s="3">
        <v>11</v>
      </c>
      <c r="B16" s="16" t="s">
        <v>45</v>
      </c>
      <c r="C16" s="3" t="s">
        <v>37</v>
      </c>
      <c r="D16" s="28">
        <v>4.9749999999999996</v>
      </c>
      <c r="E16" s="60"/>
      <c r="F16" s="60"/>
      <c r="G16" s="20"/>
      <c r="H16" s="20"/>
    </row>
    <row r="17" spans="1:8" ht="14.45" customHeight="1">
      <c r="A17" s="3">
        <v>12</v>
      </c>
      <c r="B17" s="16" t="s">
        <v>46</v>
      </c>
      <c r="C17" s="3" t="s">
        <v>37</v>
      </c>
      <c r="D17" s="28">
        <v>5.4080000000000004</v>
      </c>
      <c r="E17" s="60"/>
      <c r="F17" s="60"/>
      <c r="G17" s="20"/>
      <c r="H17" s="20"/>
    </row>
    <row r="18" spans="1:8" ht="14.45" customHeight="1">
      <c r="A18" s="3">
        <v>15</v>
      </c>
      <c r="B18" s="16" t="s">
        <v>49</v>
      </c>
      <c r="C18" s="3" t="s">
        <v>37</v>
      </c>
      <c r="D18" s="28">
        <v>5.8310000000000004</v>
      </c>
      <c r="E18" s="60"/>
      <c r="F18" s="60"/>
      <c r="G18" s="20"/>
      <c r="H18" s="20"/>
    </row>
    <row r="19" spans="1:8" ht="14.45" customHeight="1">
      <c r="A19" s="3">
        <v>16</v>
      </c>
      <c r="B19" s="16" t="s">
        <v>50</v>
      </c>
      <c r="C19" s="3" t="s">
        <v>37</v>
      </c>
      <c r="D19" s="28">
        <v>5.7009999999999996</v>
      </c>
      <c r="E19" s="60"/>
      <c r="F19" s="60"/>
      <c r="G19" s="20"/>
      <c r="H19" s="20"/>
    </row>
    <row r="20" spans="1:8" ht="14.45" customHeight="1">
      <c r="A20" s="3">
        <v>18</v>
      </c>
      <c r="B20" s="16" t="s">
        <v>52</v>
      </c>
      <c r="C20" s="3" t="s">
        <v>37</v>
      </c>
      <c r="D20" s="28">
        <v>5.2919999999999998</v>
      </c>
      <c r="E20" s="60"/>
      <c r="F20" s="60"/>
      <c r="G20" s="20"/>
      <c r="H20" s="20"/>
    </row>
    <row r="21" spans="1:8" ht="14.45" customHeight="1">
      <c r="A21" s="3">
        <v>19</v>
      </c>
      <c r="B21" s="16" t="s">
        <v>53</v>
      </c>
      <c r="C21" s="3" t="s">
        <v>37</v>
      </c>
      <c r="D21" s="28">
        <v>5.7009999999999996</v>
      </c>
      <c r="E21" s="60"/>
      <c r="F21" s="60"/>
      <c r="G21" s="20"/>
      <c r="H21" s="20"/>
    </row>
    <row r="22" spans="1:8" ht="14.45" customHeight="1">
      <c r="A22" s="3">
        <v>20</v>
      </c>
      <c r="B22" s="16" t="s">
        <v>54</v>
      </c>
      <c r="C22" s="3" t="s">
        <v>37</v>
      </c>
      <c r="D22" s="28">
        <v>4.6900000000000004</v>
      </c>
      <c r="E22" s="60"/>
      <c r="F22" s="60"/>
      <c r="G22" s="20"/>
      <c r="H22" s="20"/>
    </row>
    <row r="23" spans="1:8" ht="15"/>
  </sheetData>
  <autoFilter ref="A1:D1" xr:uid="{F294EAD7-2207-4EA2-A633-F6E085B1F34F}">
    <sortState xmlns:xlrd2="http://schemas.microsoft.com/office/spreadsheetml/2017/richdata2" ref="A2:D22">
      <sortCondition ref="C1"/>
    </sortState>
  </autoFilter>
  <mergeCells count="4">
    <mergeCell ref="E2:E11"/>
    <mergeCell ref="E12:E22"/>
    <mergeCell ref="F2:F11"/>
    <mergeCell ref="F12:F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4339-CB2E-456F-9E8B-D4AB8A387792}">
  <dimension ref="A1:H23"/>
  <sheetViews>
    <sheetView workbookViewId="0">
      <selection activeCell="F2" sqref="F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 ht="15">
      <c r="A1" s="4" t="s">
        <v>28</v>
      </c>
      <c r="B1" s="4" t="s">
        <v>29</v>
      </c>
      <c r="C1" s="4" t="s">
        <v>30</v>
      </c>
      <c r="D1" s="4" t="s">
        <v>107</v>
      </c>
      <c r="E1" s="19" t="s">
        <v>108</v>
      </c>
      <c r="F1" s="19" t="s">
        <v>109</v>
      </c>
    </row>
    <row r="2" spans="1:8" ht="14.45" customHeight="1">
      <c r="A2" s="3">
        <v>1</v>
      </c>
      <c r="B2" s="15" t="s">
        <v>33</v>
      </c>
      <c r="C2" s="3" t="s">
        <v>34</v>
      </c>
      <c r="D2" s="28">
        <v>7.625</v>
      </c>
      <c r="E2" s="59">
        <f>AVERAGE(D2:D11)</f>
        <v>7.2750000000000004</v>
      </c>
      <c r="F2" s="59">
        <f>AVERAGE(E2:E11)</f>
        <v>7.2750000000000004</v>
      </c>
      <c r="G2" s="20"/>
      <c r="H2" s="20"/>
    </row>
    <row r="3" spans="1:8" ht="14.45" customHeight="1">
      <c r="A3" s="3">
        <v>2</v>
      </c>
      <c r="B3" s="16" t="s">
        <v>35</v>
      </c>
      <c r="C3" s="3" t="s">
        <v>34</v>
      </c>
      <c r="D3" s="28">
        <v>8.125</v>
      </c>
      <c r="E3" s="59"/>
      <c r="F3" s="59"/>
      <c r="G3" s="20"/>
      <c r="H3" s="20"/>
    </row>
    <row r="4" spans="1:8" ht="14.45" customHeight="1">
      <c r="A4" s="3">
        <v>4</v>
      </c>
      <c r="B4" s="16" t="s">
        <v>38</v>
      </c>
      <c r="C4" s="3" t="s">
        <v>34</v>
      </c>
      <c r="D4" s="28">
        <v>7.125</v>
      </c>
      <c r="E4" s="59"/>
      <c r="F4" s="59"/>
      <c r="G4" s="20"/>
      <c r="H4" s="20"/>
    </row>
    <row r="5" spans="1:8" ht="14.45" customHeight="1">
      <c r="A5" s="3">
        <v>6</v>
      </c>
      <c r="B5" s="16" t="s">
        <v>40</v>
      </c>
      <c r="C5" s="3" t="s">
        <v>34</v>
      </c>
      <c r="D5" s="28">
        <v>7.625</v>
      </c>
      <c r="E5" s="59"/>
      <c r="F5" s="59"/>
      <c r="G5" s="20"/>
      <c r="H5" s="20"/>
    </row>
    <row r="6" spans="1:8" ht="14.45" customHeight="1">
      <c r="A6" s="3">
        <v>9</v>
      </c>
      <c r="B6" s="16" t="s">
        <v>43</v>
      </c>
      <c r="C6" s="3" t="s">
        <v>34</v>
      </c>
      <c r="D6" s="28">
        <v>7.625</v>
      </c>
      <c r="E6" s="59"/>
      <c r="F6" s="59"/>
      <c r="G6" s="20"/>
      <c r="H6" s="20"/>
    </row>
    <row r="7" spans="1:8" ht="14.45" customHeight="1">
      <c r="A7" s="3">
        <v>10</v>
      </c>
      <c r="B7" s="16" t="s">
        <v>44</v>
      </c>
      <c r="C7" s="3" t="s">
        <v>34</v>
      </c>
      <c r="D7" s="28">
        <v>7.125</v>
      </c>
      <c r="E7" s="59"/>
      <c r="F7" s="59"/>
      <c r="G7" s="20"/>
      <c r="H7" s="20"/>
    </row>
    <row r="8" spans="1:8" ht="14.45" customHeight="1">
      <c r="A8" s="3">
        <v>13</v>
      </c>
      <c r="B8" s="16" t="s">
        <v>47</v>
      </c>
      <c r="C8" s="3" t="s">
        <v>34</v>
      </c>
      <c r="D8" s="28">
        <v>6.625</v>
      </c>
      <c r="E8" s="59"/>
      <c r="F8" s="59"/>
      <c r="G8" s="20"/>
      <c r="H8" s="20"/>
    </row>
    <row r="9" spans="1:8" ht="14.45" customHeight="1">
      <c r="A9" s="3">
        <v>14</v>
      </c>
      <c r="B9" s="16" t="s">
        <v>48</v>
      </c>
      <c r="C9" s="3" t="s">
        <v>34</v>
      </c>
      <c r="D9" s="28">
        <v>6.625</v>
      </c>
      <c r="E9" s="59"/>
      <c r="F9" s="59"/>
      <c r="G9" s="20"/>
      <c r="H9" s="20"/>
    </row>
    <row r="10" spans="1:8" ht="14.45" customHeight="1">
      <c r="A10" s="3">
        <v>17</v>
      </c>
      <c r="B10" s="16" t="s">
        <v>51</v>
      </c>
      <c r="C10" s="3" t="s">
        <v>34</v>
      </c>
      <c r="D10" s="28">
        <v>6.625</v>
      </c>
      <c r="E10" s="59"/>
      <c r="F10" s="59"/>
      <c r="G10" s="20"/>
      <c r="H10" s="20"/>
    </row>
    <row r="11" spans="1:8" ht="14.45" customHeight="1">
      <c r="A11" s="3">
        <v>21</v>
      </c>
      <c r="B11" s="16" t="s">
        <v>55</v>
      </c>
      <c r="C11" s="3" t="s">
        <v>34</v>
      </c>
      <c r="D11" s="28">
        <v>7.625</v>
      </c>
      <c r="E11" s="59"/>
      <c r="F11" s="59"/>
      <c r="G11" s="20"/>
      <c r="H11" s="20"/>
    </row>
    <row r="12" spans="1:8" ht="14.45" customHeight="1">
      <c r="A12" s="3">
        <v>3</v>
      </c>
      <c r="B12" s="16" t="s">
        <v>36</v>
      </c>
      <c r="C12" s="3" t="s">
        <v>37</v>
      </c>
      <c r="D12" s="28">
        <v>6.625</v>
      </c>
      <c r="E12" s="59">
        <f>AVERAGE(D12:D22)</f>
        <v>7.5340909090909092</v>
      </c>
      <c r="F12" s="59">
        <f>AVERAGE(E12:E22)</f>
        <v>7.5340909090909092</v>
      </c>
      <c r="G12" s="20"/>
      <c r="H12" s="20"/>
    </row>
    <row r="13" spans="1:8" ht="14.45" customHeight="1">
      <c r="A13" s="3">
        <v>5</v>
      </c>
      <c r="B13" s="16" t="s">
        <v>39</v>
      </c>
      <c r="C13" s="3" t="s">
        <v>37</v>
      </c>
      <c r="D13" s="28">
        <v>8.125</v>
      </c>
      <c r="E13" s="60"/>
      <c r="F13" s="60"/>
      <c r="G13" s="20"/>
      <c r="H13" s="20"/>
    </row>
    <row r="14" spans="1:8" ht="14.45" customHeight="1">
      <c r="A14" s="3">
        <v>7</v>
      </c>
      <c r="B14" s="16" t="s">
        <v>41</v>
      </c>
      <c r="C14" s="3" t="s">
        <v>37</v>
      </c>
      <c r="D14" s="28">
        <v>7.125</v>
      </c>
      <c r="E14" s="60"/>
      <c r="F14" s="60"/>
      <c r="G14" s="20"/>
      <c r="H14" s="20"/>
    </row>
    <row r="15" spans="1:8" ht="14.45" customHeight="1">
      <c r="A15" s="3">
        <v>8</v>
      </c>
      <c r="B15" s="16" t="s">
        <v>42</v>
      </c>
      <c r="C15" s="3" t="s">
        <v>37</v>
      </c>
      <c r="D15" s="28">
        <v>8.125</v>
      </c>
      <c r="E15" s="60"/>
      <c r="F15" s="60"/>
      <c r="G15" s="20"/>
      <c r="H15" s="20"/>
    </row>
    <row r="16" spans="1:8" ht="14.45" customHeight="1">
      <c r="A16" s="3">
        <v>11</v>
      </c>
      <c r="B16" s="16" t="s">
        <v>45</v>
      </c>
      <c r="C16" s="3" t="s">
        <v>37</v>
      </c>
      <c r="D16" s="28">
        <v>7.625</v>
      </c>
      <c r="E16" s="60"/>
      <c r="F16" s="60"/>
      <c r="G16" s="20"/>
      <c r="H16" s="20"/>
    </row>
    <row r="17" spans="1:8" ht="14.45" customHeight="1">
      <c r="A17" s="3">
        <v>12</v>
      </c>
      <c r="B17" s="16" t="s">
        <v>46</v>
      </c>
      <c r="C17" s="3" t="s">
        <v>37</v>
      </c>
      <c r="D17" s="28">
        <v>7.625</v>
      </c>
      <c r="E17" s="60"/>
      <c r="F17" s="60"/>
      <c r="G17" s="20"/>
      <c r="H17" s="20"/>
    </row>
    <row r="18" spans="1:8" ht="14.45" customHeight="1">
      <c r="A18" s="3">
        <v>15</v>
      </c>
      <c r="B18" s="16" t="s">
        <v>49</v>
      </c>
      <c r="C18" s="3" t="s">
        <v>37</v>
      </c>
      <c r="D18" s="28">
        <v>7.125</v>
      </c>
      <c r="E18" s="60"/>
      <c r="F18" s="60"/>
      <c r="G18" s="20"/>
      <c r="H18" s="20"/>
    </row>
    <row r="19" spans="1:8" ht="14.45" customHeight="1">
      <c r="A19" s="3">
        <v>16</v>
      </c>
      <c r="B19" s="16" t="s">
        <v>50</v>
      </c>
      <c r="C19" s="3" t="s">
        <v>37</v>
      </c>
      <c r="D19" s="28">
        <v>8.125</v>
      </c>
      <c r="E19" s="60"/>
      <c r="F19" s="60"/>
      <c r="G19" s="20"/>
      <c r="H19" s="20"/>
    </row>
    <row r="20" spans="1:8" ht="14.45" customHeight="1">
      <c r="A20" s="3">
        <v>18</v>
      </c>
      <c r="B20" s="16" t="s">
        <v>52</v>
      </c>
      <c r="C20" s="3" t="s">
        <v>37</v>
      </c>
      <c r="D20" s="28">
        <v>8.125</v>
      </c>
      <c r="E20" s="60"/>
      <c r="F20" s="60"/>
      <c r="G20" s="20"/>
      <c r="H20" s="20"/>
    </row>
    <row r="21" spans="1:8" ht="14.45" customHeight="1">
      <c r="A21" s="3">
        <v>19</v>
      </c>
      <c r="B21" s="16" t="s">
        <v>53</v>
      </c>
      <c r="C21" s="3" t="s">
        <v>37</v>
      </c>
      <c r="D21" s="28">
        <v>6.625</v>
      </c>
      <c r="E21" s="60"/>
      <c r="F21" s="60"/>
      <c r="G21" s="20"/>
      <c r="H21" s="20"/>
    </row>
    <row r="22" spans="1:8" ht="14.45" customHeight="1">
      <c r="A22" s="3">
        <v>20</v>
      </c>
      <c r="B22" s="16" t="s">
        <v>54</v>
      </c>
      <c r="C22" s="3" t="s">
        <v>37</v>
      </c>
      <c r="D22" s="28">
        <v>7.625</v>
      </c>
      <c r="E22" s="60"/>
      <c r="F22" s="60"/>
      <c r="G22" s="20"/>
      <c r="H22" s="20"/>
    </row>
    <row r="23" spans="1:8" ht="15"/>
  </sheetData>
  <autoFilter ref="A1:D1" xr:uid="{6981F627-9C8A-440F-9117-C65AEBF04DD7}">
    <sortState xmlns:xlrd2="http://schemas.microsoft.com/office/spreadsheetml/2017/richdata2" ref="A2:D22">
      <sortCondition ref="C1"/>
    </sortState>
  </autoFilter>
  <mergeCells count="4">
    <mergeCell ref="E2:E11"/>
    <mergeCell ref="E12:E22"/>
    <mergeCell ref="F2:F11"/>
    <mergeCell ref="F12:F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9965-22FD-46E3-B4CD-C48B16159E76}">
  <dimension ref="A2:O15"/>
  <sheetViews>
    <sheetView workbookViewId="0">
      <selection activeCell="J9" sqref="J9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43" t="s">
        <v>110</v>
      </c>
      <c r="B2" s="43" t="s">
        <v>111</v>
      </c>
      <c r="C2" s="44" t="s">
        <v>34</v>
      </c>
      <c r="D2" s="44"/>
      <c r="E2" s="44"/>
      <c r="F2" s="44" t="s">
        <v>37</v>
      </c>
      <c r="G2" s="44"/>
      <c r="H2" s="44"/>
    </row>
    <row r="3" spans="1:15">
      <c r="A3" s="43"/>
      <c r="B3" s="43"/>
      <c r="C3" s="29" t="s">
        <v>112</v>
      </c>
      <c r="D3" s="29" t="s">
        <v>113</v>
      </c>
      <c r="E3" s="29" t="s">
        <v>114</v>
      </c>
      <c r="F3" s="29" t="s">
        <v>112</v>
      </c>
      <c r="G3" s="29" t="s">
        <v>113</v>
      </c>
      <c r="H3" s="29" t="s">
        <v>114</v>
      </c>
    </row>
    <row r="4" spans="1:15">
      <c r="A4" s="30">
        <v>1</v>
      </c>
      <c r="B4" s="31" t="s">
        <v>115</v>
      </c>
      <c r="C4" s="32">
        <f>IFERROR(COUNTIFS(STR!$V:$V, Overview!C$2 &amp; " *", STR!$X:$X, "TRUE") / COUNTIFS(STR!$V:$V, Overview!C$2 &amp; " *"), 0)</f>
        <v>0.95454545454545459</v>
      </c>
      <c r="D4" s="33">
        <v>0.15</v>
      </c>
      <c r="E4" s="32">
        <f>D4*C4</f>
        <v>0.14318181818181819</v>
      </c>
      <c r="F4" s="32">
        <f>IFERROR(COUNTIFS(STR!$V:$V, Overview!F$2 &amp; " *", STR!$X:$X, "TRUE") / COUNTIFS(STR!$V:$V, Overview!F$2 &amp; " *"), 0)</f>
        <v>0.9</v>
      </c>
      <c r="G4" s="33">
        <v>0.15</v>
      </c>
      <c r="H4" s="34">
        <f>G4*F4</f>
        <v>0.13500000000000001</v>
      </c>
    </row>
    <row r="5" spans="1:15">
      <c r="A5" s="30">
        <v>2</v>
      </c>
      <c r="B5" s="31" t="s">
        <v>116</v>
      </c>
      <c r="C5" s="32">
        <f>1-AVERAGEIF('Bad Data'!$C:$C, Overview!C$2, 'Bad Data'!$D:$D)</f>
        <v>0.99689099999999997</v>
      </c>
      <c r="D5" s="33">
        <v>0.1</v>
      </c>
      <c r="E5" s="32">
        <f t="shared" ref="E5:E14" si="0">D5*C5</f>
        <v>9.9689100000000003E-2</v>
      </c>
      <c r="F5" s="32">
        <f>1-AVERAGEIF('Bad Data'!$C:$C, Overview!F$2, 'Bad Data'!$D:$D)</f>
        <v>0.99771272727272731</v>
      </c>
      <c r="G5" s="33">
        <v>0.1</v>
      </c>
      <c r="H5" s="34">
        <f t="shared" ref="H5:H14" si="1">G5*F5</f>
        <v>9.9771272727272736E-2</v>
      </c>
    </row>
    <row r="6" spans="1:15">
      <c r="A6" s="30">
        <v>3</v>
      </c>
      <c r="B6" s="31" t="s">
        <v>117</v>
      </c>
      <c r="C6" s="32">
        <f>AVERAGEIF('Pengkinian Data'!$C:$C, Overview!C$2, 'Pengkinian Data'!$D:$D)</f>
        <v>1</v>
      </c>
      <c r="D6" s="33">
        <v>0.1</v>
      </c>
      <c r="E6" s="32">
        <f t="shared" si="0"/>
        <v>0.1</v>
      </c>
      <c r="F6" s="32">
        <f>AVERAGEIF('Pengkinian Data'!$C:$C, Overview!F$2, 'Pengkinian Data'!$D:$D)</f>
        <v>1</v>
      </c>
      <c r="G6" s="33">
        <v>0.1</v>
      </c>
      <c r="H6" s="34">
        <f t="shared" si="1"/>
        <v>0.1</v>
      </c>
      <c r="O6" t="s">
        <v>25</v>
      </c>
    </row>
    <row r="7" spans="1:15">
      <c r="A7" s="30">
        <v>4</v>
      </c>
      <c r="B7" s="31" t="s">
        <v>118</v>
      </c>
      <c r="C7" s="32" cm="1">
        <f t="array" ref="C7">IFERROR(SUMPRODUCT(--('[3]Uji Petik'!$E$3:$E$73&lt;&gt;""), --('[3]Uji Petik'!$C$3:$C$73=C2)) / SUMPRODUCT(--('[3]Uji Petik'!$C$3:$C$73=C2)), 0)</f>
        <v>0</v>
      </c>
      <c r="D7" s="33">
        <v>0</v>
      </c>
      <c r="E7" s="32">
        <f t="shared" si="0"/>
        <v>0</v>
      </c>
      <c r="F7" s="32" cm="1">
        <f t="array" ref="F7">IFERROR(SUMPRODUCT(--('[3]Uji Petik'!$E$3:$E$73&lt;&gt;""), --('[3]Uji Petik'!$C$3:$C$73=F2)) / SUMPRODUCT(--('[3]Uji Petik'!$C$3:$C$73=F2)), 0)</f>
        <v>0</v>
      </c>
      <c r="G7" s="33">
        <v>0</v>
      </c>
      <c r="H7" s="34">
        <f t="shared" si="1"/>
        <v>0</v>
      </c>
    </row>
    <row r="8" spans="1:15">
      <c r="A8" s="30">
        <v>5</v>
      </c>
      <c r="B8" s="31" t="s">
        <v>119</v>
      </c>
      <c r="C8" s="35" cm="1">
        <f t="array" ref="C8">IFERROR(AVERAGE(IF([1]Sosialisasi!$C$1:$C$10000=C2, [1]Sosialisasi!$D$1:$D$10000)), 0)</f>
        <v>0.2</v>
      </c>
      <c r="D8" s="33">
        <v>0.15</v>
      </c>
      <c r="E8" s="32">
        <f t="shared" si="0"/>
        <v>0.03</v>
      </c>
      <c r="F8" s="35" cm="1">
        <f t="array" ref="F8">IFERROR(AVERAGE(IF([1]Sosialisasi!$C$1:$C$10000=F2, [1]Sosialisasi!$D$1:$D$10000)), 0)</f>
        <v>9.0909090909090912E-2</v>
      </c>
      <c r="G8" s="33">
        <v>0.15</v>
      </c>
      <c r="H8" s="34">
        <f t="shared" si="1"/>
        <v>1.3636363636363636E-2</v>
      </c>
    </row>
    <row r="9" spans="1:15">
      <c r="A9" s="30">
        <v>6</v>
      </c>
      <c r="B9" s="31" t="s">
        <v>120</v>
      </c>
      <c r="C9" s="32">
        <f>AVERAGEIF('EDD PEP PPATK'!$C:$C, Overview!C$2, 'EDD PEP PPATK'!$D:$D)</f>
        <v>0.99935483870967734</v>
      </c>
      <c r="D9" s="33">
        <v>0.1</v>
      </c>
      <c r="E9" s="32">
        <f t="shared" si="0"/>
        <v>9.9935483870967734E-2</v>
      </c>
      <c r="F9" s="32">
        <f>AVERAGEIF('EDD PEP PPATK'!$C:$C, Overview!F$2, 'EDD PEP PPATK'!$D:$D)</f>
        <v>0.99297280100851526</v>
      </c>
      <c r="G9" s="33">
        <v>0.1</v>
      </c>
      <c r="H9" s="34">
        <f t="shared" si="1"/>
        <v>9.9297280100851537E-2</v>
      </c>
    </row>
    <row r="10" spans="1:15">
      <c r="A10" s="30">
        <v>7</v>
      </c>
      <c r="B10" s="31" t="s">
        <v>121</v>
      </c>
      <c r="C10" s="32" cm="1">
        <f t="array" ref="C10">IF(IFERROR(AVERAGE(IF('[1]Sheet2 (2)'!$C$1:$C$10000=C$2, '[1]Sheet2 (2)'!$D$1:$D$10000)), 0)&gt;0.9, 1, IFERROR(AVERAGE(IF('[1]Sheet2 (2)'!$C$1:$C$10000=C$2, '[1]Sheet2 (2)'!$D$1:$D$10000)), 0))</f>
        <v>1</v>
      </c>
      <c r="D10" s="33">
        <v>0.05</v>
      </c>
      <c r="E10" s="32">
        <f t="shared" si="0"/>
        <v>0.05</v>
      </c>
      <c r="F10" s="32" cm="1">
        <f t="array" ref="F10">IF(IFERROR(AVERAGE(IF('[1]Sheet2 (2)'!$C$1:$C$10000=F$2, '[1]Sheet2 (2)'!$D$1:$D$10000)), 0)&gt;0.9, 1, IFERROR(AVERAGE(IF('[1]Sheet2 (2)'!$C$1:$C$10000=F$2, '[1]Sheet2 (2)'!$D$1:$D$10000)), 0))</f>
        <v>1</v>
      </c>
      <c r="G10" s="33">
        <v>0.05</v>
      </c>
      <c r="H10" s="34">
        <f t="shared" si="1"/>
        <v>0.05</v>
      </c>
    </row>
    <row r="11" spans="1:15">
      <c r="A11" s="30">
        <v>8</v>
      </c>
      <c r="B11" s="31" t="s">
        <v>122</v>
      </c>
      <c r="C11" s="32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33">
        <v>0.05</v>
      </c>
      <c r="E11" s="32">
        <f t="shared" si="0"/>
        <v>0.05</v>
      </c>
      <c r="F11" s="32" cm="1">
        <f t="array" ref="F11">IF(IFERROR(AVERAGE(IF('[1]Sheet2 (3)'!$C$1:$C$10000=F2, '[1]Sheet2 (3)'!$D$1:$D$10000)), 0)&gt;90, 1, IFERROR(AVERAGE(IF('[1]Sheet2 (3)'!$C$1:$C$10000=F2, '[1]Sheet2 (3)'!$D$1:$D$10000)), 0)/90)</f>
        <v>1</v>
      </c>
      <c r="G11" s="33">
        <v>0.05</v>
      </c>
      <c r="H11" s="34">
        <f t="shared" si="1"/>
        <v>0.05</v>
      </c>
    </row>
    <row r="12" spans="1:15">
      <c r="A12" s="30">
        <v>9</v>
      </c>
      <c r="B12" s="31" t="s">
        <v>123</v>
      </c>
      <c r="C12" s="32">
        <f>IF(AVERAGEIF('Nilai Maturitas'!$C:$C, Overview!C2, 'Nilai Maturitas'!$D:$D) &gt; 8, 110%, AVERAGEIF('Nilai Maturitas'!$C:$C, Overview!C2, 'Nilai Maturitas'!$D:$D)/8*100%)</f>
        <v>0.96766249999999998</v>
      </c>
      <c r="D12" s="33">
        <v>0.1</v>
      </c>
      <c r="E12" s="32">
        <f t="shared" si="0"/>
        <v>9.6766249999999998E-2</v>
      </c>
      <c r="F12" s="32">
        <f>IF(AVERAGEIF('Nilai Maturitas'!$C:$C, Overview!F2, 'Nilai Maturitas'!$D:$D) &gt; 8, 110%, AVERAGEIF('Nilai Maturitas'!$C:$C, Overview!F2, 'Nilai Maturitas'!$D:$D)/8*100%)</f>
        <v>0.8361590909090908</v>
      </c>
      <c r="G12" s="33">
        <v>0.1</v>
      </c>
      <c r="H12" s="34">
        <f t="shared" si="1"/>
        <v>8.3615909090909088E-2</v>
      </c>
    </row>
    <row r="13" spans="1:15">
      <c r="A13" s="30">
        <v>10</v>
      </c>
      <c r="B13" s="31" t="s">
        <v>124</v>
      </c>
      <c r="C13" s="32">
        <f>IF(AVERAGEIF('Maturitas Dashboard'!$C:$C, Overview!C$2, 'Maturitas Dashboard'!$D:$D) &gt; 8, 110%, AVERAGEIF('Maturitas Dashboard'!$C:$C, Overview!C$2, 'Maturitas Dashboard'!$D:$D)/8*100%)</f>
        <v>0.90937500000000004</v>
      </c>
      <c r="D13" s="33">
        <v>0.1</v>
      </c>
      <c r="E13" s="32">
        <f t="shared" si="0"/>
        <v>9.0937500000000004E-2</v>
      </c>
      <c r="F13" s="32">
        <f>IF(AVERAGEIF('Maturitas Dashboard'!$C:$C, Overview!F$2, 'Maturitas Dashboard'!$D:$D) &gt; 8, 110%, AVERAGEIF('Maturitas Dashboard'!$C:$C, Overview!F$2, 'Maturitas Dashboard'!$D:$D)/8*100%)</f>
        <v>0.94176136363636365</v>
      </c>
      <c r="G13" s="33">
        <v>0.1</v>
      </c>
      <c r="H13" s="34">
        <f t="shared" si="1"/>
        <v>9.4176136363636365E-2</v>
      </c>
    </row>
    <row r="14" spans="1:15">
      <c r="A14" s="36">
        <v>11</v>
      </c>
      <c r="B14" s="37" t="s">
        <v>125</v>
      </c>
      <c r="C14" s="38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39">
        <v>0.1</v>
      </c>
      <c r="E14" s="38">
        <f t="shared" si="0"/>
        <v>0.11000000000000001</v>
      </c>
      <c r="F14" s="38">
        <f>IF(AVERAGEIF('Penilaian Resiko'!$C:$C, Overview!F$2, 'Penilaian Resiko'!$D:$D) &lt; 5.8, 110%, IF(AVERAGEIF('Penilaian Resiko'!$C:$C, Overview!F$2, 'Penilaian Resiko'!$D:$D) &lt;7.4, 3/4*100%, 3/5*100%))</f>
        <v>1.1000000000000001</v>
      </c>
      <c r="G14" s="39">
        <v>0.1</v>
      </c>
      <c r="H14" s="40">
        <f t="shared" si="1"/>
        <v>0.11000000000000001</v>
      </c>
    </row>
    <row r="15" spans="1:15">
      <c r="A15" s="41"/>
      <c r="B15" s="41"/>
      <c r="C15" s="45" t="s">
        <v>126</v>
      </c>
      <c r="D15" s="46"/>
      <c r="E15" s="42">
        <f>SUM(E4:E14)</f>
        <v>0.87051015205278603</v>
      </c>
      <c r="F15" s="45" t="s">
        <v>126</v>
      </c>
      <c r="G15" s="46"/>
      <c r="H15" s="42">
        <f>SUM(H4:H14)</f>
        <v>0.83549696191903344</v>
      </c>
    </row>
  </sheetData>
  <mergeCells count="6">
    <mergeCell ref="C15:D15"/>
    <mergeCell ref="F15:G15"/>
    <mergeCell ref="A2:A3"/>
    <mergeCell ref="B2:B3"/>
    <mergeCell ref="C2:E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4035-A528-43EF-9562-6F501684904B}">
  <dimension ref="A2:O15"/>
  <sheetViews>
    <sheetView tabSelected="1" workbookViewId="0">
      <selection activeCell="F7" sqref="F7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43" t="s">
        <v>110</v>
      </c>
      <c r="B2" s="43" t="s">
        <v>111</v>
      </c>
      <c r="C2" s="44" t="s">
        <v>34</v>
      </c>
      <c r="D2" s="44"/>
      <c r="E2" s="44"/>
      <c r="F2" s="44" t="s">
        <v>37</v>
      </c>
      <c r="G2" s="44"/>
      <c r="H2" s="44"/>
    </row>
    <row r="3" spans="1:15">
      <c r="A3" s="43"/>
      <c r="B3" s="43"/>
      <c r="C3" s="29" t="s">
        <v>112</v>
      </c>
      <c r="D3" s="29" t="s">
        <v>113</v>
      </c>
      <c r="E3" s="29" t="s">
        <v>114</v>
      </c>
      <c r="F3" s="29" t="s">
        <v>112</v>
      </c>
      <c r="G3" s="29" t="s">
        <v>113</v>
      </c>
      <c r="H3" s="29" t="s">
        <v>114</v>
      </c>
    </row>
    <row r="4" spans="1:15">
      <c r="A4" s="30">
        <v>1</v>
      </c>
      <c r="B4" s="31" t="s">
        <v>115</v>
      </c>
      <c r="C4" s="32">
        <f>IFERROR(COUNTIFS(STR!$V:$V, Overview!C$2 &amp; " *", STR!$X:$X, "TRUE") / COUNTIFS(STR!$V:$V, Overview!C$2 &amp; " *"), 0)</f>
        <v>0.95454545454545459</v>
      </c>
      <c r="D4" s="33">
        <v>0.15</v>
      </c>
      <c r="E4" s="32">
        <f>D4*C4</f>
        <v>0.14318181818181819</v>
      </c>
      <c r="F4" s="32">
        <f>IFERROR(COUNTIFS(STR!$V:$V, Overview!F$2 &amp; " *", STR!$X:$X, "TRUE") / COUNTIFS(STR!$V:$V, Overview!F$2 &amp; " *"), 0)</f>
        <v>0.9</v>
      </c>
      <c r="G4" s="33">
        <v>0.15</v>
      </c>
      <c r="H4" s="34">
        <f>G4*F4</f>
        <v>0.13500000000000001</v>
      </c>
    </row>
    <row r="5" spans="1:15">
      <c r="A5" s="30">
        <v>2</v>
      </c>
      <c r="B5" s="31" t="s">
        <v>116</v>
      </c>
      <c r="C5" s="32">
        <f>1-AVERAGEIF('Bad Data'!$C:$C, 'Overview tanpa KPI'!C$2, 'Bad Data'!$D:$D)</f>
        <v>0.99689099999999997</v>
      </c>
      <c r="D5" s="33">
        <v>0.1</v>
      </c>
      <c r="E5" s="32">
        <f t="shared" ref="E5:E14" si="0">D5*C5</f>
        <v>9.9689100000000003E-2</v>
      </c>
      <c r="F5" s="32">
        <f>1-AVERAGEIF('Bad Data'!$C:$C, 'Overview tanpa KPI'!F$2, 'Bad Data'!$D:$D)</f>
        <v>0.99771272727272731</v>
      </c>
      <c r="G5" s="33">
        <v>0.1</v>
      </c>
      <c r="H5" s="34">
        <f t="shared" ref="H5:H14" si="1">G5*F5</f>
        <v>9.9771272727272736E-2</v>
      </c>
    </row>
    <row r="6" spans="1:15">
      <c r="A6" s="30">
        <v>3</v>
      </c>
      <c r="B6" s="31" t="s">
        <v>117</v>
      </c>
      <c r="C6" s="32">
        <f>AVERAGEIF('Pengkinian Data'!$C:$C, 'Overview tanpa KPI'!C$2, 'Pengkinian Data'!$D:$D)</f>
        <v>1</v>
      </c>
      <c r="D6" s="33">
        <v>0.1</v>
      </c>
      <c r="E6" s="32">
        <f t="shared" si="0"/>
        <v>0.1</v>
      </c>
      <c r="F6" s="32">
        <f>AVERAGEIF('Pengkinian Data'!$C:$C, 'Overview tanpa KPI'!F$2, 'Pengkinian Data'!$D:$D)</f>
        <v>1</v>
      </c>
      <c r="G6" s="33">
        <v>0.1</v>
      </c>
      <c r="H6" s="34">
        <f t="shared" si="1"/>
        <v>0.1</v>
      </c>
      <c r="O6" t="s">
        <v>25</v>
      </c>
    </row>
    <row r="7" spans="1:15">
      <c r="A7" s="30">
        <v>4</v>
      </c>
      <c r="B7" s="31" t="s">
        <v>118</v>
      </c>
      <c r="C7" s="32" cm="1">
        <f t="array" ref="C7">IFERROR(SUMPRODUCT(--('[3]Uji Petik'!$E$3:$E$73&lt;&gt;""), --('[3]Uji Petik'!$C$3:$C$73=C2)) / SUMPRODUCT(--('[3]Uji Petik'!$C$3:$C$73=C2)), 0)</f>
        <v>0</v>
      </c>
      <c r="D7" s="33">
        <v>0</v>
      </c>
      <c r="E7" s="32">
        <f t="shared" si="0"/>
        <v>0</v>
      </c>
      <c r="F7" s="32" cm="1">
        <f t="array" ref="F7">IFERROR(SUMPRODUCT(--('[3]Uji Petik'!$E$3:$E$73&lt;&gt;""), --('[3]Uji Petik'!$C$3:$C$73=F2)) / SUMPRODUCT(--('[3]Uji Petik'!$C$3:$C$73=F2)), 0)</f>
        <v>0</v>
      </c>
      <c r="G7" s="33">
        <v>0</v>
      </c>
      <c r="H7" s="34">
        <f t="shared" si="1"/>
        <v>0</v>
      </c>
    </row>
    <row r="8" spans="1:15">
      <c r="A8" s="30">
        <v>5</v>
      </c>
      <c r="B8" s="31" t="s">
        <v>119</v>
      </c>
      <c r="C8" s="35" cm="1">
        <f t="array" ref="C8">IFERROR(AVERAGE(IF([1]Sosialisasi!$C$1:$C$10000=C2, [1]Sosialisasi!$D$1:$D$10000)), 0)</f>
        <v>0.2</v>
      </c>
      <c r="D8" s="33">
        <v>0.15</v>
      </c>
      <c r="E8" s="32">
        <f t="shared" si="0"/>
        <v>0.03</v>
      </c>
      <c r="F8" s="35" cm="1">
        <f t="array" ref="F8">IFERROR(AVERAGE(IF([1]Sosialisasi!$C$1:$C$10000=F2, [1]Sosialisasi!$D$1:$D$10000)), 0)</f>
        <v>9.0909090909090912E-2</v>
      </c>
      <c r="G8" s="33">
        <v>0.15</v>
      </c>
      <c r="H8" s="34">
        <f t="shared" si="1"/>
        <v>1.3636363636363636E-2</v>
      </c>
    </row>
    <row r="9" spans="1:15">
      <c r="A9" s="30">
        <v>6</v>
      </c>
      <c r="B9" s="31" t="s">
        <v>120</v>
      </c>
      <c r="C9" s="32">
        <f>AVERAGEIF('EDD PEP PPATK'!$C:$C, 'Overview tanpa KPI'!C$2, 'EDD PEP PPATK'!$D:$D)</f>
        <v>0.99935483870967734</v>
      </c>
      <c r="D9" s="33">
        <v>0.1</v>
      </c>
      <c r="E9" s="32">
        <f t="shared" si="0"/>
        <v>9.9935483870967734E-2</v>
      </c>
      <c r="F9" s="32">
        <f>AVERAGEIF('EDD PEP PPATK'!$C:$C, 'Overview tanpa KPI'!F$2, 'EDD PEP PPATK'!$D:$D)</f>
        <v>0.99297280100851526</v>
      </c>
      <c r="G9" s="33">
        <v>0.1</v>
      </c>
      <c r="H9" s="34">
        <f t="shared" si="1"/>
        <v>9.9297280100851537E-2</v>
      </c>
    </row>
    <row r="10" spans="1:15">
      <c r="A10" s="30">
        <v>7</v>
      </c>
      <c r="B10" s="31" t="s">
        <v>121</v>
      </c>
      <c r="C10" s="32" cm="1">
        <f t="array" ref="C10">IFERROR(AVERAGE(IF('[1]Sheet2 (2)'!$C$1:$C$10000=C$2, '[1]Sheet2 (2)'!$D$1:$D$10000)), 0)</f>
        <v>0.922416199539143</v>
      </c>
      <c r="D10" s="33">
        <v>0.05</v>
      </c>
      <c r="E10" s="32">
        <f t="shared" si="0"/>
        <v>4.6120809976957153E-2</v>
      </c>
      <c r="F10" s="32" cm="1">
        <f t="array" ref="F10">IFERROR(AVERAGE(IF('[1]Sheet2 (2)'!$C$1:$C$10000=F$2, '[1]Sheet2 (2)'!$D$1:$D$10000)), 0)</f>
        <v>0.92336483453226537</v>
      </c>
      <c r="G10" s="33">
        <v>0.05</v>
      </c>
      <c r="H10" s="34">
        <f t="shared" si="1"/>
        <v>4.6168241726613268E-2</v>
      </c>
    </row>
    <row r="11" spans="1:15">
      <c r="A11" s="30">
        <v>8</v>
      </c>
      <c r="B11" s="31" t="s">
        <v>122</v>
      </c>
      <c r="C11" s="32" cm="1">
        <f t="array" ref="C11">IFERROR(AVERAGE(IF('[1]Sheet2 (3)'!$C$1:$C$10000=C2, '[1]Sheet2 (3)'!$D$1:$D$10000)), 0)</f>
        <v>96.763281852000006</v>
      </c>
      <c r="D11" s="33">
        <v>0.05</v>
      </c>
      <c r="E11" s="32">
        <f t="shared" si="0"/>
        <v>4.8381640926000005</v>
      </c>
      <c r="F11" s="32" cm="1">
        <f t="array" ref="F11">IFERROR(AVERAGE(IF('[1]Sheet2 (3)'!$C$1:$C$10000=F2, '[1]Sheet2 (3)'!$D$1:$D$10000)), 0)</f>
        <v>96.791230033636353</v>
      </c>
      <c r="G11" s="33">
        <v>0.05</v>
      </c>
      <c r="H11" s="34">
        <f t="shared" si="1"/>
        <v>4.8395615016818176</v>
      </c>
    </row>
    <row r="12" spans="1:15">
      <c r="A12" s="30">
        <v>9</v>
      </c>
      <c r="B12" s="31" t="s">
        <v>123</v>
      </c>
      <c r="C12" s="32">
        <f>AVERAGEIF('Nilai Maturitas'!$C:$C, 'Overview tanpa KPI'!C2, 'Nilai Maturitas'!$D:$D)</f>
        <v>7.7412999999999998</v>
      </c>
      <c r="D12" s="33">
        <v>0.1</v>
      </c>
      <c r="E12" s="32">
        <f t="shared" si="0"/>
        <v>0.77412999999999998</v>
      </c>
      <c r="F12" s="32">
        <f>AVERAGEIF('Nilai Maturitas'!$C:$C, 'Overview tanpa KPI'!F2, 'Nilai Maturitas'!$D:$D)</f>
        <v>6.6892727272727264</v>
      </c>
      <c r="G12" s="33">
        <v>0.1</v>
      </c>
      <c r="H12" s="34">
        <f t="shared" si="1"/>
        <v>0.6689272727272727</v>
      </c>
    </row>
    <row r="13" spans="1:15">
      <c r="A13" s="30">
        <v>10</v>
      </c>
      <c r="B13" s="31" t="s">
        <v>124</v>
      </c>
      <c r="C13" s="32">
        <f>AVERAGEIF('Maturitas Dashboard'!$C:$C, 'Overview tanpa KPI'!C$2, 'Maturitas Dashboard'!$D:$D)</f>
        <v>7.2750000000000004</v>
      </c>
      <c r="D13" s="33">
        <v>0.1</v>
      </c>
      <c r="E13" s="32">
        <f t="shared" si="0"/>
        <v>0.72750000000000004</v>
      </c>
      <c r="F13" s="32">
        <f>AVERAGEIF('Maturitas Dashboard'!$C:$C, 'Overview tanpa KPI'!F$2, 'Maturitas Dashboard'!$D:$D)</f>
        <v>7.5340909090909092</v>
      </c>
      <c r="G13" s="33">
        <v>0.1</v>
      </c>
      <c r="H13" s="34">
        <f t="shared" si="1"/>
        <v>0.75340909090909092</v>
      </c>
    </row>
    <row r="14" spans="1:15">
      <c r="A14" s="36">
        <v>11</v>
      </c>
      <c r="B14" s="37" t="s">
        <v>125</v>
      </c>
      <c r="C14" s="38">
        <f>AVERAGEIF('Penilaian Resiko'!$C:$C, 'Overview tanpa KPI'!C$2, 'Penilaian Resiko'!$D:$D)</f>
        <v>5.1740000000000004</v>
      </c>
      <c r="D14" s="39">
        <v>0.1</v>
      </c>
      <c r="E14" s="38">
        <f t="shared" si="0"/>
        <v>0.51740000000000008</v>
      </c>
      <c r="F14" s="38">
        <f>AVERAGEIF('Penilaian Resiko'!$C:$C, 'Overview tanpa KPI'!F$2, 'Penilaian Resiko'!$D:$D)</f>
        <v>5.253454545454546</v>
      </c>
      <c r="G14" s="39">
        <v>0.1</v>
      </c>
      <c r="H14" s="40">
        <f t="shared" si="1"/>
        <v>0.52534545454545467</v>
      </c>
    </row>
    <row r="15" spans="1:15">
      <c r="A15" s="41"/>
      <c r="B15" s="41"/>
      <c r="C15" s="45" t="s">
        <v>126</v>
      </c>
      <c r="D15" s="46"/>
      <c r="E15" s="42">
        <f>SUM(E4:E14)</f>
        <v>7.376121304629744</v>
      </c>
      <c r="F15" s="45" t="s">
        <v>126</v>
      </c>
      <c r="G15" s="46"/>
      <c r="H15" s="42">
        <f>SUM(H4:H14)</f>
        <v>7.2811164780547371</v>
      </c>
    </row>
  </sheetData>
  <mergeCells count="6">
    <mergeCell ref="A2:A3"/>
    <mergeCell ref="B2:B3"/>
    <mergeCell ref="C2:E2"/>
    <mergeCell ref="F2:H2"/>
    <mergeCell ref="C15:D15"/>
    <mergeCell ref="F15:G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2026-09-29T02:04:33Z</dcterms:modified>
  <cp:category/>
  <cp:contentStatus/>
</cp:coreProperties>
</file>