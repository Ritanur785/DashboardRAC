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679" documentId="13_ncr:1_{8D5DEA94-A7DC-46B6-BE7B-72D8B9AF59A9}" xr6:coauthVersionLast="47" xr6:coauthVersionMax="47" xr10:uidLastSave="{51A26B07-E411-4281-930D-C36A846352E1}"/>
  <bookViews>
    <workbookView xWindow="-108" yWindow="-108" windowWidth="23256" windowHeight="12456" tabRatio="675" firstSheet="1" activeTab="10" xr2:uid="{28B6D053-1D7F-4EEF-8978-633F77751EF4}"/>
  </bookViews>
  <sheets>
    <sheet name="STR" sheetId="5" r:id="rId1"/>
    <sheet name="EDD PEP PPATK" sheetId="1" r:id="rId2"/>
    <sheet name="Bad Data" sheetId="10" r:id="rId3"/>
    <sheet name="Pengkinian Data" sheetId="13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9" r:id="rId9"/>
    <sheet name="Overview" sheetId="14" r:id="rId10"/>
    <sheet name="Overview tanpa KPI" sheetId="15" r:id="rId11"/>
    <sheet name="Overview KPI" sheetId="16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2" hidden="1">'Bad Data'!$A$2:$D$2</definedName>
    <definedName name="_xlnm._FilterDatabase" localSheetId="1" hidden="1">'EDD PEP PPATK'!$A$2:$D$2</definedName>
    <definedName name="_xlnm._FilterDatabase" localSheetId="8" hidden="1">'Maturitas Dashboard'!$A$1:$D$23</definedName>
    <definedName name="_xlnm._FilterDatabase" localSheetId="6" hidden="1">'Nilai Maturitas'!$A$1:$D$1</definedName>
    <definedName name="_xlnm._FilterDatabase" localSheetId="3" hidden="1">'Pengkinian Data'!$A$2:$D$2</definedName>
    <definedName name="_xlnm._FilterDatabase" localSheetId="7" hidden="1">'Penilaian Resiko'!$A$1:$D$23</definedName>
    <definedName name="BO">#REF!</definedName>
    <definedName name="Medan">#REF!</definedName>
    <definedName name="Padang">#REF!</definedName>
    <definedName name="Palembang">#REF!</definedName>
    <definedName name="Pekanbaru">#REF!</definedName>
    <definedName name="R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7" i="15" l="1" a="1"/>
  <c r="F7" i="15" s="1"/>
  <c r="C7" i="15" a="1"/>
  <c r="C7" i="15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F9" i="14"/>
  <c r="H9" i="14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F5" i="15"/>
  <c r="H5" i="15" s="1"/>
  <c r="D23" i="13"/>
  <c r="D24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3" i="13"/>
  <c r="E3" i="13" s="1"/>
  <c r="F15" i="16"/>
  <c r="H15" i="16" s="1"/>
  <c r="F14" i="16"/>
  <c r="H14" i="16" s="1"/>
  <c r="F13" i="16"/>
  <c r="H13" i="16" s="1"/>
  <c r="F12" i="16" a="1"/>
  <c r="F12" i="16" s="1"/>
  <c r="H12" i="16" s="1"/>
  <c r="F11" i="16" a="1"/>
  <c r="F11" i="16" s="1"/>
  <c r="H11" i="16" s="1"/>
  <c r="F10" i="16"/>
  <c r="H10" i="16" s="1"/>
  <c r="F9" i="16" a="1"/>
  <c r="F9" i="16" s="1"/>
  <c r="H9" i="16" s="1"/>
  <c r="F7" i="16"/>
  <c r="H7" i="16" s="1"/>
  <c r="C6" i="16"/>
  <c r="C7" i="16"/>
  <c r="E7" i="16" s="1"/>
  <c r="C8" i="16"/>
  <c r="C10" i="16"/>
  <c r="C13" i="16"/>
  <c r="C14" i="16"/>
  <c r="C15" i="16"/>
  <c r="E15" i="16"/>
  <c r="E14" i="16"/>
  <c r="E13" i="16"/>
  <c r="C12" i="16" a="1"/>
  <c r="C12" i="16" s="1"/>
  <c r="E12" i="16" s="1"/>
  <c r="C11" i="16" a="1"/>
  <c r="C11" i="16" s="1"/>
  <c r="E11" i="16" s="1"/>
  <c r="E10" i="16"/>
  <c r="C9" i="16" a="1"/>
  <c r="C9" i="16" s="1"/>
  <c r="E9" i="16" s="1"/>
  <c r="E8" i="16"/>
  <c r="E6" i="16"/>
  <c r="F8" i="16" s="1"/>
  <c r="H8" i="16" s="1"/>
  <c r="C6" i="15"/>
  <c r="E6" i="15" s="1"/>
  <c r="F6" i="15"/>
  <c r="C9" i="15"/>
  <c r="C12" i="15"/>
  <c r="F12" i="15"/>
  <c r="C13" i="15"/>
  <c r="F13" i="15"/>
  <c r="C14" i="15"/>
  <c r="F14" i="15"/>
  <c r="C5" i="15"/>
  <c r="E5" i="15" s="1"/>
  <c r="H7" i="15" s="1"/>
  <c r="H14" i="15"/>
  <c r="E14" i="15"/>
  <c r="H13" i="15"/>
  <c r="E13" i="15"/>
  <c r="H12" i="15"/>
  <c r="E12" i="15"/>
  <c r="F11" i="15" a="1"/>
  <c r="F11" i="15" s="1"/>
  <c r="H11" i="15" s="1"/>
  <c r="C11" i="15" a="1"/>
  <c r="C11" i="15" s="1"/>
  <c r="E11" i="15" s="1"/>
  <c r="F10" i="15" a="1"/>
  <c r="F10" i="15" s="1"/>
  <c r="H10" i="15" s="1"/>
  <c r="C10" i="15" a="1"/>
  <c r="C10" i="15" s="1"/>
  <c r="E10" i="15" s="1"/>
  <c r="E9" i="15"/>
  <c r="F8" i="15" a="1"/>
  <c r="F8" i="15" s="1"/>
  <c r="H8" i="15" s="1"/>
  <c r="C8" i="15" a="1"/>
  <c r="C8" i="15" s="1"/>
  <c r="E8" i="15" s="1"/>
  <c r="E7" i="15"/>
  <c r="H6" i="15"/>
  <c r="C5" i="14"/>
  <c r="C6" i="14"/>
  <c r="F6" i="14"/>
  <c r="H6" i="14" s="1"/>
  <c r="C7" i="14"/>
  <c r="C9" i="14"/>
  <c r="E9" i="14" s="1"/>
  <c r="C12" i="14"/>
  <c r="F12" i="14"/>
  <c r="C13" i="14"/>
  <c r="F13" i="14"/>
  <c r="C14" i="14"/>
  <c r="F14" i="14"/>
  <c r="H14" i="14"/>
  <c r="E14" i="14"/>
  <c r="H13" i="14"/>
  <c r="E13" i="14"/>
  <c r="H12" i="14"/>
  <c r="E12" i="14"/>
  <c r="F11" i="14" a="1"/>
  <c r="F11" i="14" s="1"/>
  <c r="H11" i="14" s="1"/>
  <c r="C11" i="14" a="1"/>
  <c r="C11" i="14" s="1"/>
  <c r="E11" i="14" s="1"/>
  <c r="F10" i="14" a="1"/>
  <c r="F10" i="14" s="1"/>
  <c r="H10" i="14" s="1"/>
  <c r="C10" i="14" a="1"/>
  <c r="C10" i="14" s="1"/>
  <c r="E10" i="14" s="1"/>
  <c r="F8" i="14" a="1"/>
  <c r="F8" i="14" s="1"/>
  <c r="H8" i="14" s="1"/>
  <c r="C8" i="14" a="1"/>
  <c r="C8" i="14" s="1"/>
  <c r="E8" i="14" s="1"/>
  <c r="E7" i="14"/>
  <c r="E6" i="14"/>
  <c r="E5" i="14"/>
  <c r="F7" i="14" s="1"/>
  <c r="H7" i="14" s="1"/>
  <c r="E14" i="10"/>
  <c r="X6" i="5"/>
  <c r="E14" i="1"/>
  <c r="E3" i="1"/>
  <c r="X3" i="5"/>
  <c r="X4" i="5"/>
  <c r="X5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" i="5"/>
  <c r="C4" i="16" s="1"/>
  <c r="E4" i="16" s="1"/>
  <c r="E14" i="13"/>
  <c r="E3" i="10"/>
  <c r="AB6" i="5"/>
  <c r="AB3" i="5"/>
  <c r="AB2" i="5"/>
  <c r="AB4" i="5" s="1"/>
  <c r="E13" i="9"/>
  <c r="E2" i="9"/>
  <c r="E2" i="7"/>
  <c r="E13" i="7"/>
  <c r="E13" i="6"/>
  <c r="E2" i="6"/>
  <c r="A2" i="5" a="1"/>
  <c r="F9" i="15" l="1"/>
  <c r="H9" i="15" s="1"/>
  <c r="F5" i="14"/>
  <c r="H5" i="14" s="1"/>
  <c r="F6" i="16"/>
  <c r="H6" i="16" s="1"/>
  <c r="AC2" i="5"/>
  <c r="AC3" i="5"/>
  <c r="AC4" i="5"/>
  <c r="AC5" i="5"/>
  <c r="AC6" i="5"/>
  <c r="AC7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F5" i="16" s="1"/>
  <c r="H5" i="16" s="1"/>
  <c r="AC8" i="5"/>
  <c r="Y2" i="5"/>
  <c r="F4" i="16"/>
  <c r="H4" i="16" s="1"/>
  <c r="C4" i="14"/>
  <c r="E4" i="14" s="1"/>
  <c r="C4" i="15"/>
  <c r="E4" i="15" s="1"/>
  <c r="E15" i="15" s="1"/>
  <c r="F4" i="15"/>
  <c r="H4" i="15" s="1"/>
  <c r="F4" i="14"/>
  <c r="H4" i="14" s="1"/>
  <c r="H15" i="14" s="1"/>
  <c r="E15" i="14"/>
  <c r="AB5" i="5"/>
  <c r="AB7" i="5" s="1"/>
  <c r="A2" i="5"/>
  <c r="C5" i="16" l="1"/>
  <c r="E5" i="16" s="1"/>
  <c r="E16" i="16" s="1"/>
  <c r="H15" i="15"/>
  <c r="H16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<sst xmlns="http://schemas.openxmlformats.org/spreadsheetml/2006/main" count="514" uniqueCount="143">
  <si>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</si>
  <si>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</si>
  <si>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</si>
  <si>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</si>
  <si>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</si>
  <si>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</si>
  <si>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</si>
  <si>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</si>
  <si>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</si>
  <si>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</si>
  <si>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</si>
  <si>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</si>
  <si>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</si>
  <si>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</si>
  <si>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</si>
  <si>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</si>
  <si>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</si>
  <si>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</si>
  <si>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</si>
  <si>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</si>
  <si>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</si>
  <si>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</si>
  <si>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</si>
  <si>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</si>
  <si>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Reifika Dekrin</t>
  </si>
  <si>
    <t>15/09/2026</t>
  </si>
  <si>
    <t>TL Done</t>
  </si>
  <si>
    <t> </t>
  </si>
  <si>
    <t>Total Diposisi</t>
  </si>
  <si>
    <t>Hany Pratiwi</t>
  </si>
  <si>
    <t>% Done</t>
  </si>
  <si>
    <t>14/09/2026</t>
  </si>
  <si>
    <t>31/08/2026</t>
  </si>
  <si>
    <t>Dikerjakan Kanpus, oleh Frida Akbar Rani</t>
  </si>
  <si>
    <t>24/08/2026</t>
  </si>
  <si>
    <t>31/08/2029</t>
  </si>
  <si>
    <t>26/08/2026</t>
  </si>
  <si>
    <t>21/08/2026</t>
  </si>
  <si>
    <t>28/08/2026</t>
  </si>
  <si>
    <t>20/08/2026</t>
  </si>
  <si>
    <t>No.</t>
  </si>
  <si>
    <t>Unit Kerja</t>
  </si>
  <si>
    <t>PIC RAC</t>
  </si>
  <si>
    <t>%PEP TL Done</t>
  </si>
  <si>
    <t>Average</t>
  </si>
  <si>
    <t>KC Bangkinang</t>
  </si>
  <si>
    <t>KC Batam Nagoya</t>
  </si>
  <si>
    <t>KC Pasir Pengaraian</t>
  </si>
  <si>
    <t>KC Pekanbaru Lancang Kuning</t>
  </si>
  <si>
    <t>KC Pekanbaru Tuanku Tambusai</t>
  </si>
  <si>
    <t>KC Perawang</t>
  </si>
  <si>
    <t>KC Selat Panjang</t>
  </si>
  <si>
    <t>KC Tanjung Pinang</t>
  </si>
  <si>
    <t>KC Teluk Kuantan</t>
  </si>
  <si>
    <t>KC Tembilahan</t>
  </si>
  <si>
    <t>KC Ujung Batu</t>
  </si>
  <si>
    <t>KC Bagan Batu</t>
  </si>
  <si>
    <t>KC Bagan siapi api</t>
  </si>
  <si>
    <t>KC Batam Center</t>
  </si>
  <si>
    <t>KC Bengkalis</t>
  </si>
  <si>
    <t>KC Dumai</t>
  </si>
  <si>
    <t>KC Duri</t>
  </si>
  <si>
    <t>KC Pangkalan Kerinci</t>
  </si>
  <si>
    <t>KC Pekanbaru Sudirman</t>
  </si>
  <si>
    <t>KC Rengat</t>
  </si>
  <si>
    <t>KC Siak</t>
  </si>
  <si>
    <t>KC Tanjung Balai Karimun</t>
  </si>
  <si>
    <t>Bad Data</t>
  </si>
  <si>
    <t>%Pengkinian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</si>
  <si>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</si>
  <si>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</si>
  <si>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</si>
  <si>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</si>
  <si>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</si>
  <si>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</si>
  <si>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</si>
  <si>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</si>
  <si>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</si>
  <si>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</si>
  <si>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</si>
  <si>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</si>
  <si>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</si>
  <si>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</si>
  <si>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</si>
  <si>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</si>
  <si>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</si>
  <si>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</si>
  <si>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</si>
  <si>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</si>
  <si>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</si>
  <si>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</si>
  <si>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</si>
  <si>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</si>
  <si>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</si>
  <si>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</si>
  <si>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</si>
  <si>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</si>
  <si>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</si>
  <si>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</si>
  <si>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</si>
  <si>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</si>
  <si>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</si>
  <si>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</si>
  <si>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</si>
  <si>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</si>
  <si>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</si>
  <si>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</si>
  <si>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</si>
  <si>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</si>
  <si>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**https://bri2-my.sharepoint.com/:f:/g/personal/00136153_hq_bri_co_id/IgB-hJNPUDAbTa_K1yXpXfOpASmrhaAtHVRVdN0baGKUVXQ?e=Tj6JES</t>
  </si>
  <si>
    <t>4.Kertas Kerja</t>
  </si>
  <si>
    <t>5. Laporan Uji Petik</t>
  </si>
  <si>
    <t>Nilai maturitas</t>
  </si>
  <si>
    <t>Rating maturitas</t>
  </si>
  <si>
    <t>B</t>
  </si>
  <si>
    <t>KC Bagansiapiapi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</si>
  <si>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</si>
  <si>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</si>
  <si>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</si>
  <si>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</si>
  <si>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</si>
  <si>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</si>
  <si>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</si>
  <si>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Sangat Baik</t>
  </si>
  <si>
    <t>No</t>
  </si>
  <si>
    <t>Aspek Penilaian</t>
  </si>
  <si>
    <t>Nilai</t>
  </si>
  <si>
    <t>Bobot</t>
  </si>
  <si>
    <t>Score</t>
  </si>
  <si>
    <t xml:space="preserve">STR </t>
  </si>
  <si>
    <t>Pengkinian Data</t>
  </si>
  <si>
    <t>.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</si>
  <si>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</si>
  <si>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</si>
  <si>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</si>
  <si>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</si>
  <si>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</si>
  <si>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</si>
  <si>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</si>
  <si>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</si>
  <si>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</si>
  <si>
    <t>Bobotan</t>
  </si>
  <si>
    <t>Kualitas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</si>
</sst>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%"/>
    <numFmt numFmtId="166" formatCode="0.000"/>
    <numFmt numFmtId="167" formatCode="0.0%"/>
  </numFmts>
  <fonts count="1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Segoe UI"/>
      <family val="2"/>
    </font>
    <font>
      <sz val="11"/>
      <name val="Calibri"/>
      <family val="2"/>
    </font>
    <font>
      <sz val="11"/>
      <color theme="1"/>
      <name val="inter"/>
    </font>
    <font>
      <b/>
      <sz val="11"/>
      <color theme="1"/>
      <name val="inte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/>
  </cellStyleXfs>
  <cellXfs count="77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6" fillId="0" borderId="5" xfId="0" applyFont="1" applyBorder="1"/>
    <xf numFmtId="0" fontId="6" fillId="0" borderId="7" xfId="0" applyFont="1" applyBorder="1"/>
    <xf numFmtId="0" fontId="7" fillId="0" borderId="1" xfId="0" applyFont="1" applyBorder="1"/>
    <xf numFmtId="0" fontId="7" fillId="0" borderId="8" xfId="0" applyFont="1" applyBorder="1"/>
    <xf numFmtId="0" fontId="7" fillId="5" borderId="3" xfId="0" applyFont="1" applyFill="1" applyBorder="1"/>
    <xf numFmtId="0" fontId="7" fillId="5" borderId="6" xfId="0" applyFont="1" applyFill="1" applyBorder="1"/>
    <xf numFmtId="14" fontId="7" fillId="5" borderId="6" xfId="0" applyNumberFormat="1" applyFont="1" applyFill="1" applyBorder="1"/>
    <xf numFmtId="0" fontId="7" fillId="5" borderId="9" xfId="0" applyFont="1" applyFill="1" applyBorder="1"/>
    <xf numFmtId="0" fontId="7" fillId="6" borderId="0" xfId="0" applyFont="1" applyFill="1"/>
    <xf numFmtId="0" fontId="7" fillId="0" borderId="0" xfId="0" applyFont="1"/>
    <xf numFmtId="9" fontId="0" fillId="0" borderId="0" xfId="1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7" fillId="0" borderId="13" xfId="0" applyFont="1" applyBorder="1"/>
    <xf numFmtId="0" fontId="7" fillId="0" borderId="14" xfId="0" applyFont="1" applyBorder="1"/>
    <xf numFmtId="10" fontId="0" fillId="0" borderId="1" xfId="1" applyNumberFormat="1" applyFont="1" applyBorder="1"/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5" fontId="1" fillId="2" borderId="13" xfId="0" applyNumberFormat="1" applyFont="1" applyFill="1" applyBorder="1"/>
    <xf numFmtId="15" fontId="1" fillId="2" borderId="17" xfId="0" applyNumberFormat="1" applyFont="1" applyFill="1" applyBorder="1"/>
    <xf numFmtId="164" fontId="11" fillId="0" borderId="0" xfId="1" applyNumberFormat="1" applyFont="1"/>
    <xf numFmtId="0" fontId="0" fillId="0" borderId="18" xfId="0" applyBorder="1"/>
    <xf numFmtId="0" fontId="6" fillId="0" borderId="18" xfId="0" applyFont="1" applyBorder="1"/>
    <xf numFmtId="0" fontId="7" fillId="0" borderId="18" xfId="0" applyFont="1" applyBorder="1"/>
    <xf numFmtId="164" fontId="10" fillId="0" borderId="18" xfId="1" applyNumberFormat="1" applyFont="1" applyBorder="1" applyAlignment="1">
      <alignment horizontal="right" vertical="center" wrapText="1" readingOrder="1"/>
    </xf>
    <xf numFmtId="0" fontId="12" fillId="7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/>
    </xf>
    <xf numFmtId="166" fontId="12" fillId="0" borderId="3" xfId="0" applyNumberFormat="1" applyFont="1" applyBorder="1" applyAlignment="1">
      <alignment horizontal="center"/>
    </xf>
    <xf numFmtId="9" fontId="12" fillId="0" borderId="3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0" fontId="12" fillId="4" borderId="4" xfId="0" applyFont="1" applyFill="1" applyBorder="1" applyAlignment="1">
      <alignment horizontal="center"/>
    </xf>
    <xf numFmtId="166" fontId="12" fillId="0" borderId="4" xfId="0" applyNumberFormat="1" applyFont="1" applyBorder="1" applyAlignment="1">
      <alignment horizontal="center"/>
    </xf>
    <xf numFmtId="9" fontId="12" fillId="0" borderId="4" xfId="0" applyNumberFormat="1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10" fontId="13" fillId="8" borderId="3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center"/>
    </xf>
    <xf numFmtId="167" fontId="12" fillId="0" borderId="3" xfId="0" applyNumberFormat="1" applyFont="1" applyBorder="1" applyAlignment="1">
      <alignment horizontal="center"/>
    </xf>
    <xf numFmtId="167" fontId="12" fillId="0" borderId="4" xfId="0" applyNumberFormat="1" applyFont="1" applyBorder="1" applyAlignment="1">
      <alignment horizontal="center"/>
    </xf>
    <xf numFmtId="1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1" fillId="2" borderId="1" xfId="0" applyNumberFormat="1" applyFont="1" applyFill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5" fontId="1" fillId="2" borderId="12" xfId="0" applyNumberFormat="1" applyFont="1" applyFill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27DBE011-F8D6-4B3A-B0ED-958B7C05A57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microsoft.com/office/2022/11/relationships/FeaturePropertyBag" Target="featurePropertyBag/featurePropertyBag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RAC%20Team/Moneva%20Update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2%20-%20Pekanbaru/Data%20Evaluasi%20Pekanbaru.xlsx" TargetMode="External"/><Relationship Id="rId2" Type="http://schemas.openxmlformats.org/officeDocument/2006/relationships/externalLinkPath" Target="https://bri2-my.sharepoint.com/personal/00136153_hq_bri_co_id/Documents/Assurance%20Team/RAC%20Team/Moneva/Region%202%20-%20Pekanbaru/Data%20Evaluasi%20Pekanbaru.xlsx" TargetMode="External"/><Relationship Id="rId1" Type="http://schemas.openxmlformats.org/officeDocument/2006/relationships/externalLinkPath" Target="/personal/00136153_hq_bri_co_id/Documents/Assurance%20Team/RAC%20Team/Moneva/Region%202%20-%20Pekanbaru/Data%20Evaluasi%20Pekanbaru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TKM/2.%20Penilaian%20Region%202%20Yogyakarta.xlsx" TargetMode="External"/><Relationship Id="rId1" Type="http://schemas.openxmlformats.org/officeDocument/2006/relationships/externalLinkPath" Target="/personal/00136153_hq_bri_co_id/Documents/Assurance%20Team/00%20-%20Data%20RAC/LTKM/2.%20Penilaian%20Region%202%20Yogyakarta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TKM/2.%20Penilaian%20Region%202%20Pekanbaru.xlsx" TargetMode="External"/><Relationship Id="rId2" Type="http://schemas.openxmlformats.org/officeDocument/2006/relationships/externalLinkPath" Target="https://bri2-my.sharepoint.com/personal/00136153_hq_bri_co_id/Documents/Assurance%20Team/00%20-%20Data%20RAC/LTKM/2.%20Penilaian%20Region%202%20Pekanbaru.xlsx" TargetMode="External"/><Relationship Id="rId1" Type="http://schemas.openxmlformats.org/officeDocument/2006/relationships/externalLinkPath" Target="/personal/00136153_hq_bri_co_id/Documents/Assurance%20Team/00%20-%20Data%20RAC/LTKM/2.%20Penilaian%20Region%202%20Pekanbar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RVKC4TFD42ANGJQG7HVZQKBPP3">
      <xxl21:absoluteUrl r:id="rId2"/>
    </xxl21:alternateUrls>
    <sheetNames>
      <sheetName val="Sosialisasi"/>
      <sheetName val="Nilai Self Learning"/>
      <sheetName val="Kepesertaan Self Learning"/>
      <sheetName val="Sheet3"/>
      <sheetName val="Sheet2 (3)"/>
      <sheetName val="Sheet2 (2)"/>
      <sheetName val="Sheet1"/>
      <sheetName val="Sheet2"/>
      <sheetName val="Pengkinian Data"/>
      <sheetName val="Bad Data"/>
      <sheetName val="PEP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0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0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2">
          <cell r="C2" t="str">
            <v>Andi Faisal Putra</v>
          </cell>
          <cell r="D2">
            <v>95.105999999999995</v>
          </cell>
        </row>
        <row r="3">
          <cell r="C3" t="str">
            <v>Andi Faisal Putra</v>
          </cell>
          <cell r="D3">
            <v>95</v>
          </cell>
        </row>
        <row r="4">
          <cell r="C4" t="str">
            <v>Andi Faisal Putra</v>
          </cell>
          <cell r="D4">
            <v>95.028999999999996</v>
          </cell>
        </row>
        <row r="5">
          <cell r="C5" t="str">
            <v>Andi Faisal Putra</v>
          </cell>
          <cell r="D5">
            <v>93.069000000000003</v>
          </cell>
        </row>
        <row r="6">
          <cell r="C6" t="str">
            <v>Andi Faisal Putra</v>
          </cell>
          <cell r="D6">
            <v>93.837999999999994</v>
          </cell>
        </row>
        <row r="7">
          <cell r="C7" t="str">
            <v>Andi Faisal Putra</v>
          </cell>
          <cell r="D7">
            <v>91.29</v>
          </cell>
        </row>
        <row r="8">
          <cell r="C8" t="str">
            <v>Andi Faisal Putra</v>
          </cell>
          <cell r="D8">
            <v>93.596000000000004</v>
          </cell>
        </row>
        <row r="9">
          <cell r="C9" t="str">
            <v>Andi Faisal Putra</v>
          </cell>
          <cell r="D9">
            <v>93.037999999999997</v>
          </cell>
        </row>
        <row r="10">
          <cell r="C10" t="str">
            <v>Andi Faisal Putra</v>
          </cell>
          <cell r="D10">
            <v>90.263000000000005</v>
          </cell>
        </row>
        <row r="11">
          <cell r="C11" t="str">
            <v>Andi Faisal Putra</v>
          </cell>
          <cell r="D11">
            <v>94.325999999999993</v>
          </cell>
        </row>
        <row r="12">
          <cell r="C12" t="str">
            <v>Andi Perkasa</v>
          </cell>
          <cell r="D12">
            <v>98.2</v>
          </cell>
        </row>
        <row r="13">
          <cell r="C13" t="str">
            <v>Andi Perkasa</v>
          </cell>
          <cell r="D13">
            <v>92.463999999999999</v>
          </cell>
        </row>
        <row r="14">
          <cell r="C14" t="str">
            <v>Andi Perkasa</v>
          </cell>
          <cell r="D14">
            <v>92.822999999999993</v>
          </cell>
        </row>
        <row r="15">
          <cell r="C15" t="str">
            <v>Andi Perkasa</v>
          </cell>
          <cell r="D15">
            <v>94.028000000000006</v>
          </cell>
        </row>
        <row r="16">
          <cell r="C16" t="str">
            <v>Andi Perkasa</v>
          </cell>
          <cell r="D16">
            <v>96.387</v>
          </cell>
        </row>
        <row r="17">
          <cell r="C17" t="str">
            <v>Andi Perkasa</v>
          </cell>
          <cell r="D17">
            <v>74</v>
          </cell>
        </row>
        <row r="18">
          <cell r="C18" t="str">
            <v>Andi Perkasa</v>
          </cell>
          <cell r="D18">
            <v>94.962000000000003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94.358999999999995</v>
          </cell>
        </row>
        <row r="21">
          <cell r="C21" t="str">
            <v>Janse Paburru</v>
          </cell>
          <cell r="D21">
            <v>92.650602410000005</v>
          </cell>
        </row>
        <row r="22">
          <cell r="C22" t="str">
            <v>Janse Paburru</v>
          </cell>
          <cell r="D22">
            <v>91.41</v>
          </cell>
        </row>
        <row r="23">
          <cell r="C23" t="str">
            <v>Janse Paburru</v>
          </cell>
          <cell r="D23">
            <v>95.798000000000002</v>
          </cell>
        </row>
        <row r="24">
          <cell r="C24" t="str">
            <v>Janse Paburru</v>
          </cell>
          <cell r="D24">
            <v>95.516999999999996</v>
          </cell>
        </row>
        <row r="25">
          <cell r="C25" t="str">
            <v>Janse Paburru</v>
          </cell>
          <cell r="D25">
            <v>92.891000000000005</v>
          </cell>
        </row>
        <row r="26">
          <cell r="C26" t="str">
            <v>Janse Paburru</v>
          </cell>
          <cell r="D26">
            <v>94.932000000000002</v>
          </cell>
        </row>
        <row r="27">
          <cell r="C27" t="str">
            <v>Janse Paburru</v>
          </cell>
          <cell r="D27">
            <v>93.582999999999998</v>
          </cell>
        </row>
        <row r="28">
          <cell r="C28" t="str">
            <v>Janse Paburru</v>
          </cell>
          <cell r="D28">
            <v>98.387</v>
          </cell>
        </row>
        <row r="29">
          <cell r="C29" t="str">
            <v>M Sardi Rampo</v>
          </cell>
          <cell r="D29">
            <v>96.613</v>
          </cell>
        </row>
        <row r="30">
          <cell r="C30" t="str">
            <v>M Sardi Rampo</v>
          </cell>
          <cell r="D30">
            <v>93.905000000000001</v>
          </cell>
        </row>
        <row r="31">
          <cell r="C31" t="str">
            <v>M Sardi Rampo</v>
          </cell>
          <cell r="D31">
            <v>93.355000000000004</v>
          </cell>
        </row>
        <row r="32">
          <cell r="C32" t="str">
            <v>M Sardi Rampo</v>
          </cell>
          <cell r="D32">
            <v>94.563000000000002</v>
          </cell>
        </row>
        <row r="33">
          <cell r="C33" t="str">
            <v>M Sardi Rampo</v>
          </cell>
          <cell r="D33">
            <v>93.617000000000004</v>
          </cell>
        </row>
        <row r="34">
          <cell r="C34" t="str">
            <v>M Sardi Rampo</v>
          </cell>
          <cell r="D34">
            <v>93.611000000000004</v>
          </cell>
        </row>
        <row r="35">
          <cell r="C35" t="str">
            <v>M Sardi Rampo</v>
          </cell>
          <cell r="D35">
            <v>95.052000000000007</v>
          </cell>
        </row>
        <row r="36">
          <cell r="C36" t="str">
            <v>M Sardi Rampo</v>
          </cell>
          <cell r="D36">
            <v>95.253</v>
          </cell>
        </row>
        <row r="37">
          <cell r="C37" t="str">
            <v>M Sardi Rampo</v>
          </cell>
          <cell r="D37">
            <v>94.344999999999999</v>
          </cell>
        </row>
        <row r="38">
          <cell r="C38" t="str">
            <v>M Sardi Rampo</v>
          </cell>
          <cell r="D38">
            <v>94.643000000000001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96.424000000000007</v>
          </cell>
        </row>
        <row r="41">
          <cell r="C41" t="str">
            <v>Ariyanto B</v>
          </cell>
          <cell r="D41">
            <v>96.305999999999997</v>
          </cell>
        </row>
        <row r="42">
          <cell r="C42" t="str">
            <v>Ariyanto B</v>
          </cell>
          <cell r="D42">
            <v>98.807000000000002</v>
          </cell>
        </row>
        <row r="43">
          <cell r="C43" t="str">
            <v>Ariyanto B</v>
          </cell>
          <cell r="D43">
            <v>97.924999999999997</v>
          </cell>
        </row>
        <row r="44">
          <cell r="C44" t="str">
            <v>Ariyanto B</v>
          </cell>
          <cell r="D44">
            <v>97.935000000000002</v>
          </cell>
        </row>
        <row r="45">
          <cell r="C45" t="str">
            <v>Ariyanto B</v>
          </cell>
          <cell r="D45">
            <v>98.355999999999995</v>
          </cell>
        </row>
        <row r="46">
          <cell r="C46" t="str">
            <v>Ariyanto B</v>
          </cell>
          <cell r="D46">
            <v>96.706000000000003</v>
          </cell>
        </row>
        <row r="47">
          <cell r="C47" t="str">
            <v>Ryan Fabella Lisa</v>
          </cell>
          <cell r="D47">
            <v>98.078999999999994</v>
          </cell>
        </row>
        <row r="48">
          <cell r="C48" t="str">
            <v>Ryan Fabella Lisa</v>
          </cell>
          <cell r="D48">
            <v>97.707999999999998</v>
          </cell>
        </row>
        <row r="49">
          <cell r="C49" t="str">
            <v>Ryan Fabella Lisa</v>
          </cell>
          <cell r="D49">
            <v>97.045000000000002</v>
          </cell>
        </row>
        <row r="50">
          <cell r="C50" t="str">
            <v>Ryan Fabella Lisa</v>
          </cell>
          <cell r="D50">
            <v>98.765000000000001</v>
          </cell>
        </row>
        <row r="51">
          <cell r="C51" t="str">
            <v>Ryan Fabella Lisa</v>
          </cell>
          <cell r="D51">
            <v>97.902000000000001</v>
          </cell>
        </row>
        <row r="52">
          <cell r="C52" t="str">
            <v>Ryan Fabella Lisa</v>
          </cell>
          <cell r="D52">
            <v>97.382999999999996</v>
          </cell>
        </row>
        <row r="53">
          <cell r="C53" t="str">
            <v>Ryan Fabella Lisa</v>
          </cell>
          <cell r="D53">
            <v>97.350999999999999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98.396946560000004</v>
          </cell>
        </row>
        <row r="56">
          <cell r="C56" t="str">
            <v>Rinaldi Wicaksana</v>
          </cell>
          <cell r="D56">
            <v>95.897000000000006</v>
          </cell>
        </row>
        <row r="57">
          <cell r="C57" t="str">
            <v>Rinaldi Wicaksana</v>
          </cell>
          <cell r="D57">
            <v>95.531999999999996</v>
          </cell>
        </row>
        <row r="58">
          <cell r="C58" t="str">
            <v>Rinaldi Wicaksana</v>
          </cell>
          <cell r="D58">
            <v>97.284000000000006</v>
          </cell>
        </row>
        <row r="59">
          <cell r="C59" t="str">
            <v>Rinaldi Wicaksana</v>
          </cell>
          <cell r="D59">
            <v>96</v>
          </cell>
        </row>
        <row r="60">
          <cell r="C60" t="str">
            <v>Rinaldi Wicaksana</v>
          </cell>
          <cell r="D60">
            <v>96.832999999999998</v>
          </cell>
        </row>
        <row r="61">
          <cell r="C61" t="str">
            <v>Rinaldi Wicaksana</v>
          </cell>
          <cell r="D61">
            <v>96.667000000000002</v>
          </cell>
        </row>
        <row r="62">
          <cell r="C62" t="str">
            <v>Rinaldi Wicaksana</v>
          </cell>
          <cell r="D62">
            <v>98.510999999999996</v>
          </cell>
        </row>
        <row r="63">
          <cell r="C63" t="str">
            <v>Rinaldi Wicaksana</v>
          </cell>
          <cell r="D63">
            <v>98.772000000000006</v>
          </cell>
        </row>
        <row r="64">
          <cell r="C64" t="str">
            <v>Rinaldi Wicaksana</v>
          </cell>
          <cell r="D64">
            <v>94.736999999999995</v>
          </cell>
        </row>
        <row r="65">
          <cell r="C65" t="str">
            <v>Rinaldi Wicaksana</v>
          </cell>
          <cell r="D65">
            <v>97.644000000000005</v>
          </cell>
        </row>
        <row r="66">
          <cell r="C66" t="str">
            <v>Rinaldi Wicaksana</v>
          </cell>
          <cell r="D66">
            <v>98.117999999999995</v>
          </cell>
        </row>
        <row r="67">
          <cell r="C67" t="str">
            <v>Rinaldi Wicaksana</v>
          </cell>
          <cell r="D67">
            <v>97.546999999999997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96.887</v>
          </cell>
        </row>
        <row r="71">
          <cell r="C71" t="str">
            <v>Imelda Mayestika P.</v>
          </cell>
          <cell r="D71">
            <v>90.4</v>
          </cell>
        </row>
        <row r="72">
          <cell r="C72" t="str">
            <v>Imelda Mayestika P.</v>
          </cell>
          <cell r="D72">
            <v>96.305999999999997</v>
          </cell>
        </row>
        <row r="73">
          <cell r="C73" t="str">
            <v>Imelda Mayestika P.</v>
          </cell>
          <cell r="D73">
            <v>96.466999999999999</v>
          </cell>
        </row>
        <row r="74">
          <cell r="C74" t="str">
            <v>Imelda Mayestika P.</v>
          </cell>
          <cell r="D74">
            <v>93.332999999999998</v>
          </cell>
        </row>
        <row r="75">
          <cell r="C75" t="str">
            <v>Imelda Mayestika P.</v>
          </cell>
          <cell r="D75">
            <v>95.631</v>
          </cell>
        </row>
        <row r="76">
          <cell r="C76" t="str">
            <v>Imelda Mayestika P.</v>
          </cell>
          <cell r="D76">
            <v>92.638000000000005</v>
          </cell>
        </row>
        <row r="77">
          <cell r="C77" t="str">
            <v>Imelda Mayestika P.</v>
          </cell>
          <cell r="D77">
            <v>96.870999999999995</v>
          </cell>
        </row>
        <row r="78">
          <cell r="C78" t="str">
            <v>Imelda Mayestika P.</v>
          </cell>
          <cell r="D78">
            <v>95.096000000000004</v>
          </cell>
        </row>
        <row r="79">
          <cell r="C79" t="str">
            <v>Imelda Mayestika P.</v>
          </cell>
          <cell r="D79">
            <v>93.584999999999994</v>
          </cell>
        </row>
        <row r="80">
          <cell r="C80" t="str">
            <v>Imelda Mayestika P.</v>
          </cell>
          <cell r="D80">
            <v>94.65</v>
          </cell>
        </row>
        <row r="81">
          <cell r="C81" t="str">
            <v>Imelda Mayestika P.</v>
          </cell>
          <cell r="D81">
            <v>95.143000000000001</v>
          </cell>
        </row>
        <row r="82">
          <cell r="C82" t="str">
            <v>Imelda Mayestika P.</v>
          </cell>
          <cell r="D82">
            <v>94.167000000000002</v>
          </cell>
        </row>
        <row r="83">
          <cell r="C83" t="str">
            <v>Imelda Mayestika P.</v>
          </cell>
          <cell r="D83">
            <v>93.332999999999998</v>
          </cell>
        </row>
        <row r="84">
          <cell r="C84" t="str">
            <v>Imelda Mayestika P.</v>
          </cell>
          <cell r="D84">
            <v>98.706000000000003</v>
          </cell>
        </row>
        <row r="85">
          <cell r="C85" t="str">
            <v>Imelda Mayestika P.</v>
          </cell>
          <cell r="D85">
            <v>97.872</v>
          </cell>
        </row>
        <row r="86">
          <cell r="C86" t="str">
            <v>Imelda Mayestika P.</v>
          </cell>
          <cell r="D86">
            <v>95.647000000000006</v>
          </cell>
        </row>
        <row r="87">
          <cell r="C87" t="str">
            <v>Imelda Mayestika P.</v>
          </cell>
          <cell r="D87">
            <v>95.152000000000001</v>
          </cell>
        </row>
        <row r="88">
          <cell r="C88" t="str">
            <v>Imelda Mayestika P.</v>
          </cell>
          <cell r="D88">
            <v>94.545000000000002</v>
          </cell>
        </row>
        <row r="89">
          <cell r="C89" t="str">
            <v>Imelda Mayestika P.</v>
          </cell>
          <cell r="D89">
            <v>93</v>
          </cell>
        </row>
        <row r="90">
          <cell r="C90" t="str">
            <v>Imelda Mayestika P.</v>
          </cell>
          <cell r="D90">
            <v>91.403999999999996</v>
          </cell>
        </row>
        <row r="91">
          <cell r="C91" t="str">
            <v>Imelda Mayestika P.</v>
          </cell>
          <cell r="D91">
            <v>93.984999999999999</v>
          </cell>
        </row>
        <row r="92">
          <cell r="C92" t="str">
            <v>Imelda Mayestika P.</v>
          </cell>
          <cell r="D92">
            <v>99.412000000000006</v>
          </cell>
        </row>
        <row r="93">
          <cell r="C93" t="str">
            <v>Imelda Mayestika P.</v>
          </cell>
          <cell r="D93">
            <v>96.296000000000006</v>
          </cell>
        </row>
        <row r="94">
          <cell r="C94" t="str">
            <v>Imelda Mayestika P.</v>
          </cell>
          <cell r="D94">
            <v>96.477000000000004</v>
          </cell>
        </row>
        <row r="95">
          <cell r="C95" t="str">
            <v>Imelda Mayestika P.</v>
          </cell>
          <cell r="D95">
            <v>97.406999999999996</v>
          </cell>
        </row>
        <row r="96">
          <cell r="C96" t="str">
            <v>Imelda Mayestika P.</v>
          </cell>
          <cell r="D96">
            <v>95.671999999999997</v>
          </cell>
        </row>
        <row r="97">
          <cell r="C97" t="str">
            <v>Imelda Mayestika P.</v>
          </cell>
          <cell r="D97">
            <v>97.278000000000006</v>
          </cell>
        </row>
        <row r="98">
          <cell r="C98" t="str">
            <v>Imelda Mayestika P.</v>
          </cell>
          <cell r="D98">
            <v>97.072000000000003</v>
          </cell>
        </row>
        <row r="99">
          <cell r="C99" t="str">
            <v>Imelda Mayestika P.</v>
          </cell>
          <cell r="D99">
            <v>90.274000000000001</v>
          </cell>
        </row>
        <row r="100">
          <cell r="C100" t="str">
            <v>Imelda Mayestika P.</v>
          </cell>
          <cell r="D100">
            <v>94.138000000000005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96.905000000000001</v>
          </cell>
        </row>
        <row r="104">
          <cell r="C104" t="str">
            <v>I Made Budiartha</v>
          </cell>
          <cell r="D104">
            <v>95.447000000000003</v>
          </cell>
        </row>
        <row r="105">
          <cell r="C105" t="str">
            <v>Dewa Nyoman Wedana</v>
          </cell>
          <cell r="D105">
            <v>94.465999999999994</v>
          </cell>
        </row>
        <row r="106">
          <cell r="C106" t="str">
            <v>Dewa Nyoman Wedana</v>
          </cell>
          <cell r="D106">
            <v>97.823999999999998</v>
          </cell>
        </row>
        <row r="107">
          <cell r="C107" t="str">
            <v>Ida Bagus Pidada Manuaba</v>
          </cell>
          <cell r="D107">
            <v>98.582999999999998</v>
          </cell>
        </row>
        <row r="108">
          <cell r="C108" t="str">
            <v>Ida Bagus Pidada Manuaba</v>
          </cell>
          <cell r="D108">
            <v>96.718000000000004</v>
          </cell>
        </row>
        <row r="109">
          <cell r="C109" t="str">
            <v>Dewa Nyoman Wedana</v>
          </cell>
          <cell r="D109">
            <v>96.852000000000004</v>
          </cell>
        </row>
        <row r="110">
          <cell r="C110" t="str">
            <v>I Made Budiartha</v>
          </cell>
          <cell r="D110">
            <v>95.965999999999994</v>
          </cell>
        </row>
        <row r="111">
          <cell r="C111" t="str">
            <v>I Made Budiartha</v>
          </cell>
          <cell r="D111">
            <v>97.957999999999998</v>
          </cell>
        </row>
        <row r="112">
          <cell r="C112" t="str">
            <v>Dewa Nyoman Wedana</v>
          </cell>
          <cell r="D112">
            <v>99.245000000000005</v>
          </cell>
        </row>
        <row r="113">
          <cell r="C113" t="str">
            <v>Dewa Nyoman Wedana</v>
          </cell>
          <cell r="D113">
            <v>98.481999999999999</v>
          </cell>
        </row>
        <row r="114">
          <cell r="C114" t="str">
            <v>I Made Budiartha</v>
          </cell>
          <cell r="D114">
            <v>94.417000000000002</v>
          </cell>
        </row>
        <row r="115">
          <cell r="C115" t="str">
            <v>I Made Budiartha</v>
          </cell>
          <cell r="D115">
            <v>96.721000000000004</v>
          </cell>
        </row>
        <row r="116">
          <cell r="C116" t="str">
            <v>I Made Budiartha</v>
          </cell>
          <cell r="D116">
            <v>93.926000000000002</v>
          </cell>
        </row>
        <row r="117">
          <cell r="C117" t="str">
            <v>Ida Bagus Pidada Manuaba</v>
          </cell>
          <cell r="D117">
            <v>98.376999999999995</v>
          </cell>
        </row>
        <row r="118">
          <cell r="C118" t="str">
            <v>Ida Bagus Pidada Manuaba</v>
          </cell>
          <cell r="D118">
            <v>95.757999999999996</v>
          </cell>
        </row>
        <row r="119">
          <cell r="C119" t="str">
            <v>I Made Budiartha</v>
          </cell>
          <cell r="D119">
            <v>97.980999999999995</v>
          </cell>
        </row>
        <row r="120">
          <cell r="C120" t="str">
            <v>Dewa Nyoman Wedana</v>
          </cell>
          <cell r="D120">
            <v>96.37</v>
          </cell>
        </row>
        <row r="121">
          <cell r="C121" t="str">
            <v>Ida Bagus Pidada Manuaba</v>
          </cell>
          <cell r="D121">
            <v>98.272000000000006</v>
          </cell>
        </row>
        <row r="122">
          <cell r="C122" t="str">
            <v>Dewa Nyoman Wedana</v>
          </cell>
          <cell r="D122">
            <v>96.906999999999996</v>
          </cell>
        </row>
        <row r="123">
          <cell r="C123" t="str">
            <v>I Made Budiartha</v>
          </cell>
          <cell r="D123">
            <v>97.15</v>
          </cell>
        </row>
        <row r="124">
          <cell r="C124" t="str">
            <v>I Made Budiartha</v>
          </cell>
          <cell r="D124">
            <v>95.289000000000001</v>
          </cell>
        </row>
        <row r="125">
          <cell r="C125" t="str">
            <v>Ida Bagus Pidada Manuaba</v>
          </cell>
          <cell r="D125">
            <v>97.849000000000004</v>
          </cell>
        </row>
        <row r="126">
          <cell r="C126" t="str">
            <v>I Made Budiartha</v>
          </cell>
          <cell r="D126">
            <v>94.713999999999999</v>
          </cell>
        </row>
        <row r="127">
          <cell r="C127" t="str">
            <v>I Made Budiartha</v>
          </cell>
          <cell r="D127">
            <v>97.722999999999999</v>
          </cell>
        </row>
        <row r="128">
          <cell r="C128" t="str">
            <v>Dewa Nyoman Wedana</v>
          </cell>
          <cell r="D128">
            <v>98.162999999999997</v>
          </cell>
        </row>
        <row r="129">
          <cell r="C129" t="str">
            <v>I Made Budiartha</v>
          </cell>
          <cell r="D129">
            <v>98.182000000000002</v>
          </cell>
        </row>
        <row r="130">
          <cell r="C130" t="str">
            <v>Dewa Nyoman Wedana</v>
          </cell>
          <cell r="D130">
            <v>98.793000000000006</v>
          </cell>
        </row>
        <row r="131">
          <cell r="C131" t="str">
            <v>Dewa Nyoman Wedana</v>
          </cell>
          <cell r="D131">
            <v>98.522999999999996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99.117999999999995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97.867000000000004</v>
          </cell>
        </row>
        <row r="136">
          <cell r="C136" t="str">
            <v>Boby Sukmawijaya</v>
          </cell>
          <cell r="D136">
            <v>95.656999999999996</v>
          </cell>
        </row>
        <row r="137">
          <cell r="C137" t="str">
            <v>Boby Sukmawijaya</v>
          </cell>
          <cell r="D137">
            <v>95.388000000000005</v>
          </cell>
        </row>
        <row r="138">
          <cell r="C138" t="str">
            <v>Boby Sukmawijaya</v>
          </cell>
          <cell r="D138">
            <v>94.423000000000002</v>
          </cell>
        </row>
        <row r="139">
          <cell r="C139" t="str">
            <v>Boby Sukmawijaya</v>
          </cell>
          <cell r="D139">
            <v>99.123999999999995</v>
          </cell>
        </row>
        <row r="140">
          <cell r="C140" t="str">
            <v>Boby Sukmawijaya</v>
          </cell>
          <cell r="D140">
            <v>95.855999999999995</v>
          </cell>
        </row>
        <row r="141">
          <cell r="C141" t="str">
            <v>Boby Sukmawijaya</v>
          </cell>
          <cell r="D141">
            <v>95.739000000000004</v>
          </cell>
        </row>
        <row r="142">
          <cell r="C142" t="str">
            <v>Boby Sukmawijaya</v>
          </cell>
          <cell r="D142">
            <v>98.605000000000004</v>
          </cell>
        </row>
        <row r="143">
          <cell r="C143" t="str">
            <v>Boby Sukmawijaya</v>
          </cell>
          <cell r="D143">
            <v>95.887</v>
          </cell>
        </row>
        <row r="144">
          <cell r="C144" t="str">
            <v>Boby Sukmawijaya</v>
          </cell>
          <cell r="D144">
            <v>99.468000000000004</v>
          </cell>
        </row>
        <row r="145">
          <cell r="C145" t="str">
            <v>Boby Sukmawijaya</v>
          </cell>
          <cell r="D145">
            <v>92.36</v>
          </cell>
        </row>
        <row r="146">
          <cell r="C146" t="str">
            <v>Boby Sukmawijaya</v>
          </cell>
          <cell r="D146">
            <v>96.134</v>
          </cell>
        </row>
        <row r="147">
          <cell r="C147" t="str">
            <v>Boby Sukmawijaya</v>
          </cell>
          <cell r="D147">
            <v>95.055999999999997</v>
          </cell>
        </row>
        <row r="148">
          <cell r="C148" t="str">
            <v>Boby Sukmawijaya</v>
          </cell>
          <cell r="D148">
            <v>94.8</v>
          </cell>
        </row>
        <row r="149">
          <cell r="C149" t="str">
            <v>Boby Sukmawijaya</v>
          </cell>
          <cell r="D149">
            <v>94.215999999999994</v>
          </cell>
        </row>
        <row r="150">
          <cell r="C150" t="str">
            <v>Boby Sukmawijaya</v>
          </cell>
          <cell r="D150">
            <v>98.903999999999996</v>
          </cell>
        </row>
        <row r="151">
          <cell r="C151" t="str">
            <v>Boby Sukmawijaya</v>
          </cell>
          <cell r="D151">
            <v>95.335999999999999</v>
          </cell>
        </row>
        <row r="152">
          <cell r="C152" t="str">
            <v>Boby Sukmawijaya</v>
          </cell>
          <cell r="D152">
            <v>98.623000000000005</v>
          </cell>
        </row>
        <row r="153">
          <cell r="C153" t="str">
            <v>Boby Sukmawijaya</v>
          </cell>
          <cell r="D153">
            <v>92.272999999999996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97.394999999999996</v>
          </cell>
        </row>
        <row r="156">
          <cell r="C156" t="str">
            <v>Boby Sukmawijaya</v>
          </cell>
          <cell r="D156">
            <v>97.727000000000004</v>
          </cell>
        </row>
        <row r="157">
          <cell r="C157" t="str">
            <v>Boby Sukmawijaya</v>
          </cell>
          <cell r="D157">
            <v>96.858999999999995</v>
          </cell>
        </row>
        <row r="158">
          <cell r="C158" t="str">
            <v>Boby Sukmawijaya</v>
          </cell>
          <cell r="D158">
            <v>96.983000000000004</v>
          </cell>
        </row>
        <row r="159">
          <cell r="C159" t="str">
            <v>Boby Sukmawijaya</v>
          </cell>
          <cell r="D159">
            <v>97.831000000000003</v>
          </cell>
        </row>
        <row r="160">
          <cell r="C160" t="str">
            <v>Boby Sukmawijaya</v>
          </cell>
          <cell r="D160">
            <v>96.739000000000004</v>
          </cell>
        </row>
        <row r="161">
          <cell r="C161" t="str">
            <v>Boby Sukmawijaya</v>
          </cell>
          <cell r="D161">
            <v>97.703000000000003</v>
          </cell>
        </row>
        <row r="162">
          <cell r="C162" t="str">
            <v>Boby Sukmawijaya</v>
          </cell>
          <cell r="D162">
            <v>97.614000000000004</v>
          </cell>
        </row>
        <row r="163">
          <cell r="C163" t="str">
            <v>Boby Sukmawijaya</v>
          </cell>
          <cell r="D163">
            <v>96.837999999999994</v>
          </cell>
        </row>
        <row r="164">
          <cell r="C164" t="str">
            <v>Boby Sukmawijaya</v>
          </cell>
          <cell r="D164">
            <v>96.691000000000003</v>
          </cell>
        </row>
        <row r="165">
          <cell r="C165" t="str">
            <v>Boby Sukmawijaya</v>
          </cell>
          <cell r="D165">
            <v>97.944000000000003</v>
          </cell>
        </row>
        <row r="166">
          <cell r="C166" t="str">
            <v>Boby Sukmawijaya</v>
          </cell>
          <cell r="D166">
            <v>94.367999999999995</v>
          </cell>
        </row>
        <row r="167">
          <cell r="C167" t="str">
            <v>Boby Sukmawijaya</v>
          </cell>
          <cell r="D167">
            <v>97.664000000000001</v>
          </cell>
        </row>
        <row r="168">
          <cell r="C168" t="str">
            <v>Boby Sukmawijaya</v>
          </cell>
          <cell r="D168">
            <v>96.444000000000003</v>
          </cell>
        </row>
        <row r="169">
          <cell r="C169" t="str">
            <v>Boby Sukmawijaya</v>
          </cell>
          <cell r="D169">
            <v>95.57</v>
          </cell>
        </row>
        <row r="170">
          <cell r="C170" t="str">
            <v>Boby Sukmawijaya</v>
          </cell>
          <cell r="D170">
            <v>98.688999999999993</v>
          </cell>
        </row>
        <row r="171">
          <cell r="C171" t="str">
            <v>Boby Sukmawijaya</v>
          </cell>
          <cell r="D171">
            <v>95.289000000000001</v>
          </cell>
        </row>
        <row r="172">
          <cell r="C172" t="str">
            <v>Boby Sukmawijaya</v>
          </cell>
          <cell r="D172">
            <v>98.210999999999999</v>
          </cell>
        </row>
        <row r="173">
          <cell r="C173" t="str">
            <v>Boby Sukmawijaya</v>
          </cell>
          <cell r="D173">
            <v>97.68</v>
          </cell>
        </row>
        <row r="174">
          <cell r="C174" t="str">
            <v>Boby Sukmawijaya</v>
          </cell>
          <cell r="D174">
            <v>98.394999999999996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95.446428569999995</v>
          </cell>
        </row>
        <row r="177">
          <cell r="C177" t="str">
            <v>Ari</v>
          </cell>
          <cell r="D177">
            <v>96.760999999999996</v>
          </cell>
        </row>
        <row r="178">
          <cell r="C178" t="str">
            <v>Ari</v>
          </cell>
          <cell r="D178">
            <v>95.760999999999996</v>
          </cell>
        </row>
        <row r="179">
          <cell r="C179" t="str">
            <v>Ari</v>
          </cell>
          <cell r="D179">
            <v>96.453999999999994</v>
          </cell>
        </row>
        <row r="180">
          <cell r="C180" t="str">
            <v>Ari</v>
          </cell>
          <cell r="D180">
            <v>96.748000000000005</v>
          </cell>
        </row>
        <row r="181">
          <cell r="C181" t="str">
            <v>Ari</v>
          </cell>
          <cell r="D181">
            <v>95.87</v>
          </cell>
        </row>
        <row r="182">
          <cell r="C182" t="str">
            <v>Ari</v>
          </cell>
          <cell r="D182">
            <v>97.352999999999994</v>
          </cell>
        </row>
        <row r="183">
          <cell r="C183" t="str">
            <v>Ari</v>
          </cell>
          <cell r="D183">
            <v>97.179000000000002</v>
          </cell>
        </row>
        <row r="184">
          <cell r="C184" t="str">
            <v>Ari</v>
          </cell>
          <cell r="D184">
            <v>97.078999999999994</v>
          </cell>
        </row>
        <row r="185">
          <cell r="C185" t="str">
            <v>Ari</v>
          </cell>
          <cell r="D185">
            <v>96.21</v>
          </cell>
        </row>
        <row r="186">
          <cell r="C186" t="str">
            <v>Helvi</v>
          </cell>
          <cell r="D186">
            <v>98.150999999999996</v>
          </cell>
        </row>
        <row r="187">
          <cell r="C187" t="str">
            <v>Helvi</v>
          </cell>
          <cell r="D187">
            <v>95.366</v>
          </cell>
        </row>
        <row r="188">
          <cell r="C188" t="str">
            <v>Helvi</v>
          </cell>
          <cell r="D188">
            <v>94.253</v>
          </cell>
        </row>
        <row r="189">
          <cell r="C189" t="str">
            <v>Helvi</v>
          </cell>
          <cell r="D189">
            <v>96.58</v>
          </cell>
        </row>
        <row r="190">
          <cell r="C190" t="str">
            <v>Helvi</v>
          </cell>
          <cell r="D190">
            <v>97.32</v>
          </cell>
        </row>
        <row r="191">
          <cell r="C191" t="str">
            <v>Helvi</v>
          </cell>
          <cell r="D191">
            <v>96.590999999999994</v>
          </cell>
        </row>
        <row r="192">
          <cell r="C192" t="str">
            <v>Helvi</v>
          </cell>
          <cell r="D192">
            <v>98.021000000000001</v>
          </cell>
        </row>
        <row r="193">
          <cell r="C193" t="str">
            <v>Helvi</v>
          </cell>
          <cell r="D193">
            <v>94.82</v>
          </cell>
        </row>
        <row r="194">
          <cell r="C194" t="str">
            <v>Helvi</v>
          </cell>
          <cell r="D194">
            <v>95.727999999999994</v>
          </cell>
        </row>
        <row r="195">
          <cell r="C195" t="str">
            <v>Helvi</v>
          </cell>
          <cell r="D195">
            <v>90.164000000000001</v>
          </cell>
        </row>
        <row r="196">
          <cell r="C196" t="str">
            <v>Helvi</v>
          </cell>
          <cell r="D196">
            <v>95.069000000000003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96.055999999999997</v>
          </cell>
        </row>
        <row r="199">
          <cell r="C199" t="str">
            <v>Ferdi Setiawan</v>
          </cell>
          <cell r="D199">
            <v>96.718999999999994</v>
          </cell>
        </row>
        <row r="200">
          <cell r="C200" t="str">
            <v>Ferdi Setiawan</v>
          </cell>
          <cell r="D200">
            <v>94.783000000000001</v>
          </cell>
        </row>
        <row r="201">
          <cell r="C201" t="str">
            <v>Ferdi Setiawan</v>
          </cell>
          <cell r="D201">
            <v>96.82</v>
          </cell>
        </row>
        <row r="202">
          <cell r="C202" t="str">
            <v>Ferdi Setiawan</v>
          </cell>
          <cell r="D202">
            <v>97.736999999999995</v>
          </cell>
        </row>
        <row r="203">
          <cell r="C203" t="str">
            <v>Ferdi Setiawan</v>
          </cell>
          <cell r="D203">
            <v>95.96</v>
          </cell>
        </row>
        <row r="204">
          <cell r="C204" t="str">
            <v>Ferdi Setiawan</v>
          </cell>
          <cell r="D204">
            <v>96.097999999999999</v>
          </cell>
        </row>
        <row r="205">
          <cell r="C205" t="str">
            <v>Ferdi Setiawan</v>
          </cell>
          <cell r="D205">
            <v>96.587999999999994</v>
          </cell>
        </row>
        <row r="206">
          <cell r="C206" t="str">
            <v>Ferdi Setiawan</v>
          </cell>
          <cell r="D206">
            <v>96.504999999999995</v>
          </cell>
        </row>
        <row r="207">
          <cell r="C207" t="str">
            <v>Ferdi Setiawan</v>
          </cell>
          <cell r="D207">
            <v>97.156000000000006</v>
          </cell>
        </row>
        <row r="208">
          <cell r="C208" t="str">
            <v>Ferdi Setiawan</v>
          </cell>
          <cell r="D208">
            <v>97.444999999999993</v>
          </cell>
        </row>
        <row r="209">
          <cell r="C209" t="str">
            <v>Ferdi Setiawan</v>
          </cell>
          <cell r="D209">
            <v>95.956000000000003</v>
          </cell>
        </row>
        <row r="210">
          <cell r="C210" t="str">
            <v>Ferdi Setiawan</v>
          </cell>
          <cell r="D210">
            <v>96.289000000000001</v>
          </cell>
        </row>
        <row r="211">
          <cell r="C211" t="str">
            <v>Ferdi Setiawan</v>
          </cell>
          <cell r="D211">
            <v>97.210999999999999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92</v>
          </cell>
        </row>
        <row r="214">
          <cell r="C214" t="str">
            <v>Gesang Jumadi</v>
          </cell>
          <cell r="D214">
            <v>91.751999999999995</v>
          </cell>
        </row>
        <row r="215">
          <cell r="C215" t="str">
            <v>Gesang Jumadi</v>
          </cell>
          <cell r="D215">
            <v>94.483000000000004</v>
          </cell>
        </row>
        <row r="216">
          <cell r="C216" t="str">
            <v>Gesang Jumadi</v>
          </cell>
          <cell r="D216">
            <v>94.762</v>
          </cell>
        </row>
        <row r="217">
          <cell r="C217" t="str">
            <v>Gesang Jumadi</v>
          </cell>
          <cell r="D217">
            <v>94.585999999999999</v>
          </cell>
        </row>
        <row r="218">
          <cell r="C218" t="str">
            <v>Gesang Jumadi</v>
          </cell>
          <cell r="D218">
            <v>94.478999999999999</v>
          </cell>
        </row>
        <row r="219">
          <cell r="C219" t="str">
            <v>Gesang Jumadi</v>
          </cell>
          <cell r="D219">
            <v>92.558000000000007</v>
          </cell>
        </row>
        <row r="220">
          <cell r="C220" t="str">
            <v>Gesang Jumadi</v>
          </cell>
          <cell r="D220">
            <v>93.316000000000003</v>
          </cell>
        </row>
        <row r="221">
          <cell r="C221" t="str">
            <v>Gesang Jumadi</v>
          </cell>
          <cell r="D221">
            <v>90.5</v>
          </cell>
        </row>
        <row r="222">
          <cell r="C222" t="str">
            <v>Gesang Jumadi</v>
          </cell>
          <cell r="D222">
            <v>94</v>
          </cell>
        </row>
        <row r="223">
          <cell r="C223" t="str">
            <v>Gesang Jumadi</v>
          </cell>
          <cell r="D223">
            <v>91.733000000000004</v>
          </cell>
        </row>
        <row r="224">
          <cell r="C224" t="str">
            <v>Gesang Jumadi</v>
          </cell>
          <cell r="D224">
            <v>95.933999999999997</v>
          </cell>
        </row>
        <row r="225">
          <cell r="C225" t="str">
            <v>Gesang Jumadi</v>
          </cell>
          <cell r="D225">
            <v>93.141000000000005</v>
          </cell>
        </row>
        <row r="226">
          <cell r="C226" t="str">
            <v>Gesang Jumadi</v>
          </cell>
          <cell r="D226">
            <v>96.263999999999996</v>
          </cell>
        </row>
        <row r="227">
          <cell r="C227" t="str">
            <v>Gesang Jumadi</v>
          </cell>
          <cell r="D227">
            <v>94.36</v>
          </cell>
        </row>
        <row r="228">
          <cell r="C228" t="str">
            <v>Gumilar Rudimaya</v>
          </cell>
          <cell r="D228">
            <v>96.293999999999997</v>
          </cell>
        </row>
        <row r="229">
          <cell r="C229" t="str">
            <v>Gumilar Rudimaya</v>
          </cell>
          <cell r="D229">
            <v>92.096999999999994</v>
          </cell>
        </row>
        <row r="230">
          <cell r="C230" t="str">
            <v>Gumilar Rudimaya</v>
          </cell>
          <cell r="D230">
            <v>90.093999999999994</v>
          </cell>
        </row>
        <row r="231">
          <cell r="C231" t="str">
            <v>Gumilar Rudimaya</v>
          </cell>
          <cell r="D231">
            <v>97.063000000000002</v>
          </cell>
        </row>
        <row r="232">
          <cell r="C232" t="str">
            <v>Gumilar Rudimaya</v>
          </cell>
          <cell r="D232">
            <v>93.506</v>
          </cell>
        </row>
        <row r="233">
          <cell r="C233" t="str">
            <v>Gumilar Rudimaya</v>
          </cell>
          <cell r="D233">
            <v>90.597999999999999</v>
          </cell>
        </row>
        <row r="234">
          <cell r="C234" t="str">
            <v>Gumilar Rudimaya</v>
          </cell>
          <cell r="D234">
            <v>92.36</v>
          </cell>
        </row>
        <row r="235">
          <cell r="C235" t="str">
            <v>Gumilar Rudimaya</v>
          </cell>
          <cell r="D235">
            <v>90.927000000000007</v>
          </cell>
        </row>
        <row r="236">
          <cell r="C236" t="str">
            <v>Gumilar Rudimaya</v>
          </cell>
          <cell r="D236">
            <v>92.381</v>
          </cell>
        </row>
        <row r="237">
          <cell r="C237" t="str">
            <v>Gumilar Rudimaya</v>
          </cell>
          <cell r="D237">
            <v>92.471999999999994</v>
          </cell>
        </row>
        <row r="238">
          <cell r="C238" t="str">
            <v>Gumilar Rudimaya</v>
          </cell>
          <cell r="D238">
            <v>94.727000000000004</v>
          </cell>
        </row>
        <row r="239">
          <cell r="C239" t="str">
            <v>Gumilar Rudimaya</v>
          </cell>
          <cell r="D239">
            <v>95.784999999999997</v>
          </cell>
        </row>
        <row r="240">
          <cell r="C240" t="str">
            <v>Gumilar Rudimaya</v>
          </cell>
          <cell r="D240">
            <v>95.361999999999995</v>
          </cell>
        </row>
        <row r="241">
          <cell r="C241" t="str">
            <v>Gumilar Rudimaya</v>
          </cell>
          <cell r="D241">
            <v>94.424000000000007</v>
          </cell>
        </row>
        <row r="242">
          <cell r="C242" t="str">
            <v>Gumilar Rudimaya</v>
          </cell>
          <cell r="D242">
            <v>90.960999999999999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96.471000000000004</v>
          </cell>
        </row>
        <row r="245">
          <cell r="C245" t="str">
            <v>Indra Jantana</v>
          </cell>
          <cell r="D245">
            <v>91.082999999999998</v>
          </cell>
        </row>
        <row r="246">
          <cell r="C246" t="str">
            <v>Indra Jantana</v>
          </cell>
          <cell r="D246">
            <v>93.216999999999999</v>
          </cell>
        </row>
        <row r="247">
          <cell r="C247" t="str">
            <v>Indra Jantana</v>
          </cell>
          <cell r="D247">
            <v>93.881</v>
          </cell>
        </row>
        <row r="248">
          <cell r="C248" t="str">
            <v>Indra Jantana</v>
          </cell>
          <cell r="D248">
            <v>96.337999999999994</v>
          </cell>
        </row>
        <row r="249">
          <cell r="C249" t="str">
            <v>Indra Jantana</v>
          </cell>
          <cell r="D249">
            <v>94.766999999999996</v>
          </cell>
        </row>
        <row r="250">
          <cell r="C250" t="str">
            <v>Indra Jantana</v>
          </cell>
          <cell r="D250">
            <v>96.527000000000001</v>
          </cell>
        </row>
        <row r="251">
          <cell r="C251" t="str">
            <v>Indra Jantana</v>
          </cell>
          <cell r="D251">
            <v>95.61</v>
          </cell>
        </row>
        <row r="252">
          <cell r="C252" t="str">
            <v>Indra Jantana</v>
          </cell>
          <cell r="D252">
            <v>96.757000000000005</v>
          </cell>
        </row>
        <row r="253">
          <cell r="C253" t="str">
            <v>Indra Jantana</v>
          </cell>
          <cell r="D253">
            <v>95.671999999999997</v>
          </cell>
        </row>
        <row r="254">
          <cell r="C254" t="str">
            <v>Indra Jantana</v>
          </cell>
          <cell r="D254">
            <v>94.762</v>
          </cell>
        </row>
        <row r="255">
          <cell r="C255" t="str">
            <v>Indra Jantana</v>
          </cell>
          <cell r="D255">
            <v>94.444000000000003</v>
          </cell>
        </row>
        <row r="256">
          <cell r="C256" t="str">
            <v>Indra Jantana</v>
          </cell>
          <cell r="D256">
            <v>97.869</v>
          </cell>
        </row>
        <row r="257">
          <cell r="C257" t="str">
            <v>Indra Jantana</v>
          </cell>
          <cell r="D257">
            <v>96.28</v>
          </cell>
        </row>
        <row r="258">
          <cell r="C258" t="str">
            <v>Indra Jantana</v>
          </cell>
          <cell r="D258">
            <v>94.463999999999999</v>
          </cell>
        </row>
        <row r="259">
          <cell r="C259" t="str">
            <v>Indra Jantana</v>
          </cell>
          <cell r="D259">
            <v>95.07</v>
          </cell>
        </row>
        <row r="260">
          <cell r="C260" t="str">
            <v>Indra Jantana</v>
          </cell>
          <cell r="D260">
            <v>94.564999999999998</v>
          </cell>
        </row>
        <row r="261">
          <cell r="C261" t="str">
            <v>Indra Jantana</v>
          </cell>
          <cell r="D261">
            <v>93.218999999999994</v>
          </cell>
        </row>
        <row r="262">
          <cell r="C262" t="str">
            <v>Indra Jantana</v>
          </cell>
          <cell r="D262">
            <v>92.5</v>
          </cell>
        </row>
        <row r="263">
          <cell r="C263" t="str">
            <v>Indra Jantana</v>
          </cell>
          <cell r="D263">
            <v>93.838999999999999</v>
          </cell>
        </row>
        <row r="264">
          <cell r="C264" t="str">
            <v>Indra Jantana</v>
          </cell>
          <cell r="D264">
            <v>94.947999999999993</v>
          </cell>
        </row>
        <row r="265">
          <cell r="C265" t="str">
            <v>Indra Jantana</v>
          </cell>
          <cell r="D265">
            <v>95.278000000000006</v>
          </cell>
        </row>
        <row r="266">
          <cell r="C266" t="str">
            <v>Indra Jantana</v>
          </cell>
          <cell r="D266">
            <v>95.212999999999994</v>
          </cell>
        </row>
        <row r="267">
          <cell r="C267" t="str">
            <v>Indra Jantana</v>
          </cell>
          <cell r="D267">
            <v>94.872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90.230999999999995</v>
          </cell>
        </row>
        <row r="270">
          <cell r="C270" t="str">
            <v>Yudi Wahyudi</v>
          </cell>
          <cell r="D270">
            <v>94.712000000000003</v>
          </cell>
        </row>
        <row r="271">
          <cell r="C271" t="str">
            <v>Yudi Wahyudi</v>
          </cell>
          <cell r="D271">
            <v>85.185000000000002</v>
          </cell>
        </row>
        <row r="272">
          <cell r="C272" t="str">
            <v>Yudi Wahyudi</v>
          </cell>
          <cell r="D272">
            <v>92.5</v>
          </cell>
        </row>
        <row r="273">
          <cell r="C273" t="str">
            <v>Yudi Wahyudi</v>
          </cell>
          <cell r="D273">
            <v>89.573999999999998</v>
          </cell>
        </row>
        <row r="274">
          <cell r="C274" t="str">
            <v>Yudi Wahyudi</v>
          </cell>
          <cell r="D274">
            <v>88.543999999999997</v>
          </cell>
        </row>
        <row r="275">
          <cell r="C275" t="str">
            <v>Yudi Wahyudi</v>
          </cell>
          <cell r="D275">
            <v>89.811000000000007</v>
          </cell>
        </row>
        <row r="276">
          <cell r="C276" t="str">
            <v>Yudi Wahyudi</v>
          </cell>
          <cell r="D276">
            <v>91.031000000000006</v>
          </cell>
        </row>
        <row r="277">
          <cell r="C277" t="str">
            <v>Yudi Wahyudi</v>
          </cell>
          <cell r="D277">
            <v>94.230999999999995</v>
          </cell>
        </row>
        <row r="278">
          <cell r="C278" t="str">
            <v>Yudi Wahyudi</v>
          </cell>
          <cell r="D278">
            <v>89.337000000000003</v>
          </cell>
        </row>
        <row r="279">
          <cell r="C279" t="str">
            <v>Yudi Wahyudi</v>
          </cell>
          <cell r="D279">
            <v>92.244</v>
          </cell>
        </row>
        <row r="280">
          <cell r="C280" t="str">
            <v>Yudi Wahyudi</v>
          </cell>
          <cell r="D280">
            <v>93.043000000000006</v>
          </cell>
        </row>
        <row r="281">
          <cell r="C281" t="str">
            <v>Yudi Wahyudi</v>
          </cell>
          <cell r="D281">
            <v>90.212999999999994</v>
          </cell>
        </row>
        <row r="282">
          <cell r="C282" t="str">
            <v>Yudi Wahyudi</v>
          </cell>
          <cell r="D282">
            <v>94.358999999999995</v>
          </cell>
        </row>
        <row r="283">
          <cell r="C283" t="str">
            <v>Yudi Wahyudi</v>
          </cell>
          <cell r="D283">
            <v>91.563000000000002</v>
          </cell>
        </row>
        <row r="284">
          <cell r="C284" t="str">
            <v>Yudi Wahyudi</v>
          </cell>
          <cell r="D284">
            <v>92.263999999999996</v>
          </cell>
        </row>
        <row r="285">
          <cell r="C285" t="str">
            <v>Yudi Wahyudi</v>
          </cell>
          <cell r="D285">
            <v>94.444000000000003</v>
          </cell>
        </row>
        <row r="286">
          <cell r="C286" t="str">
            <v>Yudi Wahyudi</v>
          </cell>
          <cell r="D286">
            <v>89.504999999999995</v>
          </cell>
        </row>
        <row r="287">
          <cell r="C287" t="str">
            <v>Yudi Wahyudi</v>
          </cell>
          <cell r="D287">
            <v>92.820999999999998</v>
          </cell>
        </row>
        <row r="288">
          <cell r="C288" t="str">
            <v>Yudi Wahyudi</v>
          </cell>
          <cell r="D288">
            <v>89.009</v>
          </cell>
        </row>
        <row r="289">
          <cell r="C289" t="str">
            <v>Yudi Wahyudi</v>
          </cell>
          <cell r="D289">
            <v>89.777000000000001</v>
          </cell>
        </row>
        <row r="290">
          <cell r="C290" t="str">
            <v>Yudi Wahyudi</v>
          </cell>
          <cell r="D290">
            <v>91.022000000000006</v>
          </cell>
        </row>
        <row r="291">
          <cell r="C291" t="str">
            <v>Yudi Wahyudi</v>
          </cell>
          <cell r="D291">
            <v>89.677000000000007</v>
          </cell>
        </row>
        <row r="292">
          <cell r="C292" t="str">
            <v>Yudi Wahyudi</v>
          </cell>
          <cell r="D292">
            <v>87.831999999999994</v>
          </cell>
        </row>
        <row r="293">
          <cell r="C293" t="str">
            <v>Yudi Wahyudi</v>
          </cell>
          <cell r="D293">
            <v>85.769000000000005</v>
          </cell>
        </row>
        <row r="294">
          <cell r="C294" t="str">
            <v>Yudi Wahyudi</v>
          </cell>
          <cell r="D294">
            <v>91.509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90.94</v>
          </cell>
        </row>
        <row r="297">
          <cell r="C297" t="str">
            <v>Febri Dwi Prabowo</v>
          </cell>
          <cell r="D297">
            <v>91.344999999999999</v>
          </cell>
        </row>
        <row r="298">
          <cell r="C298" t="str">
            <v>Febri Dwi Prabowo</v>
          </cell>
          <cell r="D298">
            <v>92.637</v>
          </cell>
        </row>
        <row r="299">
          <cell r="C299" t="str">
            <v>Febri Dwi Prabowo</v>
          </cell>
          <cell r="D299">
            <v>90.524000000000001</v>
          </cell>
        </row>
        <row r="300">
          <cell r="C300" t="str">
            <v>Febri Dwi Prabowo</v>
          </cell>
          <cell r="D300">
            <v>89.754000000000005</v>
          </cell>
        </row>
        <row r="301">
          <cell r="C301" t="str">
            <v>Febri Dwi Prabowo</v>
          </cell>
          <cell r="D301">
            <v>93.787000000000006</v>
          </cell>
        </row>
        <row r="302">
          <cell r="C302" t="str">
            <v>Febri Dwi Prabowo</v>
          </cell>
          <cell r="D302">
            <v>92.313000000000002</v>
          </cell>
        </row>
        <row r="303">
          <cell r="C303" t="str">
            <v>Febri Dwi Prabowo</v>
          </cell>
          <cell r="D303">
            <v>90.807000000000002</v>
          </cell>
        </row>
        <row r="304">
          <cell r="C304" t="str">
            <v>Febri Dwi Prabowo</v>
          </cell>
          <cell r="D304">
            <v>89.893000000000001</v>
          </cell>
        </row>
        <row r="305">
          <cell r="C305" t="str">
            <v>Febri Dwi Prabowo</v>
          </cell>
          <cell r="D305">
            <v>91.561000000000007</v>
          </cell>
        </row>
        <row r="306">
          <cell r="C306" t="str">
            <v>Febri Dwi Prabowo</v>
          </cell>
          <cell r="D306">
            <v>89.421999999999997</v>
          </cell>
        </row>
        <row r="307">
          <cell r="C307" t="str">
            <v>Febri Dwi Prabowo</v>
          </cell>
          <cell r="D307">
            <v>92.918999999999997</v>
          </cell>
        </row>
        <row r="308">
          <cell r="C308" t="str">
            <v>Febri Dwi Prabowo</v>
          </cell>
          <cell r="D308">
            <v>87.753</v>
          </cell>
        </row>
        <row r="309">
          <cell r="C309" t="str">
            <v>Made Windu Kuntara</v>
          </cell>
          <cell r="D309">
            <v>91.25</v>
          </cell>
        </row>
        <row r="310">
          <cell r="C310" t="str">
            <v>Made Windu Kuntara</v>
          </cell>
          <cell r="D310">
            <v>91.61</v>
          </cell>
        </row>
        <row r="311">
          <cell r="C311" t="str">
            <v>Made Windu Kuntara</v>
          </cell>
          <cell r="D311">
            <v>92.471000000000004</v>
          </cell>
        </row>
        <row r="312">
          <cell r="C312" t="str">
            <v>Made Windu Kuntara</v>
          </cell>
          <cell r="D312">
            <v>93.004999999999995</v>
          </cell>
        </row>
        <row r="313">
          <cell r="C313" t="str">
            <v>Made Windu Kuntara</v>
          </cell>
          <cell r="D313">
            <v>90.37</v>
          </cell>
        </row>
        <row r="314">
          <cell r="C314" t="str">
            <v>Made Windu Kuntara</v>
          </cell>
          <cell r="D314">
            <v>86.929000000000002</v>
          </cell>
        </row>
        <row r="315">
          <cell r="C315" t="str">
            <v>Made Windu Kuntara</v>
          </cell>
          <cell r="D315">
            <v>90.667000000000002</v>
          </cell>
        </row>
        <row r="316">
          <cell r="C316" t="str">
            <v>Made Windu Kuntara</v>
          </cell>
          <cell r="D316">
            <v>89.778000000000006</v>
          </cell>
        </row>
        <row r="317">
          <cell r="C317" t="str">
            <v>Made Windu Kuntara</v>
          </cell>
          <cell r="D317">
            <v>91.328000000000003</v>
          </cell>
        </row>
        <row r="318">
          <cell r="C318" t="str">
            <v>Made Windu Kuntara</v>
          </cell>
          <cell r="D318">
            <v>89.155000000000001</v>
          </cell>
        </row>
        <row r="319">
          <cell r="C319" t="str">
            <v>Made Windu Kuntara</v>
          </cell>
          <cell r="D319">
            <v>87.597999999999999</v>
          </cell>
        </row>
        <row r="320">
          <cell r="C320" t="str">
            <v>Made Windu Kuntara</v>
          </cell>
          <cell r="D320">
            <v>90.540999999999997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98.213999999999999</v>
          </cell>
        </row>
        <row r="323">
          <cell r="C323" t="str">
            <v>Jusuf Charles Rumende (PN : 00059432)</v>
          </cell>
          <cell r="D323">
            <v>96.725999999999999</v>
          </cell>
        </row>
        <row r="324">
          <cell r="C324" t="str">
            <v>Jusuf Charles Rumende (PN : 00059432)</v>
          </cell>
          <cell r="D324">
            <v>95.703000000000003</v>
          </cell>
        </row>
        <row r="325">
          <cell r="C325" t="str">
            <v>Jusuf Charles Rumende (PN : 00059432)</v>
          </cell>
          <cell r="D325">
            <v>97.283000000000001</v>
          </cell>
        </row>
        <row r="326">
          <cell r="C326" t="str">
            <v>Jusuf Charles Rumende (PN : 00059432)</v>
          </cell>
          <cell r="D326">
            <v>93.947999999999993</v>
          </cell>
        </row>
        <row r="327">
          <cell r="C327" t="str">
            <v>Jusuf Charles Rumende (PN : 00059432)</v>
          </cell>
          <cell r="D327">
            <v>97.558999999999997</v>
          </cell>
        </row>
        <row r="328">
          <cell r="C328" t="str">
            <v>Jusuf Charles Rumende (PN : 00059432)</v>
          </cell>
          <cell r="D328">
            <v>98.918999999999997</v>
          </cell>
        </row>
        <row r="329">
          <cell r="C329" t="str">
            <v>Jusuf Charles Rumende (PN : 00059432)</v>
          </cell>
          <cell r="D329">
            <v>97.075000000000003</v>
          </cell>
        </row>
        <row r="330">
          <cell r="C330" t="str">
            <v>Jusuf Charles Rumende (PN : 00059432)</v>
          </cell>
          <cell r="D330">
            <v>97.724000000000004</v>
          </cell>
        </row>
        <row r="331">
          <cell r="C331" t="str">
            <v>Jusuf Charles Rumende (PN : 00059432)</v>
          </cell>
          <cell r="D331">
            <v>98.344999999999999</v>
          </cell>
        </row>
        <row r="332">
          <cell r="C332" t="str">
            <v>Jusuf Charles Rumende (PN : 00059432)</v>
          </cell>
          <cell r="D332">
            <v>96.983000000000004</v>
          </cell>
        </row>
        <row r="333">
          <cell r="C333" t="str">
            <v>Jusuf Charles Rumende (PN : 00059432)</v>
          </cell>
          <cell r="D333">
            <v>94.691000000000003</v>
          </cell>
        </row>
        <row r="334">
          <cell r="C334" t="str">
            <v>Jusuf Charles Rumende (PN : 00059432)</v>
          </cell>
          <cell r="D334">
            <v>95.042000000000002</v>
          </cell>
        </row>
        <row r="335">
          <cell r="C335" t="str">
            <v>Jusuf Charles Rumende (PN : 00059432)</v>
          </cell>
          <cell r="D335">
            <v>97.554000000000002</v>
          </cell>
        </row>
        <row r="336">
          <cell r="C336" t="str">
            <v>Jusuf Charles Rumende (PN : 00059432)</v>
          </cell>
          <cell r="D336">
            <v>97.381</v>
          </cell>
        </row>
        <row r="337">
          <cell r="C337" t="str">
            <v>Jusuf Charles Rumende (PN : 00059432)</v>
          </cell>
          <cell r="D337">
            <v>89.177999999999997</v>
          </cell>
        </row>
        <row r="338">
          <cell r="C338" t="str">
            <v>Jusuf Charles Rumende (PN : 00059432)</v>
          </cell>
          <cell r="D338">
            <v>96.694000000000003</v>
          </cell>
        </row>
        <row r="339">
          <cell r="C339" t="str">
            <v>Jusuf Charles Rumende (PN : 00059432)</v>
          </cell>
          <cell r="D339">
            <v>97.84</v>
          </cell>
        </row>
        <row r="340">
          <cell r="C340" t="str">
            <v>Jusuf Charles Rumende (PN : 00059432)</v>
          </cell>
          <cell r="D340">
            <v>93.770491800000002</v>
          </cell>
        </row>
        <row r="341">
          <cell r="C341" t="str">
            <v>Jusuf Charles Rumende (PN : 00059432)</v>
          </cell>
          <cell r="D341">
            <v>94.286000000000001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98.394999999999996</v>
          </cell>
        </row>
        <row r="344">
          <cell r="C344" t="str">
            <v>Syamsul Arifianto</v>
          </cell>
          <cell r="D344">
            <v>96.272999999999996</v>
          </cell>
        </row>
        <row r="345">
          <cell r="C345" t="str">
            <v>Syamsul Arifianto</v>
          </cell>
          <cell r="D345">
            <v>95.661000000000001</v>
          </cell>
        </row>
        <row r="346">
          <cell r="C346" t="str">
            <v>Syamsul Arifianto</v>
          </cell>
          <cell r="D346">
            <v>98.111000000000004</v>
          </cell>
        </row>
        <row r="347">
          <cell r="C347" t="str">
            <v>Syamsul Arifianto</v>
          </cell>
          <cell r="D347">
            <v>97.387</v>
          </cell>
        </row>
        <row r="348">
          <cell r="C348" t="str">
            <v>Syamsul Arifianto</v>
          </cell>
          <cell r="D348">
            <v>97.376999999999995</v>
          </cell>
        </row>
        <row r="349">
          <cell r="C349" t="str">
            <v>Syamsul Arifianto</v>
          </cell>
          <cell r="D349">
            <v>98.617000000000004</v>
          </cell>
        </row>
        <row r="350">
          <cell r="C350" t="str">
            <v>Syamsul Arifianto</v>
          </cell>
          <cell r="D350">
            <v>97.52</v>
          </cell>
        </row>
        <row r="351">
          <cell r="C351" t="str">
            <v>Syamsul Arifianto</v>
          </cell>
          <cell r="D351">
            <v>98.076999999999998</v>
          </cell>
        </row>
        <row r="352">
          <cell r="C352" t="str">
            <v>Syamsul Arifianto</v>
          </cell>
          <cell r="D352">
            <v>98.272000000000006</v>
          </cell>
        </row>
        <row r="353">
          <cell r="C353" t="str">
            <v>Syamsul Arifianto</v>
          </cell>
          <cell r="D353">
            <v>96.046999999999997</v>
          </cell>
        </row>
        <row r="354">
          <cell r="C354" t="str">
            <v>Veronica Dwi Kurniasih</v>
          </cell>
          <cell r="D354">
            <v>98.977000000000004</v>
          </cell>
        </row>
        <row r="355">
          <cell r="C355" t="str">
            <v>Veronica Dwi Kurniasih</v>
          </cell>
          <cell r="D355">
            <v>96.760999999999996</v>
          </cell>
        </row>
        <row r="356">
          <cell r="C356" t="str">
            <v>Veronica Dwi Kurniasih</v>
          </cell>
          <cell r="D356">
            <v>96.844999999999999</v>
          </cell>
        </row>
        <row r="357">
          <cell r="C357" t="str">
            <v>Veronica Dwi Kurniasih</v>
          </cell>
          <cell r="D357">
            <v>96.602999999999994</v>
          </cell>
        </row>
        <row r="358">
          <cell r="C358" t="str">
            <v>Veronica Dwi Kurniasih</v>
          </cell>
          <cell r="D358">
            <v>95.081999999999994</v>
          </cell>
        </row>
        <row r="359">
          <cell r="C359" t="str">
            <v>Veronica Dwi Kurniasih</v>
          </cell>
          <cell r="D359">
            <v>97.468000000000004</v>
          </cell>
        </row>
        <row r="360">
          <cell r="C360" t="str">
            <v>Veronica Dwi Kurniasih</v>
          </cell>
          <cell r="D360">
            <v>95.552999999999997</v>
          </cell>
        </row>
        <row r="361">
          <cell r="C361" t="str">
            <v>Veronica Dwi Kurniasih</v>
          </cell>
          <cell r="D361">
            <v>97.948999999999998</v>
          </cell>
        </row>
        <row r="362">
          <cell r="C362" t="str">
            <v>Veronica Dwi Kurniasih</v>
          </cell>
          <cell r="D362">
            <v>98.956000000000003</v>
          </cell>
        </row>
        <row r="363">
          <cell r="C363" t="str">
            <v>Veronica Dwi Kurniasih</v>
          </cell>
          <cell r="D363">
            <v>98.881</v>
          </cell>
        </row>
        <row r="364">
          <cell r="C364" t="str">
            <v>Veronica Dwi Kurniasih</v>
          </cell>
          <cell r="D364">
            <v>95.403000000000006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97.98</v>
          </cell>
        </row>
        <row r="367">
          <cell r="C367" t="str">
            <v>Asep Kristiono</v>
          </cell>
          <cell r="D367">
            <v>97.691999999999993</v>
          </cell>
        </row>
        <row r="368">
          <cell r="C368" t="str">
            <v>Asep Kristiono</v>
          </cell>
          <cell r="D368">
            <v>98.709000000000003</v>
          </cell>
        </row>
        <row r="369">
          <cell r="C369" t="str">
            <v>Asep Kristiono</v>
          </cell>
          <cell r="D369">
            <v>98.031000000000006</v>
          </cell>
        </row>
        <row r="370">
          <cell r="C370" t="str">
            <v>Asep Kristiono</v>
          </cell>
          <cell r="D370">
            <v>98.159000000000006</v>
          </cell>
        </row>
        <row r="371">
          <cell r="C371" t="str">
            <v>Asep Kristiono</v>
          </cell>
          <cell r="D371">
            <v>97.617000000000004</v>
          </cell>
        </row>
        <row r="372">
          <cell r="C372" t="str">
            <v>Asep Kristiono</v>
          </cell>
          <cell r="D372">
            <v>97.427000000000007</v>
          </cell>
        </row>
        <row r="373">
          <cell r="C373" t="str">
            <v>Asep Kristiono</v>
          </cell>
          <cell r="D373">
            <v>97.444000000000003</v>
          </cell>
        </row>
        <row r="374">
          <cell r="C374" t="str">
            <v>Asep Kristiono</v>
          </cell>
          <cell r="D374">
            <v>97.302999999999997</v>
          </cell>
        </row>
        <row r="375">
          <cell r="C375" t="str">
            <v>Asep Kristiono</v>
          </cell>
          <cell r="D375">
            <v>97.563999999999993</v>
          </cell>
        </row>
        <row r="376">
          <cell r="C376" t="str">
            <v>Asep Kristiono</v>
          </cell>
          <cell r="D376">
            <v>98.557000000000002</v>
          </cell>
        </row>
        <row r="377">
          <cell r="C377" t="str">
            <v>Dian Septianti</v>
          </cell>
          <cell r="D377">
            <v>97.894736839999993</v>
          </cell>
        </row>
        <row r="378">
          <cell r="C378" t="str">
            <v>Dian Septianti</v>
          </cell>
          <cell r="D378">
            <v>98.545000000000002</v>
          </cell>
        </row>
        <row r="379">
          <cell r="C379" t="str">
            <v>Dian Septianti</v>
          </cell>
          <cell r="D379">
            <v>98.932000000000002</v>
          </cell>
        </row>
        <row r="380">
          <cell r="C380" t="str">
            <v>Dian Septianti</v>
          </cell>
          <cell r="D380">
            <v>98.081999999999994</v>
          </cell>
        </row>
        <row r="381">
          <cell r="C381" t="str">
            <v>Dian Septianti</v>
          </cell>
          <cell r="D381">
            <v>98.478999999999999</v>
          </cell>
        </row>
        <row r="382">
          <cell r="C382" t="str">
            <v>Dian Septianti</v>
          </cell>
          <cell r="D382">
            <v>97.384</v>
          </cell>
        </row>
        <row r="383">
          <cell r="C383" t="str">
            <v>Dian Septianti</v>
          </cell>
          <cell r="D383">
            <v>97.364000000000004</v>
          </cell>
        </row>
        <row r="384">
          <cell r="C384" t="str">
            <v>Dian Septianti</v>
          </cell>
          <cell r="D384">
            <v>98.834999999999994</v>
          </cell>
        </row>
        <row r="385">
          <cell r="C385" t="str">
            <v>Dian Septianti</v>
          </cell>
          <cell r="D385">
            <v>97.668000000000006</v>
          </cell>
        </row>
        <row r="386">
          <cell r="C386" t="str">
            <v>Dian Septianti</v>
          </cell>
          <cell r="D386">
            <v>97.991</v>
          </cell>
        </row>
        <row r="387">
          <cell r="C387" t="str">
            <v>Dian Septianti</v>
          </cell>
          <cell r="D387">
            <v>97.697999999999993</v>
          </cell>
        </row>
        <row r="388">
          <cell r="C388" t="str">
            <v>Waras Suyitno</v>
          </cell>
          <cell r="D388">
            <v>98.546000000000006</v>
          </cell>
        </row>
        <row r="389">
          <cell r="C389" t="str">
            <v>Waras Suyitno</v>
          </cell>
          <cell r="D389">
            <v>98.840999999999994</v>
          </cell>
        </row>
        <row r="390">
          <cell r="C390" t="str">
            <v>Waras Suyitno</v>
          </cell>
          <cell r="D390">
            <v>97.436000000000007</v>
          </cell>
        </row>
        <row r="391">
          <cell r="C391" t="str">
            <v>Waras Suyitno</v>
          </cell>
          <cell r="D391">
            <v>97.712000000000003</v>
          </cell>
        </row>
        <row r="392">
          <cell r="C392" t="str">
            <v>Waras Suyitno</v>
          </cell>
          <cell r="D392">
            <v>97.831000000000003</v>
          </cell>
        </row>
        <row r="393">
          <cell r="C393" t="str">
            <v>Waras Suyitno</v>
          </cell>
          <cell r="D393">
            <v>98.125</v>
          </cell>
        </row>
        <row r="394">
          <cell r="C394" t="str">
            <v>Waras Suyitno</v>
          </cell>
          <cell r="D394">
            <v>97.61</v>
          </cell>
        </row>
        <row r="395">
          <cell r="C395" t="str">
            <v>Waras Suyitno</v>
          </cell>
          <cell r="D395">
            <v>98.438000000000002</v>
          </cell>
        </row>
        <row r="396">
          <cell r="C396" t="str">
            <v>Waras Suyitno</v>
          </cell>
          <cell r="D396">
            <v>98.495000000000005</v>
          </cell>
        </row>
        <row r="397">
          <cell r="C397" t="str">
            <v>Waras Suyitno</v>
          </cell>
          <cell r="D397">
            <v>98.376999999999995</v>
          </cell>
        </row>
        <row r="398">
          <cell r="C398" t="str">
            <v>Waras Suyitno</v>
          </cell>
          <cell r="D398">
            <v>98.587000000000003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96.010999999999996</v>
          </cell>
        </row>
        <row r="401">
          <cell r="C401" t="str">
            <v>Moch. Arief Budiman</v>
          </cell>
          <cell r="D401">
            <v>95.763000000000005</v>
          </cell>
        </row>
        <row r="402">
          <cell r="C402" t="str">
            <v>Moch. Arief Budiman</v>
          </cell>
          <cell r="D402">
            <v>95.126000000000005</v>
          </cell>
        </row>
        <row r="403">
          <cell r="C403" t="str">
            <v>Moch. Arief Budiman</v>
          </cell>
          <cell r="D403">
            <v>96.649000000000001</v>
          </cell>
        </row>
        <row r="404">
          <cell r="C404" t="str">
            <v>Moch. Arief Budiman</v>
          </cell>
          <cell r="D404">
            <v>95.462000000000003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96.837999999999994</v>
          </cell>
        </row>
        <row r="407">
          <cell r="C407" t="str">
            <v>Moch. Arief Budiman</v>
          </cell>
          <cell r="D407">
            <v>96.486000000000004</v>
          </cell>
        </row>
        <row r="408">
          <cell r="C408" t="str">
            <v>Rukiyat Prihantoko</v>
          </cell>
          <cell r="D408">
            <v>98.941999999999993</v>
          </cell>
        </row>
        <row r="409">
          <cell r="C409" t="str">
            <v>Rukiyat Prihantoko</v>
          </cell>
          <cell r="D409">
            <v>95.477999999999994</v>
          </cell>
        </row>
        <row r="410">
          <cell r="C410" t="str">
            <v>Rukiyat Prihantoko</v>
          </cell>
          <cell r="D410">
            <v>97.206000000000003</v>
          </cell>
        </row>
        <row r="411">
          <cell r="C411" t="str">
            <v>Rukiyat Prihantoko</v>
          </cell>
          <cell r="D411">
            <v>96.429000000000002</v>
          </cell>
        </row>
        <row r="412">
          <cell r="C412" t="str">
            <v>Rukiyat Prihantoko</v>
          </cell>
          <cell r="D412">
            <v>97.2</v>
          </cell>
        </row>
        <row r="413">
          <cell r="C413" t="str">
            <v>Rukiyat Prihantoko</v>
          </cell>
          <cell r="D413">
            <v>94.326999999999998</v>
          </cell>
        </row>
        <row r="414">
          <cell r="C414" t="str">
            <v>Rukiyat Prihantoko</v>
          </cell>
          <cell r="D414">
            <v>96.841999999999999</v>
          </cell>
        </row>
        <row r="415">
          <cell r="C415" t="str">
            <v>Rukiyat Prihantoko</v>
          </cell>
          <cell r="D415">
            <v>95.116</v>
          </cell>
        </row>
        <row r="416">
          <cell r="C416" t="str">
            <v>Rukiyat Prihantoko</v>
          </cell>
          <cell r="D416">
            <v>97.899000000000001</v>
          </cell>
        </row>
        <row r="417">
          <cell r="C417" t="str">
            <v>Sutrisno Hadi Pranoto</v>
          </cell>
          <cell r="D417">
            <v>96.763000000000005</v>
          </cell>
        </row>
        <row r="418">
          <cell r="C418" t="str">
            <v>Sutrisno Hadi Pranoto</v>
          </cell>
          <cell r="D418">
            <v>96.224000000000004</v>
          </cell>
        </row>
        <row r="419">
          <cell r="C419" t="str">
            <v>Sutrisno Hadi Pranoto</v>
          </cell>
          <cell r="D419">
            <v>95.805999999999997</v>
          </cell>
        </row>
        <row r="420">
          <cell r="C420" t="str">
            <v>Sutrisno Hadi Pranoto</v>
          </cell>
          <cell r="D420">
            <v>91.658000000000001</v>
          </cell>
        </row>
        <row r="421">
          <cell r="C421" t="str">
            <v>Sutrisno Hadi Pranoto</v>
          </cell>
          <cell r="D421">
            <v>92.292000000000002</v>
          </cell>
        </row>
        <row r="422">
          <cell r="C422" t="str">
            <v>Sutrisno Hadi Pranoto</v>
          </cell>
          <cell r="D422">
            <v>95.704999999999998</v>
          </cell>
        </row>
        <row r="423">
          <cell r="C423" t="str">
            <v>Sutrisno Hadi Pranoto</v>
          </cell>
          <cell r="D423">
            <v>95.765000000000001</v>
          </cell>
        </row>
        <row r="424">
          <cell r="C424" t="str">
            <v>Sutrisno Hadi Pranoto</v>
          </cell>
          <cell r="D424">
            <v>96.403999999999996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98.44</v>
          </cell>
        </row>
        <row r="427">
          <cell r="C427" t="str">
            <v>Bambang Dwi Raharjo</v>
          </cell>
          <cell r="D427">
            <v>97.481999999999999</v>
          </cell>
        </row>
        <row r="428">
          <cell r="C428" t="str">
            <v>Bambang Dwi Raharjo</v>
          </cell>
          <cell r="D428">
            <v>94.599000000000004</v>
          </cell>
        </row>
        <row r="429">
          <cell r="C429" t="str">
            <v>Bambang Dwi Raharjo</v>
          </cell>
          <cell r="D429">
            <v>97.350999999999999</v>
          </cell>
        </row>
        <row r="430">
          <cell r="C430" t="str">
            <v>Bambang Dwi Raharjo</v>
          </cell>
          <cell r="D430">
            <v>98.581999999999994</v>
          </cell>
        </row>
        <row r="431">
          <cell r="C431" t="str">
            <v>Bambang Dwi Raharjo</v>
          </cell>
          <cell r="D431">
            <v>96.703000000000003</v>
          </cell>
        </row>
        <row r="432">
          <cell r="C432" t="str">
            <v>Herry Kurniawan</v>
          </cell>
          <cell r="D432">
            <v>96.948999999999998</v>
          </cell>
        </row>
        <row r="433">
          <cell r="C433" t="str">
            <v>Herry Kurniawan</v>
          </cell>
          <cell r="D433">
            <v>94.914000000000001</v>
          </cell>
        </row>
        <row r="434">
          <cell r="C434" t="str">
            <v>Herry Kurniawan</v>
          </cell>
          <cell r="D434">
            <v>95.813999999999993</v>
          </cell>
        </row>
        <row r="435">
          <cell r="C435" t="str">
            <v>Herry Kurniawan</v>
          </cell>
          <cell r="D435">
            <v>98.349000000000004</v>
          </cell>
        </row>
        <row r="436">
          <cell r="C436" t="str">
            <v>Herry Kurniawan</v>
          </cell>
          <cell r="D436">
            <v>92.352999999999994</v>
          </cell>
        </row>
        <row r="437">
          <cell r="C437" t="str">
            <v>Herry Kurniawan</v>
          </cell>
          <cell r="D437">
            <v>96.632999999999996</v>
          </cell>
        </row>
        <row r="438">
          <cell r="C438" t="str">
            <v>Richard Siburian</v>
          </cell>
          <cell r="D438">
            <v>97.100999999999999</v>
          </cell>
        </row>
        <row r="439">
          <cell r="C439" t="str">
            <v>Richard Siburian</v>
          </cell>
          <cell r="D439">
            <v>97.373000000000005</v>
          </cell>
        </row>
        <row r="440">
          <cell r="C440" t="str">
            <v>Richard Siburian</v>
          </cell>
          <cell r="D440">
            <v>99.338999999999999</v>
          </cell>
        </row>
        <row r="441">
          <cell r="C441" t="str">
            <v>Richard Siburian</v>
          </cell>
          <cell r="D441">
            <v>96.542000000000002</v>
          </cell>
        </row>
        <row r="442">
          <cell r="C442" t="str">
            <v>Richard Siburian</v>
          </cell>
          <cell r="D442">
            <v>96.509</v>
          </cell>
        </row>
        <row r="443">
          <cell r="C443" t="str">
            <v>Richard Siburian</v>
          </cell>
          <cell r="D443">
            <v>95.667000000000002</v>
          </cell>
        </row>
        <row r="444">
          <cell r="C444" t="str">
            <v>Zulkarnain</v>
          </cell>
          <cell r="D444">
            <v>94.480999999999995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94.438000000000002</v>
          </cell>
        </row>
        <row r="447">
          <cell r="C447" t="str">
            <v>Zulkarnain</v>
          </cell>
          <cell r="D447">
            <v>95.149000000000001</v>
          </cell>
        </row>
        <row r="448">
          <cell r="C448" t="str">
            <v>Zulkarnain</v>
          </cell>
          <cell r="D448">
            <v>97.957999999999998</v>
          </cell>
        </row>
        <row r="449">
          <cell r="C449" t="str">
            <v>Zulkarnain</v>
          </cell>
          <cell r="D449">
            <v>95.320999999999998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95.926000000000002</v>
          </cell>
        </row>
        <row r="452">
          <cell r="C452" t="str">
            <v>Hany Pratiwi</v>
          </cell>
          <cell r="D452">
            <v>95.394999999999996</v>
          </cell>
        </row>
        <row r="453">
          <cell r="C453" t="str">
            <v>Hany Pratiwi</v>
          </cell>
          <cell r="D453">
            <v>97.009</v>
          </cell>
        </row>
        <row r="454">
          <cell r="C454" t="str">
            <v>Hany Pratiwi</v>
          </cell>
          <cell r="D454">
            <v>96.331000000000003</v>
          </cell>
        </row>
        <row r="455">
          <cell r="C455" t="str">
            <v>Hany Pratiwi</v>
          </cell>
          <cell r="D455">
            <v>95.661000000000001</v>
          </cell>
        </row>
        <row r="456">
          <cell r="C456" t="str">
            <v>Hany Pratiwi</v>
          </cell>
          <cell r="D456">
            <v>95.287000000000006</v>
          </cell>
        </row>
        <row r="457">
          <cell r="C457" t="str">
            <v>Hany Pratiwi</v>
          </cell>
          <cell r="D457">
            <v>97.537999999999997</v>
          </cell>
        </row>
        <row r="458">
          <cell r="C458" t="str">
            <v>Hany Pratiwi</v>
          </cell>
          <cell r="D458">
            <v>95.891999999999996</v>
          </cell>
        </row>
        <row r="459">
          <cell r="C459" t="str">
            <v>Hany Pratiwi</v>
          </cell>
          <cell r="D459">
            <v>96.816000000000003</v>
          </cell>
        </row>
        <row r="460">
          <cell r="C460" t="str">
            <v>Hany Pratiwi</v>
          </cell>
          <cell r="D460">
            <v>96.667000000000002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98.364000000000004</v>
          </cell>
        </row>
        <row r="463">
          <cell r="C463" t="str">
            <v>Reifika Dekrin</v>
          </cell>
          <cell r="D463">
            <v>95.724999999999994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96.933000000000007</v>
          </cell>
        </row>
        <row r="466">
          <cell r="C466" t="str">
            <v>Reifika Dekrin</v>
          </cell>
          <cell r="D466">
            <v>97.344999999999999</v>
          </cell>
        </row>
        <row r="467">
          <cell r="C467" t="str">
            <v>Reifika Dekrin</v>
          </cell>
          <cell r="D467">
            <v>96.058999999999997</v>
          </cell>
        </row>
        <row r="468">
          <cell r="C468" t="str">
            <v>Reifika Dekrin</v>
          </cell>
          <cell r="D468">
            <v>96.373999999999995</v>
          </cell>
        </row>
        <row r="469">
          <cell r="C469" t="str">
            <v>Reifika Dekrin</v>
          </cell>
          <cell r="D469">
            <v>97.447999999999993</v>
          </cell>
        </row>
        <row r="470">
          <cell r="C470" t="str">
            <v>Reifika Dekrin</v>
          </cell>
          <cell r="D470">
            <v>96.945999999999998</v>
          </cell>
        </row>
        <row r="471">
          <cell r="C471" t="str">
            <v>Reifika Dekrin</v>
          </cell>
          <cell r="D471">
            <v>95.332999999999998</v>
          </cell>
        </row>
        <row r="472">
          <cell r="C472" t="str">
            <v>Reifika Dekrin</v>
          </cell>
          <cell r="D472">
            <v>96.418000000000006</v>
          </cell>
        </row>
      </sheetData>
      <sheetData sheetId="5">
        <row r="2">
          <cell r="C2" t="str">
            <v>Andi Faisal Putra</v>
          </cell>
          <cell r="D2">
            <v>0.51648351648351698</v>
          </cell>
        </row>
        <row r="3">
          <cell r="C3" t="str">
            <v>Andi Faisal Putra</v>
          </cell>
          <cell r="D3">
            <v>0.592592592592593</v>
          </cell>
        </row>
        <row r="4">
          <cell r="C4" t="str">
            <v>Andi Faisal Putra</v>
          </cell>
          <cell r="D4">
            <v>0.97159090909090895</v>
          </cell>
        </row>
        <row r="5">
          <cell r="C5" t="str">
            <v>Andi Faisal Putra</v>
          </cell>
          <cell r="D5">
            <v>0.67785234899328894</v>
          </cell>
        </row>
        <row r="6">
          <cell r="C6" t="str">
            <v>Andi Faisal Putra</v>
          </cell>
          <cell r="D6">
            <v>0.475728155339806</v>
          </cell>
        </row>
        <row r="7">
          <cell r="C7" t="str">
            <v>Andi Faisal Putra</v>
          </cell>
          <cell r="D7">
            <v>0.63636363636363602</v>
          </cell>
        </row>
        <row r="8">
          <cell r="C8" t="str">
            <v>Andi Faisal Putra</v>
          </cell>
          <cell r="D8">
            <v>0.57868020304568502</v>
          </cell>
        </row>
        <row r="9">
          <cell r="C9" t="str">
            <v>Andi Faisal Putra</v>
          </cell>
          <cell r="D9">
            <v>0.57246376811594202</v>
          </cell>
        </row>
        <row r="10">
          <cell r="C10" t="str">
            <v>Andi Faisal Putra</v>
          </cell>
          <cell r="D10">
            <v>0.22289156626505999</v>
          </cell>
        </row>
        <row r="11">
          <cell r="C11" t="str">
            <v>Andi Faisal Putra</v>
          </cell>
          <cell r="D11">
            <v>0.85454545454545405</v>
          </cell>
        </row>
        <row r="12">
          <cell r="C12" t="str">
            <v>Andi Perkasa</v>
          </cell>
          <cell r="D12">
            <v>0.90909090909090895</v>
          </cell>
        </row>
        <row r="13">
          <cell r="C13" t="str">
            <v>Andi Perkasa</v>
          </cell>
          <cell r="D13">
            <v>0.79310344827586199</v>
          </cell>
        </row>
        <row r="14">
          <cell r="C14" t="str">
            <v>Andi Perkasa</v>
          </cell>
          <cell r="D14">
            <v>0.75151515151515103</v>
          </cell>
        </row>
        <row r="15">
          <cell r="C15" t="str">
            <v>Andi Perkasa</v>
          </cell>
          <cell r="D15">
            <v>0.57142857142857095</v>
          </cell>
        </row>
        <row r="16">
          <cell r="C16" t="str">
            <v>Andi Perkasa</v>
          </cell>
          <cell r="D16">
            <v>0.70833333333333304</v>
          </cell>
        </row>
        <row r="17">
          <cell r="C17" t="str">
            <v>Andi Perkasa</v>
          </cell>
          <cell r="D17">
            <v>5.1948051948051903E-2</v>
          </cell>
        </row>
        <row r="18">
          <cell r="C18" t="str">
            <v>Andi Perkasa</v>
          </cell>
          <cell r="D18">
            <v>0.68911917098445596</v>
          </cell>
        </row>
        <row r="19">
          <cell r="C19" t="str">
            <v>Andi Perkasa</v>
          </cell>
          <cell r="D19">
            <v>0.23529411764705899</v>
          </cell>
        </row>
        <row r="20">
          <cell r="C20" t="str">
            <v>Andi Perkasa</v>
          </cell>
          <cell r="D20">
            <v>0.50655021834061098</v>
          </cell>
        </row>
        <row r="21">
          <cell r="C21" t="str">
            <v>Janse Paburru</v>
          </cell>
          <cell r="D21">
            <v>0.63921568627450998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0.70414201183432001</v>
          </cell>
        </row>
        <row r="24">
          <cell r="C24" t="str">
            <v>Janse Paburru</v>
          </cell>
          <cell r="D24">
            <v>0.79296875</v>
          </cell>
        </row>
        <row r="25">
          <cell r="C25" t="str">
            <v>Janse Paburru</v>
          </cell>
          <cell r="D25">
            <v>0.54978354978355004</v>
          </cell>
        </row>
        <row r="26">
          <cell r="C26" t="str">
            <v>Janse Paburru</v>
          </cell>
          <cell r="D26">
            <v>0.64192139737991305</v>
          </cell>
        </row>
        <row r="27">
          <cell r="C27" t="str">
            <v>Janse Paburru</v>
          </cell>
          <cell r="D27">
            <v>0.92574257425742601</v>
          </cell>
        </row>
        <row r="28">
          <cell r="C28" t="str">
            <v>Janse Paburru</v>
          </cell>
          <cell r="D28">
            <v>0.939393939393939</v>
          </cell>
        </row>
        <row r="29">
          <cell r="C29" t="str">
            <v>M Sardi Rampo</v>
          </cell>
          <cell r="D29">
            <v>0.96124031007751898</v>
          </cell>
        </row>
        <row r="30">
          <cell r="C30" t="str">
            <v>M Sardi Rampo</v>
          </cell>
          <cell r="D30">
            <v>0.99056603773584895</v>
          </cell>
        </row>
        <row r="31">
          <cell r="C31" t="str">
            <v>M Sardi Rampo</v>
          </cell>
          <cell r="D31">
            <v>0.71563981042654001</v>
          </cell>
        </row>
        <row r="32">
          <cell r="C32" t="str">
            <v>M Sardi Rampo</v>
          </cell>
          <cell r="D32">
            <v>0.89642857142857102</v>
          </cell>
        </row>
        <row r="33">
          <cell r="C33" t="str">
            <v>M Sardi Rampo</v>
          </cell>
          <cell r="D33">
            <v>0.58403361344537796</v>
          </cell>
        </row>
        <row r="34">
          <cell r="C34" t="str">
            <v>M Sardi Rampo</v>
          </cell>
          <cell r="D34">
            <v>0.96256684491978595</v>
          </cell>
        </row>
        <row r="35">
          <cell r="C35" t="str">
            <v>M Sardi Rampo</v>
          </cell>
          <cell r="D35">
            <v>0.94581280788177302</v>
          </cell>
        </row>
        <row r="36">
          <cell r="C36" t="str">
            <v>M Sardi Rampo</v>
          </cell>
          <cell r="D36">
            <v>0.78606965174129295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0.79545454545454497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0.97090909090909105</v>
          </cell>
        </row>
        <row r="42">
          <cell r="C42" t="str">
            <v>Ariyanto B</v>
          </cell>
          <cell r="D42">
            <v>0.98198198198198205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0.95833333333333304</v>
          </cell>
        </row>
        <row r="45">
          <cell r="C45" t="str">
            <v>Ariyanto B</v>
          </cell>
          <cell r="D45">
            <v>0.99545454545454504</v>
          </cell>
        </row>
        <row r="46">
          <cell r="C46" t="str">
            <v>Ariyanto B</v>
          </cell>
          <cell r="D46">
            <v>0.98823529411764699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0.99653979238754298</v>
          </cell>
        </row>
        <row r="49">
          <cell r="C49" t="str">
            <v>Ryan Fabella Lisa</v>
          </cell>
          <cell r="D49">
            <v>0.99248120300751896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0.96958174904942995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0.78443113772455098</v>
          </cell>
        </row>
        <row r="56">
          <cell r="C56" t="str">
            <v>Rinaldi Wicaksana</v>
          </cell>
          <cell r="D56">
            <v>0.43678160919540199</v>
          </cell>
        </row>
        <row r="57">
          <cell r="C57" t="str">
            <v>Rinaldi Wicaksana</v>
          </cell>
          <cell r="D57">
            <v>0.83928571428571397</v>
          </cell>
        </row>
        <row r="58">
          <cell r="C58" t="str">
            <v>Rinaldi Wicaksana</v>
          </cell>
          <cell r="D58">
            <v>0.91011235955056202</v>
          </cell>
        </row>
        <row r="59">
          <cell r="C59" t="str">
            <v>Rinaldi Wicaksana</v>
          </cell>
          <cell r="D59">
            <v>0.86538461538461497</v>
          </cell>
        </row>
        <row r="60">
          <cell r="C60" t="str">
            <v>Rinaldi Wicaksana</v>
          </cell>
          <cell r="D60">
            <v>0.81506849315068497</v>
          </cell>
        </row>
        <row r="61">
          <cell r="C61" t="str">
            <v>Rinaldi Wicaksana</v>
          </cell>
          <cell r="D61">
            <v>0.47368421052631599</v>
          </cell>
        </row>
        <row r="62">
          <cell r="C62" t="str">
            <v>Rinaldi Wicaksana</v>
          </cell>
          <cell r="D62">
            <v>0.38842975206611602</v>
          </cell>
        </row>
        <row r="63">
          <cell r="C63" t="str">
            <v>Rinaldi Wicaksana</v>
          </cell>
          <cell r="D63">
            <v>0.78620689655172404</v>
          </cell>
        </row>
        <row r="64">
          <cell r="C64" t="str">
            <v>Rinaldi Wicaksana</v>
          </cell>
          <cell r="D64">
            <v>0.644067796610169</v>
          </cell>
        </row>
        <row r="65">
          <cell r="C65" t="str">
            <v>Rinaldi Wicaksana</v>
          </cell>
          <cell r="D65">
            <v>0.83259911894273098</v>
          </cell>
        </row>
        <row r="66">
          <cell r="C66" t="str">
            <v>Rinaldi Wicaksana</v>
          </cell>
          <cell r="D66">
            <v>0.63909774436090205</v>
          </cell>
        </row>
        <row r="67">
          <cell r="C67" t="str">
            <v>Rinaldi Wicaksana</v>
          </cell>
          <cell r="D67">
            <v>0.63855421686747005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0.81847133757961799</v>
          </cell>
        </row>
        <row r="71">
          <cell r="C71" t="str">
            <v>Imelda Mayestika P.</v>
          </cell>
          <cell r="D71">
            <v>0.87719298245613997</v>
          </cell>
        </row>
        <row r="72">
          <cell r="C72" t="str">
            <v>Imelda Mayestika P.</v>
          </cell>
          <cell r="D72">
            <v>0.70382165605095504</v>
          </cell>
        </row>
        <row r="73">
          <cell r="C73" t="str">
            <v>Imelda Mayestika P.</v>
          </cell>
          <cell r="D73">
            <v>0.60583941605839398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0.44541484716157198</v>
          </cell>
        </row>
        <row r="76">
          <cell r="C76" t="str">
            <v>Imelda Mayestika P.</v>
          </cell>
          <cell r="D76">
            <v>0.68487394957983205</v>
          </cell>
        </row>
        <row r="77">
          <cell r="C77" t="str">
            <v>Imelda Mayestika P.</v>
          </cell>
          <cell r="D77">
            <v>0.92976588628762502</v>
          </cell>
        </row>
        <row r="78">
          <cell r="C78" t="str">
            <v>Imelda Mayestika P.</v>
          </cell>
          <cell r="D78" t="str">
            <v>ema</v>
          </cell>
        </row>
        <row r="79">
          <cell r="C79" t="str">
            <v>Imelda Mayestika P.</v>
          </cell>
          <cell r="D79">
            <v>0.98148148148148096</v>
          </cell>
        </row>
        <row r="80">
          <cell r="C80" t="str">
            <v>Imelda Mayestika P.</v>
          </cell>
          <cell r="D80">
            <v>0.62068965517241403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0.51079136690647498</v>
          </cell>
        </row>
        <row r="83">
          <cell r="C83" t="str">
            <v>Imelda Mayestika P.</v>
          </cell>
          <cell r="D83">
            <v>0.53571428571428603</v>
          </cell>
        </row>
        <row r="84">
          <cell r="C84" t="str">
            <v>Imelda Mayestika P.</v>
          </cell>
          <cell r="D84">
            <v>0.98837209302325602</v>
          </cell>
        </row>
        <row r="85">
          <cell r="C85" t="str">
            <v>Imelda Mayestika P.</v>
          </cell>
          <cell r="D85">
            <v>0.90384615384615397</v>
          </cell>
        </row>
        <row r="86">
          <cell r="C86" t="str">
            <v>Imelda Mayestika P.</v>
          </cell>
          <cell r="D86">
            <v>0.57432432432432401</v>
          </cell>
        </row>
        <row r="87">
          <cell r="C87" t="str">
            <v>Imelda Mayestika P.</v>
          </cell>
          <cell r="D87">
            <v>0.79508196721311497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0.47305389221556898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0.86928104575163401</v>
          </cell>
        </row>
        <row r="92">
          <cell r="C92" t="str">
            <v>Imelda Mayestika P.</v>
          </cell>
          <cell r="D92">
            <v>0.57627118644067798</v>
          </cell>
        </row>
        <row r="93">
          <cell r="C93" t="str">
            <v>Imelda Mayestika P.</v>
          </cell>
          <cell r="D93">
            <v>0.63529411764705901</v>
          </cell>
        </row>
        <row r="94">
          <cell r="C94" t="str">
            <v>Imelda Mayestika P.</v>
          </cell>
          <cell r="D94">
            <v>0.46394230769230799</v>
          </cell>
        </row>
        <row r="95">
          <cell r="C95" t="str">
            <v>Imelda Mayestika P.</v>
          </cell>
          <cell r="D95">
            <v>0.6</v>
          </cell>
        </row>
        <row r="96">
          <cell r="C96" t="str">
            <v>Imelda Mayestika P.</v>
          </cell>
          <cell r="D96">
            <v>0.86842105263157898</v>
          </cell>
        </row>
        <row r="97">
          <cell r="C97" t="str">
            <v>Imelda Mayestika P.</v>
          </cell>
          <cell r="D97">
            <v>0.98750000000000004</v>
          </cell>
        </row>
        <row r="98">
          <cell r="C98" t="str">
            <v>Imelda Mayestika P.</v>
          </cell>
          <cell r="D98">
            <v>0.81081081081081097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0.82857142857142896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0.80921052631578905</v>
          </cell>
        </row>
        <row r="105">
          <cell r="C105" t="str">
            <v>Dewa Nyoman Wedana</v>
          </cell>
          <cell r="D105">
            <v>0.97169811320754695</v>
          </cell>
        </row>
        <row r="106">
          <cell r="C106" t="str">
            <v>Dewa Nyoman Wedana</v>
          </cell>
          <cell r="D106">
            <v>0.94584837545126399</v>
          </cell>
        </row>
        <row r="107">
          <cell r="C107" t="str">
            <v>Ida Bagus Pidada Manuaba</v>
          </cell>
          <cell r="D107">
            <v>0.98069498069498096</v>
          </cell>
        </row>
        <row r="108">
          <cell r="C108" t="str">
            <v>Ida Bagus Pidada Manuaba</v>
          </cell>
          <cell r="D108">
            <v>0.95620437956204396</v>
          </cell>
        </row>
        <row r="109">
          <cell r="C109" t="str">
            <v>Dewa Nyoman Wedana</v>
          </cell>
          <cell r="D109">
            <v>0.99082568807339499</v>
          </cell>
        </row>
        <row r="110">
          <cell r="C110" t="str">
            <v>I Made Budiartha</v>
          </cell>
          <cell r="D110">
            <v>0.81818181818181801</v>
          </cell>
        </row>
        <row r="111">
          <cell r="C111" t="str">
            <v>I Made Budiartha</v>
          </cell>
          <cell r="D111">
            <v>0.892405063291139</v>
          </cell>
        </row>
        <row r="112">
          <cell r="C112" t="str">
            <v>Dewa Nyoman Wedana</v>
          </cell>
          <cell r="D112">
            <v>0.48181818181818198</v>
          </cell>
        </row>
        <row r="113">
          <cell r="C113" t="str">
            <v>Dewa Nyoman Wedana</v>
          </cell>
          <cell r="D113">
            <v>0.97391304347826102</v>
          </cell>
        </row>
        <row r="114">
          <cell r="C114" t="str">
            <v>I Made Budiartha</v>
          </cell>
          <cell r="D114">
            <v>0.39202657807308999</v>
          </cell>
        </row>
        <row r="115">
          <cell r="C115" t="str">
            <v>I Made Budiartha</v>
          </cell>
          <cell r="D115">
            <v>0.93333333333333302</v>
          </cell>
        </row>
        <row r="116">
          <cell r="C116" t="str">
            <v>I Made Budiartha</v>
          </cell>
          <cell r="D116">
            <v>0.85263157894736796</v>
          </cell>
        </row>
        <row r="117">
          <cell r="C117" t="str">
            <v>Ida Bagus Pidada Manuaba</v>
          </cell>
          <cell r="D117">
            <v>0.93902439024390205</v>
          </cell>
        </row>
        <row r="118">
          <cell r="C118" t="str">
            <v>Ida Bagus Pidada Manuaba</v>
          </cell>
          <cell r="D118">
            <v>0.84482758620689702</v>
          </cell>
        </row>
        <row r="119">
          <cell r="C119" t="str">
            <v>I Made Budiartha</v>
          </cell>
          <cell r="D119">
            <v>0.98113207547169801</v>
          </cell>
        </row>
        <row r="120">
          <cell r="C120" t="str">
            <v>Dewa Nyoman Wedana</v>
          </cell>
          <cell r="D120">
            <v>0.68367346938775497</v>
          </cell>
        </row>
        <row r="121">
          <cell r="C121" t="str">
            <v>Ida Bagus Pidada Manuaba</v>
          </cell>
          <cell r="D121">
            <v>0.98780487804878003</v>
          </cell>
        </row>
        <row r="122">
          <cell r="C122" t="str">
            <v>Dewa Nyoman Wedana</v>
          </cell>
          <cell r="D122">
            <v>0.62179487179487203</v>
          </cell>
        </row>
        <row r="123">
          <cell r="C123" t="str">
            <v>I Made Budiartha</v>
          </cell>
          <cell r="D123">
            <v>0.81276595744680802</v>
          </cell>
        </row>
        <row r="124">
          <cell r="C124" t="str">
            <v>I Made Budiartha</v>
          </cell>
          <cell r="D124">
            <v>0.92366412213740501</v>
          </cell>
        </row>
        <row r="125">
          <cell r="C125" t="str">
            <v>Ida Bagus Pidada Manuaba</v>
          </cell>
          <cell r="D125">
            <v>0.97069597069597102</v>
          </cell>
        </row>
        <row r="126">
          <cell r="C126" t="str">
            <v>I Made Budiartha</v>
          </cell>
          <cell r="D126">
            <v>0.59322033898305104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0.90073529411764697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0.89230769230769202</v>
          </cell>
        </row>
        <row r="131">
          <cell r="C131" t="str">
            <v>Dewa Nyoman Wedana</v>
          </cell>
          <cell r="D131">
            <v>0.93617021276595702</v>
          </cell>
        </row>
        <row r="132">
          <cell r="C132" t="str">
            <v>Ida Bagus Pidada Manuaba</v>
          </cell>
          <cell r="D132">
            <v>0.56637168141592897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0.98684210526315796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0.97211155378486103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0.99636363636363601</v>
          </cell>
        </row>
        <row r="140">
          <cell r="C140" t="str">
            <v>Boby Sukmawijaya</v>
          </cell>
          <cell r="D140">
            <v>0.98230088495575196</v>
          </cell>
        </row>
        <row r="141">
          <cell r="C141" t="str">
            <v>Boby Sukmawijaya</v>
          </cell>
          <cell r="D141">
            <v>0.94594594594594605</v>
          </cell>
        </row>
        <row r="142">
          <cell r="C142" t="str">
            <v>Boby Sukmawijaya</v>
          </cell>
          <cell r="D142">
            <v>0.91489361702127703</v>
          </cell>
        </row>
        <row r="143">
          <cell r="C143" t="str">
            <v>Boby Sukmawijaya</v>
          </cell>
          <cell r="D143">
            <v>0.976377952755906</v>
          </cell>
        </row>
        <row r="144">
          <cell r="C144" t="str">
            <v>Boby Sukmawijaya</v>
          </cell>
          <cell r="D144">
            <v>0.86238532110091703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0.97540983606557397</v>
          </cell>
        </row>
        <row r="147">
          <cell r="C147" t="str">
            <v>Boby Sukmawijaya</v>
          </cell>
          <cell r="D147">
            <v>0.94680851063829796</v>
          </cell>
        </row>
        <row r="148">
          <cell r="C148" t="str">
            <v>Boby Sukmawijaya</v>
          </cell>
          <cell r="D148">
            <v>0.94537815126050395</v>
          </cell>
        </row>
        <row r="149">
          <cell r="C149" t="str">
            <v>Boby Sukmawijaya</v>
          </cell>
          <cell r="D149">
            <v>0.96226415094339601</v>
          </cell>
        </row>
        <row r="150">
          <cell r="C150" t="str">
            <v>Boby Sukmawijaya</v>
          </cell>
          <cell r="D150">
            <v>0.97333333333333305</v>
          </cell>
        </row>
        <row r="151">
          <cell r="C151" t="str">
            <v>Boby Sukmawijaya</v>
          </cell>
          <cell r="D151">
            <v>0.95112781954887204</v>
          </cell>
        </row>
        <row r="152">
          <cell r="C152" t="str">
            <v>Boby Sukmawijaya</v>
          </cell>
          <cell r="D152">
            <v>0.96862745098039205</v>
          </cell>
        </row>
        <row r="153">
          <cell r="C153" t="str">
            <v>Boby Sukmawijaya</v>
          </cell>
          <cell r="D153">
            <v>0.79562043795620396</v>
          </cell>
        </row>
        <row r="154">
          <cell r="C154" t="str">
            <v>Boby Sukmawijaya</v>
          </cell>
          <cell r="D154">
            <v>0.96153846153846201</v>
          </cell>
        </row>
        <row r="155">
          <cell r="C155" t="str">
            <v>Boby Sukmawijaya</v>
          </cell>
          <cell r="D155">
            <v>0.96573208722741399</v>
          </cell>
        </row>
        <row r="156">
          <cell r="C156" t="str">
            <v>Boby Sukmawijaya</v>
          </cell>
          <cell r="D156">
            <v>0.586666666666667</v>
          </cell>
        </row>
        <row r="157">
          <cell r="C157" t="str">
            <v>Boby Sukmawijaya</v>
          </cell>
          <cell r="D157">
            <v>0.99479166666666696</v>
          </cell>
        </row>
        <row r="158">
          <cell r="C158" t="str">
            <v>Boby Sukmawijaya</v>
          </cell>
          <cell r="D158">
            <v>0.90551181102362199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0.94845360824742297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0.98876404494381998</v>
          </cell>
        </row>
        <row r="163">
          <cell r="C163" t="str">
            <v>Boby Sukmawijaya</v>
          </cell>
          <cell r="D163">
            <v>0.9140625</v>
          </cell>
        </row>
        <row r="164">
          <cell r="C164" t="str">
            <v>Boby Sukmawijaya</v>
          </cell>
          <cell r="D164">
            <v>0.97887323943661997</v>
          </cell>
        </row>
        <row r="165">
          <cell r="C165" t="str">
            <v>Boby Sukmawijaya</v>
          </cell>
          <cell r="D165">
            <v>0.584699453551913</v>
          </cell>
        </row>
        <row r="166">
          <cell r="C166" t="str">
            <v>Boby Sukmawijaya</v>
          </cell>
          <cell r="D166">
            <v>0.97752808988763995</v>
          </cell>
        </row>
        <row r="167">
          <cell r="C167" t="str">
            <v>Boby Sukmawijaya</v>
          </cell>
          <cell r="D167">
            <v>0.99636363636363601</v>
          </cell>
        </row>
        <row r="168">
          <cell r="C168" t="str">
            <v>Boby Sukmawijaya</v>
          </cell>
          <cell r="D168">
            <v>0.56410256410256399</v>
          </cell>
        </row>
        <row r="169">
          <cell r="C169" t="str">
            <v>Boby Sukmawijaya</v>
          </cell>
          <cell r="D169">
            <v>0.76699029126213603</v>
          </cell>
        </row>
        <row r="170">
          <cell r="C170" t="str">
            <v>Boby Sukmawijaya</v>
          </cell>
          <cell r="D170">
            <v>0.96825396825396803</v>
          </cell>
        </row>
        <row r="171">
          <cell r="C171" t="str">
            <v>Boby Sukmawijaya</v>
          </cell>
          <cell r="D171">
            <v>0.71176470588235297</v>
          </cell>
        </row>
        <row r="172">
          <cell r="C172" t="str">
            <v>Boby Sukmawijaya</v>
          </cell>
          <cell r="D172">
            <v>0.99543378995433796</v>
          </cell>
        </row>
        <row r="173">
          <cell r="C173" t="str">
            <v>Boby Sukmawijaya</v>
          </cell>
          <cell r="D173">
            <v>0.97763578274760399</v>
          </cell>
        </row>
        <row r="174">
          <cell r="C174" t="str">
            <v>Boby Sukmawijaya</v>
          </cell>
          <cell r="D174">
            <v>0.60902255639097702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0.82962962962963005</v>
          </cell>
        </row>
        <row r="177">
          <cell r="C177" t="str">
            <v>Ari</v>
          </cell>
          <cell r="D177">
            <v>0.96598639455782298</v>
          </cell>
        </row>
        <row r="178">
          <cell r="C178" t="str">
            <v>Ari</v>
          </cell>
          <cell r="D178">
            <v>0.90147783251231495</v>
          </cell>
        </row>
        <row r="179">
          <cell r="C179" t="str">
            <v>Ari</v>
          </cell>
          <cell r="D179">
            <v>0.70854271356783904</v>
          </cell>
        </row>
        <row r="180">
          <cell r="C180" t="str">
            <v>Ari</v>
          </cell>
          <cell r="D180">
            <v>0.71764705882352897</v>
          </cell>
        </row>
        <row r="181">
          <cell r="C181" t="str">
            <v>Ari</v>
          </cell>
          <cell r="D181">
            <v>0.67153284671532798</v>
          </cell>
        </row>
        <row r="182">
          <cell r="C182" t="str">
            <v>Ari</v>
          </cell>
          <cell r="D182">
            <v>0.54870129870129902</v>
          </cell>
        </row>
        <row r="183">
          <cell r="C183" t="str">
            <v>Ari</v>
          </cell>
          <cell r="D183">
            <v>0.55913978494623595</v>
          </cell>
        </row>
        <row r="184">
          <cell r="C184" t="str">
            <v>Ari</v>
          </cell>
          <cell r="D184">
            <v>0.717741935483871</v>
          </cell>
        </row>
        <row r="185">
          <cell r="C185" t="str">
            <v>Ari</v>
          </cell>
          <cell r="D185">
            <v>0.83783783783783805</v>
          </cell>
        </row>
        <row r="186">
          <cell r="C186" t="str">
            <v>Helvi</v>
          </cell>
          <cell r="D186">
            <v>0.59109311740890702</v>
          </cell>
        </row>
        <row r="187">
          <cell r="C187" t="str">
            <v>Helvi</v>
          </cell>
          <cell r="D187">
            <v>0.96632996632996604</v>
          </cell>
        </row>
        <row r="188">
          <cell r="C188" t="str">
            <v>Helvi</v>
          </cell>
          <cell r="D188">
            <v>0.61702127659574502</v>
          </cell>
        </row>
        <row r="189">
          <cell r="C189" t="str">
            <v>Helvi</v>
          </cell>
          <cell r="D189">
            <v>0.98297872340425496</v>
          </cell>
        </row>
        <row r="190">
          <cell r="C190" t="str">
            <v>Helvi</v>
          </cell>
          <cell r="D190">
            <v>0.65986394557823103</v>
          </cell>
        </row>
        <row r="191">
          <cell r="C191" t="str">
            <v>Helvi</v>
          </cell>
          <cell r="D191">
            <v>0.77876106194690298</v>
          </cell>
        </row>
        <row r="192">
          <cell r="C192" t="str">
            <v>Helvi</v>
          </cell>
          <cell r="D192">
            <v>0.46376811594202899</v>
          </cell>
        </row>
        <row r="193">
          <cell r="C193" t="str">
            <v>Helvi</v>
          </cell>
          <cell r="D193">
            <v>0.85276073619631898</v>
          </cell>
        </row>
        <row r="194">
          <cell r="C194" t="str">
            <v>Helvi</v>
          </cell>
          <cell r="D194">
            <v>0.99038461538461497</v>
          </cell>
        </row>
        <row r="195">
          <cell r="C195" t="str">
            <v>Helvi</v>
          </cell>
          <cell r="D195">
            <v>0.27230046948356801</v>
          </cell>
        </row>
        <row r="196">
          <cell r="C196" t="str">
            <v>Helvi</v>
          </cell>
          <cell r="D196">
            <v>0.73958333333333304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0.99280575539568305</v>
          </cell>
        </row>
        <row r="201">
          <cell r="C201" t="str">
            <v>Ferdi Setiawan</v>
          </cell>
          <cell r="D201">
            <v>0.99086757990867602</v>
          </cell>
        </row>
        <row r="202">
          <cell r="C202" t="str">
            <v>Ferdi Setiawan</v>
          </cell>
          <cell r="D202">
            <v>0.99275362318840599</v>
          </cell>
        </row>
        <row r="203">
          <cell r="C203" t="str">
            <v>Ferdi Setiawan</v>
          </cell>
          <cell r="D203">
            <v>0.98328690807799402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0.98634812286689399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0.99062499999999998</v>
          </cell>
        </row>
        <row r="209">
          <cell r="C209" t="str">
            <v>Ferdi Setiawan</v>
          </cell>
          <cell r="D209">
            <v>0.97841726618705005</v>
          </cell>
        </row>
        <row r="210">
          <cell r="C210" t="str">
            <v>Ferdi Setiawan</v>
          </cell>
          <cell r="D210">
            <v>0.98603351955307295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0.49019607843137197</v>
          </cell>
        </row>
        <row r="214">
          <cell r="C214" t="str">
            <v>Gesang Jumadi</v>
          </cell>
          <cell r="D214">
            <v>0.79532163742689999</v>
          </cell>
        </row>
        <row r="215">
          <cell r="C215" t="str">
            <v>Gesang Jumadi</v>
          </cell>
          <cell r="D215">
            <v>0.47282608695652201</v>
          </cell>
        </row>
        <row r="216">
          <cell r="C216" t="str">
            <v>Gesang Jumadi</v>
          </cell>
          <cell r="D216">
            <v>0.36206896551724099</v>
          </cell>
        </row>
        <row r="217">
          <cell r="C217" t="str">
            <v>Gesang Jumadi</v>
          </cell>
          <cell r="D217">
            <v>0.24535315985130099</v>
          </cell>
        </row>
        <row r="218">
          <cell r="C218" t="str">
            <v>Gesang Jumadi</v>
          </cell>
          <cell r="D218">
            <v>0.49869451697127898</v>
          </cell>
        </row>
        <row r="219">
          <cell r="C219" t="str">
            <v>Gesang Jumadi</v>
          </cell>
          <cell r="D219">
            <v>0.32633587786259499</v>
          </cell>
        </row>
        <row r="220">
          <cell r="C220" t="str">
            <v>Gesang Jumadi</v>
          </cell>
          <cell r="D220">
            <v>0.591772151898734</v>
          </cell>
        </row>
        <row r="221">
          <cell r="C221" t="str">
            <v>Gesang Jumadi</v>
          </cell>
          <cell r="D221">
            <v>0.46607669616519198</v>
          </cell>
        </row>
        <row r="222">
          <cell r="C222" t="str">
            <v>Gesang Jumadi</v>
          </cell>
          <cell r="D222">
            <v>0.57452574525745304</v>
          </cell>
        </row>
        <row r="223">
          <cell r="C223" t="str">
            <v>Gesang Jumadi</v>
          </cell>
          <cell r="D223">
            <v>0.226299694189602</v>
          </cell>
        </row>
        <row r="224">
          <cell r="C224" t="str">
            <v>Gesang Jumadi</v>
          </cell>
          <cell r="D224">
            <v>0.894067796610169</v>
          </cell>
        </row>
        <row r="225">
          <cell r="C225" t="str">
            <v>Gesang Jumadi</v>
          </cell>
          <cell r="D225">
            <v>0.33119658119658102</v>
          </cell>
        </row>
        <row r="226">
          <cell r="C226" t="str">
            <v>Gesang Jumadi</v>
          </cell>
          <cell r="D226">
            <v>0.98194945848375403</v>
          </cell>
        </row>
        <row r="227">
          <cell r="C227" t="str">
            <v>Gesang Jumadi</v>
          </cell>
          <cell r="D227">
            <v>0.80254777070063699</v>
          </cell>
        </row>
        <row r="228">
          <cell r="C228" t="str">
            <v>Gumilar Rudimaya</v>
          </cell>
          <cell r="D228">
            <v>0.99494949494949503</v>
          </cell>
        </row>
        <row r="229">
          <cell r="C229" t="str">
            <v>Gumilar Rudimaya</v>
          </cell>
          <cell r="D229">
            <v>0.515021459227468</v>
          </cell>
        </row>
        <row r="230">
          <cell r="C230" t="str">
            <v>Gumilar Rudimaya</v>
          </cell>
          <cell r="D230">
            <v>0.73103448275862104</v>
          </cell>
        </row>
        <row r="231">
          <cell r="C231" t="str">
            <v>Gumilar Rudimaya</v>
          </cell>
          <cell r="D231">
            <v>0.79005524861878396</v>
          </cell>
        </row>
        <row r="232">
          <cell r="C232" t="str">
            <v>Gumilar Rudimaya</v>
          </cell>
          <cell r="D232">
            <v>0.47530864197530898</v>
          </cell>
        </row>
        <row r="233">
          <cell r="C233" t="str">
            <v>Gumilar Rudimaya</v>
          </cell>
          <cell r="D233">
            <v>0.73529411764705899</v>
          </cell>
        </row>
        <row r="234">
          <cell r="C234" t="str">
            <v>Gumilar Rudimaya</v>
          </cell>
          <cell r="D234">
            <v>0.79900744416873404</v>
          </cell>
        </row>
        <row r="235">
          <cell r="C235" t="str">
            <v>Gumilar Rudimaya</v>
          </cell>
          <cell r="D235">
            <v>0.53832752613240398</v>
          </cell>
        </row>
        <row r="236">
          <cell r="C236" t="str">
            <v>Gumilar Rudimaya</v>
          </cell>
          <cell r="D236">
            <v>0.15151515151515199</v>
          </cell>
        </row>
        <row r="237">
          <cell r="C237" t="str">
            <v>Gumilar Rudimaya</v>
          </cell>
          <cell r="D237">
            <v>0.288524590163934</v>
          </cell>
        </row>
        <row r="238">
          <cell r="C238" t="str">
            <v>Gumilar Rudimaya</v>
          </cell>
          <cell r="D238">
            <v>0.45081967213114799</v>
          </cell>
        </row>
        <row r="239">
          <cell r="C239" t="str">
            <v>Gumilar Rudimaya</v>
          </cell>
          <cell r="D239">
            <v>0.86428571428571399</v>
          </cell>
        </row>
        <row r="240">
          <cell r="C240" t="str">
            <v>Gumilar Rudimaya</v>
          </cell>
          <cell r="D240">
            <v>0.76880222841225598</v>
          </cell>
        </row>
        <row r="241">
          <cell r="C241" t="str">
            <v>Gumilar Rudimaya</v>
          </cell>
          <cell r="D241">
            <v>0.45859872611465002</v>
          </cell>
        </row>
        <row r="242">
          <cell r="C242" t="str">
            <v>Gumilar Rudimaya</v>
          </cell>
          <cell r="D242">
            <v>0.40463458110516898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0.99173553719008301</v>
          </cell>
        </row>
        <row r="246">
          <cell r="C246" t="str">
            <v>Indra Jantana</v>
          </cell>
          <cell r="D246">
            <v>0.99137931034482796</v>
          </cell>
        </row>
        <row r="247">
          <cell r="C247" t="str">
            <v>Indra Jantana</v>
          </cell>
          <cell r="D247">
            <v>0.91780821917808197</v>
          </cell>
        </row>
        <row r="248">
          <cell r="C248" t="str">
            <v>Indra Jantana</v>
          </cell>
          <cell r="D248">
            <v>0.98611111111111105</v>
          </cell>
        </row>
        <row r="249">
          <cell r="C249" t="str">
            <v>Indra Jantana</v>
          </cell>
          <cell r="D249">
            <v>0.77477477477477497</v>
          </cell>
        </row>
        <row r="250">
          <cell r="C250" t="str">
            <v>Indra Jantana</v>
          </cell>
          <cell r="D250">
            <v>0.73245614035087703</v>
          </cell>
        </row>
        <row r="251">
          <cell r="C251" t="str">
            <v>Indra Jantana</v>
          </cell>
          <cell r="D251">
            <v>0.85416666666666696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0.894389438943894</v>
          </cell>
        </row>
        <row r="255">
          <cell r="C255" t="str">
            <v>Indra Jantana</v>
          </cell>
          <cell r="D255">
            <v>0.93600000000000005</v>
          </cell>
        </row>
        <row r="256">
          <cell r="C256" t="str">
            <v>Indra Jantana</v>
          </cell>
          <cell r="D256">
            <v>0.98387096774193505</v>
          </cell>
        </row>
        <row r="257">
          <cell r="C257" t="str">
            <v>Indra Jantana</v>
          </cell>
          <cell r="D257">
            <v>0.88085106382978695</v>
          </cell>
        </row>
        <row r="258">
          <cell r="C258" t="str">
            <v>Indra Jantana</v>
          </cell>
          <cell r="D258">
            <v>0.94915254237288105</v>
          </cell>
        </row>
        <row r="259">
          <cell r="C259" t="str">
            <v>Indra Jantana</v>
          </cell>
          <cell r="D259">
            <v>0.81871345029239795</v>
          </cell>
        </row>
        <row r="260">
          <cell r="C260" t="str">
            <v>Indra Jantana</v>
          </cell>
          <cell r="D260">
            <v>0.90099009900990101</v>
          </cell>
        </row>
        <row r="261">
          <cell r="C261" t="str">
            <v>Indra Jantana</v>
          </cell>
          <cell r="D261">
            <v>0.85882352941176499</v>
          </cell>
        </row>
        <row r="262">
          <cell r="C262" t="str">
            <v>Indra Jantana</v>
          </cell>
          <cell r="D262">
            <v>0.96969696969696995</v>
          </cell>
        </row>
        <row r="263">
          <cell r="C263" t="str">
            <v>Indra Jantana</v>
          </cell>
          <cell r="D263">
            <v>0.875</v>
          </cell>
        </row>
        <row r="264">
          <cell r="C264" t="str">
            <v>Indra Jantana</v>
          </cell>
          <cell r="D264">
            <v>0.79508196721311497</v>
          </cell>
        </row>
        <row r="265">
          <cell r="C265" t="str">
            <v>Indra Jantana</v>
          </cell>
          <cell r="D265">
            <v>0.94736842105263097</v>
          </cell>
        </row>
        <row r="266">
          <cell r="C266" t="str">
            <v>Indra Jantana</v>
          </cell>
          <cell r="D266">
            <v>0.98947368421052595</v>
          </cell>
        </row>
        <row r="267">
          <cell r="C267" t="str">
            <v>Indra Jantana</v>
          </cell>
          <cell r="D267">
            <v>0.97499999999999998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0.70652173913043503</v>
          </cell>
        </row>
        <row r="270">
          <cell r="C270" t="str">
            <v>Yudi Wahyudi</v>
          </cell>
          <cell r="D270">
            <v>0.99047619047618995</v>
          </cell>
        </row>
        <row r="271">
          <cell r="C271" t="str">
            <v>Yudi Wahyudi</v>
          </cell>
          <cell r="D271">
            <v>0.93023255813953498</v>
          </cell>
        </row>
        <row r="272">
          <cell r="C272" t="str">
            <v>Yudi Wahyudi</v>
          </cell>
          <cell r="D272">
            <v>0.77777777777777801</v>
          </cell>
        </row>
        <row r="273">
          <cell r="C273" t="str">
            <v>Yudi Wahyudi</v>
          </cell>
          <cell r="D273">
            <v>0.74603174603174605</v>
          </cell>
        </row>
        <row r="274">
          <cell r="C274" t="str">
            <v>Yudi Wahyudi</v>
          </cell>
          <cell r="D274">
            <v>0.91964285714285698</v>
          </cell>
        </row>
        <row r="275">
          <cell r="C275" t="str">
            <v>Yudi Wahyudi</v>
          </cell>
          <cell r="D275">
            <v>0.67948717948717896</v>
          </cell>
        </row>
        <row r="276">
          <cell r="C276" t="str">
            <v>Yudi Wahyudi</v>
          </cell>
          <cell r="D276">
            <v>0.782258064516129</v>
          </cell>
        </row>
        <row r="277">
          <cell r="C277" t="str">
            <v>Yudi Wahyudi</v>
          </cell>
          <cell r="D277">
            <v>0.66666666666666696</v>
          </cell>
        </row>
        <row r="278">
          <cell r="C278" t="str">
            <v>Yudi Wahyudi</v>
          </cell>
          <cell r="D278">
            <v>0.96511627906976705</v>
          </cell>
        </row>
        <row r="279">
          <cell r="C279" t="str">
            <v>Yudi Wahyudi</v>
          </cell>
          <cell r="D279">
            <v>0.8</v>
          </cell>
        </row>
        <row r="280">
          <cell r="C280" t="str">
            <v>Yudi Wahyudi</v>
          </cell>
          <cell r="D280">
            <v>0.70769230769230795</v>
          </cell>
        </row>
        <row r="281">
          <cell r="C281" t="str">
            <v>Yudi Wahyudi</v>
          </cell>
          <cell r="D281">
            <v>0.97916666666666696</v>
          </cell>
        </row>
        <row r="282">
          <cell r="C282" t="str">
            <v>Yudi Wahyudi</v>
          </cell>
          <cell r="D282">
            <v>0.92857142857142905</v>
          </cell>
        </row>
        <row r="283">
          <cell r="C283" t="str">
            <v>Yudi Wahyudi</v>
          </cell>
          <cell r="D283">
            <v>0.94029850746268695</v>
          </cell>
        </row>
        <row r="284">
          <cell r="C284" t="str">
            <v>Yudi Wahyudi</v>
          </cell>
          <cell r="D284">
            <v>0.68387096774193501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0.92660550458715596</v>
          </cell>
        </row>
        <row r="287">
          <cell r="C287" t="str">
            <v>Yudi Wahyudi</v>
          </cell>
          <cell r="D287">
            <v>0.67241379310344795</v>
          </cell>
        </row>
        <row r="288">
          <cell r="C288" t="str">
            <v>Yudi Wahyudi</v>
          </cell>
          <cell r="D288">
            <v>0.51627906976744198</v>
          </cell>
        </row>
        <row r="289">
          <cell r="C289" t="str">
            <v>Yudi Wahyudi</v>
          </cell>
          <cell r="D289">
            <v>0.61724137931034495</v>
          </cell>
        </row>
        <row r="290">
          <cell r="C290" t="str">
            <v>Yudi Wahyudi</v>
          </cell>
          <cell r="D290">
            <v>0.58620689655172398</v>
          </cell>
        </row>
        <row r="291">
          <cell r="C291" t="str">
            <v>Yudi Wahyudi</v>
          </cell>
          <cell r="D291">
            <v>0.80519480519480502</v>
          </cell>
        </row>
        <row r="292">
          <cell r="C292" t="str">
            <v>Yudi Wahyudi</v>
          </cell>
          <cell r="D292">
            <v>0.72448979591836704</v>
          </cell>
        </row>
        <row r="293">
          <cell r="C293" t="str">
            <v>Yudi Wahyudi</v>
          </cell>
          <cell r="D293">
            <v>0.70270270270270296</v>
          </cell>
        </row>
        <row r="294">
          <cell r="C294" t="str">
            <v>Yudi Wahyudi</v>
          </cell>
          <cell r="D294">
            <v>0.96363636363636396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0.99148936170212798</v>
          </cell>
        </row>
        <row r="297">
          <cell r="C297" t="str">
            <v>Febri Dwi Prabowo</v>
          </cell>
          <cell r="D297">
            <v>0.96610169491525399</v>
          </cell>
        </row>
        <row r="298">
          <cell r="C298" t="str">
            <v>Febri Dwi Prabowo</v>
          </cell>
          <cell r="D298">
            <v>0.94594594594594605</v>
          </cell>
        </row>
        <row r="299">
          <cell r="C299" t="str">
            <v>Febri Dwi Prabowo</v>
          </cell>
          <cell r="D299">
            <v>0.97674418604651203</v>
          </cell>
        </row>
        <row r="300">
          <cell r="C300" t="str">
            <v>Febri Dwi Prabowo</v>
          </cell>
          <cell r="D300">
            <v>0.92795389048991295</v>
          </cell>
        </row>
        <row r="301">
          <cell r="C301" t="str">
            <v>Febri Dwi Prabowo</v>
          </cell>
          <cell r="D301">
            <v>0.99734042553191504</v>
          </cell>
        </row>
        <row r="302">
          <cell r="C302" t="str">
            <v>Febri Dwi Prabowo</v>
          </cell>
          <cell r="D302">
            <v>0.97101449275362295</v>
          </cell>
        </row>
        <row r="303">
          <cell r="C303" t="str">
            <v>Febri Dwi Prabowo</v>
          </cell>
          <cell r="D303">
            <v>0.974619289340102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0.99261992619926198</v>
          </cell>
        </row>
        <row r="306">
          <cell r="C306" t="str">
            <v>Febri Dwi Prabowo</v>
          </cell>
          <cell r="D306">
            <v>0.97391304347826102</v>
          </cell>
        </row>
        <row r="307">
          <cell r="C307" t="str">
            <v>Febri Dwi Prabowo</v>
          </cell>
          <cell r="D307">
            <v>0.967592592592593</v>
          </cell>
        </row>
        <row r="308">
          <cell r="C308" t="str">
            <v>Febri Dwi Prabowo</v>
          </cell>
          <cell r="D308">
            <v>0.75721153846153799</v>
          </cell>
        </row>
        <row r="309">
          <cell r="C309" t="str">
            <v>Made Windu Kuntara</v>
          </cell>
          <cell r="D309">
            <v>0.90277777777777801</v>
          </cell>
        </row>
        <row r="310">
          <cell r="C310" t="str">
            <v>Made Windu Kuntara</v>
          </cell>
          <cell r="D310">
            <v>0.97450980392156905</v>
          </cell>
        </row>
        <row r="311">
          <cell r="C311" t="str">
            <v>Made Windu Kuntara</v>
          </cell>
          <cell r="D311">
            <v>0.83590733590733601</v>
          </cell>
        </row>
        <row r="312">
          <cell r="C312" t="str">
            <v>Made Windu Kuntara</v>
          </cell>
          <cell r="D312">
            <v>0.99727520435967298</v>
          </cell>
        </row>
        <row r="313">
          <cell r="C313" t="str">
            <v>Made Windu Kuntara</v>
          </cell>
          <cell r="D313">
            <v>0.97297297297297303</v>
          </cell>
        </row>
        <row r="314">
          <cell r="C314" t="str">
            <v>Made Windu Kuntara</v>
          </cell>
          <cell r="D314">
            <v>0.93382352941176505</v>
          </cell>
        </row>
        <row r="315">
          <cell r="C315" t="str">
            <v>Made Windu Kuntara</v>
          </cell>
          <cell r="D315">
            <v>0.97472924187725596</v>
          </cell>
        </row>
        <row r="316">
          <cell r="C316" t="str">
            <v>Made Windu Kuntara</v>
          </cell>
          <cell r="D316">
            <v>0.942408376963351</v>
          </cell>
        </row>
        <row r="317">
          <cell r="C317" t="str">
            <v>Made Windu Kuntara</v>
          </cell>
          <cell r="D317">
            <v>0.87671232876712302</v>
          </cell>
        </row>
        <row r="318">
          <cell r="C318" t="str">
            <v>Made Windu Kuntara</v>
          </cell>
          <cell r="D318">
            <v>0.99162011173184395</v>
          </cell>
        </row>
        <row r="319">
          <cell r="C319" t="str">
            <v>Made Windu Kuntara</v>
          </cell>
          <cell r="D319">
            <v>0.92727272727272703</v>
          </cell>
        </row>
        <row r="320">
          <cell r="C320" t="str">
            <v>Made Windu Kuntara</v>
          </cell>
          <cell r="D320">
            <v>0.96521739130434803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0.99492385786801996</v>
          </cell>
        </row>
        <row r="323">
          <cell r="C323" t="str">
            <v>Jusuf Charles Rumende (PN : 00059432)</v>
          </cell>
          <cell r="D323">
            <v>0.97807017543859698</v>
          </cell>
        </row>
        <row r="324">
          <cell r="C324" t="str">
            <v>Jusuf Charles Rumende (PN : 00059432)</v>
          </cell>
          <cell r="D324">
            <v>0.94927536231884102</v>
          </cell>
        </row>
        <row r="325">
          <cell r="C325" t="str">
            <v>Jusuf Charles Rumende (PN : 00059432)</v>
          </cell>
          <cell r="D325">
            <v>0.99606299212598404</v>
          </cell>
        </row>
        <row r="326">
          <cell r="C326" t="str">
            <v>Jusuf Charles Rumende (PN : 00059432)</v>
          </cell>
          <cell r="D326">
            <v>0.95081967213114704</v>
          </cell>
        </row>
        <row r="327">
          <cell r="C327" t="str">
            <v>Jusuf Charles Rumende (PN : 00059432)</v>
          </cell>
          <cell r="D327">
            <v>0.95833333333333304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0.98148148148148096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0.92873051224944303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0.94705882352941195</v>
          </cell>
        </row>
        <row r="334">
          <cell r="C334" t="str">
            <v>Jusuf Charles Rumende (PN : 00059432)</v>
          </cell>
          <cell r="D334">
            <v>0.97540983606557397</v>
          </cell>
        </row>
        <row r="335">
          <cell r="C335" t="str">
            <v>Jusuf Charles Rumende (PN : 00059432)</v>
          </cell>
          <cell r="D335">
            <v>0.86335403726708104</v>
          </cell>
        </row>
        <row r="336">
          <cell r="C336" t="str">
            <v>Jusuf Charles Rumende (PN : 00059432)</v>
          </cell>
          <cell r="D336">
            <v>0.94915254237288105</v>
          </cell>
        </row>
        <row r="337">
          <cell r="C337" t="str">
            <v>Jusuf Charles Rumende (PN : 00059432)</v>
          </cell>
          <cell r="D337">
            <v>0.98648648648648596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0.95057034220532299</v>
          </cell>
        </row>
        <row r="340">
          <cell r="C340" t="str">
            <v>Jusuf Charles Rumende (PN : 00059432)</v>
          </cell>
          <cell r="D340">
            <v>0.96825396825396803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0.92569659442724495</v>
          </cell>
        </row>
        <row r="344">
          <cell r="C344" t="str">
            <v>Syamsul Arifianto</v>
          </cell>
          <cell r="D344">
            <v>0.66666666666666696</v>
          </cell>
        </row>
        <row r="345">
          <cell r="C345" t="str">
            <v>Syamsul Arifianto</v>
          </cell>
          <cell r="D345">
            <v>0.94472361809045202</v>
          </cell>
        </row>
        <row r="346">
          <cell r="C346" t="str">
            <v>Syamsul Arifianto</v>
          </cell>
          <cell r="D346">
            <v>0.95</v>
          </cell>
        </row>
        <row r="347">
          <cell r="C347" t="str">
            <v>Syamsul Arifianto</v>
          </cell>
          <cell r="D347">
            <v>0.98256735340728996</v>
          </cell>
        </row>
        <row r="348">
          <cell r="C348" t="str">
            <v>Syamsul Arifianto</v>
          </cell>
          <cell r="D348">
            <v>0.99186991869918695</v>
          </cell>
        </row>
        <row r="349">
          <cell r="C349" t="str">
            <v>Syamsul Arifianto</v>
          </cell>
          <cell r="D349">
            <v>0.96288209606986896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0.96694214876033102</v>
          </cell>
        </row>
        <row r="352">
          <cell r="C352" t="str">
            <v>Syamsul Arifianto</v>
          </cell>
          <cell r="D352">
            <v>0.98780487804878003</v>
          </cell>
        </row>
        <row r="353">
          <cell r="C353" t="str">
            <v>Syamsul Arifianto</v>
          </cell>
          <cell r="D353">
            <v>0.992307692307692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0.94196428571428603</v>
          </cell>
        </row>
        <row r="356">
          <cell r="C356" t="str">
            <v>Veronica Dwi Kurniasih</v>
          </cell>
          <cell r="D356">
            <v>0.69152542372881298</v>
          </cell>
        </row>
        <row r="357">
          <cell r="C357" t="str">
            <v>Veronica Dwi Kurniasih</v>
          </cell>
          <cell r="D357">
            <v>0.99191374663072795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0.97530864197530898</v>
          </cell>
        </row>
        <row r="360">
          <cell r="C360" t="str">
            <v>Veronica Dwi Kurniasih</v>
          </cell>
          <cell r="D360">
            <v>0.95374449339207001</v>
          </cell>
        </row>
        <row r="361">
          <cell r="C361" t="str">
            <v>Veronica Dwi Kurniasih</v>
          </cell>
          <cell r="D361">
            <v>0.99363057324840798</v>
          </cell>
        </row>
        <row r="362">
          <cell r="C362" t="str">
            <v>Veronica Dwi Kurniasih</v>
          </cell>
          <cell r="D362">
            <v>0.98031496062992096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0.49797570850202399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0.99664429530201304</v>
          </cell>
        </row>
        <row r="367">
          <cell r="C367" t="str">
            <v>Asep Kristiono</v>
          </cell>
          <cell r="D367">
            <v>0.92838874680306904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0.98760330578512401</v>
          </cell>
        </row>
        <row r="371">
          <cell r="C371" t="str">
            <v>Asep Kristiono</v>
          </cell>
          <cell r="D371">
            <v>0.99534883720930201</v>
          </cell>
        </row>
        <row r="372">
          <cell r="C372" t="str">
            <v>Asep Kristiono</v>
          </cell>
          <cell r="D372">
            <v>0.98004434589800404</v>
          </cell>
        </row>
        <row r="373">
          <cell r="C373" t="str">
            <v>Asep Kristiono</v>
          </cell>
          <cell r="D373">
            <v>0.99111111111111105</v>
          </cell>
        </row>
        <row r="374">
          <cell r="C374" t="str">
            <v>Asep Kristiono</v>
          </cell>
          <cell r="D374">
            <v>0.96739130434782605</v>
          </cell>
        </row>
        <row r="375">
          <cell r="C375" t="str">
            <v>Asep Kristiono</v>
          </cell>
          <cell r="D375">
            <v>0.987341772151899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0.98920863309352502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0.96296296296296302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0.96491228070175405</v>
          </cell>
        </row>
        <row r="384">
          <cell r="C384" t="str">
            <v>Dian Septianti</v>
          </cell>
          <cell r="D384">
            <v>0.98518518518518505</v>
          </cell>
        </row>
        <row r="385">
          <cell r="C385" t="str">
            <v>Dian Septianti</v>
          </cell>
          <cell r="D385">
            <v>0.99111111111111105</v>
          </cell>
        </row>
        <row r="386">
          <cell r="C386" t="str">
            <v>Dian Septianti</v>
          </cell>
          <cell r="D386">
            <v>0.99565217391304295</v>
          </cell>
        </row>
        <row r="387">
          <cell r="C387" t="str">
            <v>Dian Septianti</v>
          </cell>
          <cell r="D387">
            <v>0.99285714285714299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0.99638989169675096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0.93239436619718297</v>
          </cell>
        </row>
        <row r="393">
          <cell r="C393" t="str">
            <v>Waras Suyitno</v>
          </cell>
          <cell r="D393">
            <v>0.99672131147540999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0.96374622356495498</v>
          </cell>
        </row>
        <row r="397">
          <cell r="C397" t="str">
            <v>Waras Suyitno</v>
          </cell>
          <cell r="D397">
            <v>0.98089171974522305</v>
          </cell>
        </row>
        <row r="398">
          <cell r="C398" t="str">
            <v>Waras Suyitno</v>
          </cell>
          <cell r="D398">
            <v>0.99647887323943696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0.96825396825396803</v>
          </cell>
        </row>
        <row r="401">
          <cell r="C401" t="str">
            <v>Moch. Arief Budiman</v>
          </cell>
          <cell r="D401">
            <v>0.69169960474308301</v>
          </cell>
        </row>
        <row r="402">
          <cell r="C402" t="str">
            <v>Moch. Arief Budiman</v>
          </cell>
          <cell r="D402">
            <v>0.98960498960498999</v>
          </cell>
        </row>
        <row r="403">
          <cell r="C403" t="str">
            <v>Moch. Arief Budiman</v>
          </cell>
          <cell r="D403">
            <v>0.96354166666666696</v>
          </cell>
        </row>
        <row r="404">
          <cell r="C404" t="str">
            <v>Moch. Arief Budiman</v>
          </cell>
          <cell r="D404">
            <v>0.972568578553616</v>
          </cell>
        </row>
        <row r="405">
          <cell r="C405" t="str">
            <v>Moch. Arief Budiman</v>
          </cell>
          <cell r="D405">
            <v>0.90909090909090895</v>
          </cell>
        </row>
        <row r="406">
          <cell r="C406" t="str">
            <v>Moch. Arief Budiman</v>
          </cell>
          <cell r="D406">
            <v>0.860759493670886</v>
          </cell>
        </row>
        <row r="407">
          <cell r="C407" t="str">
            <v>Moch. Arief Budiman</v>
          </cell>
          <cell r="D407">
            <v>0.76551724137930999</v>
          </cell>
        </row>
        <row r="408">
          <cell r="C408" t="str">
            <v>Rukiyat Prihantoko</v>
          </cell>
          <cell r="D408">
            <v>0.96744186046511604</v>
          </cell>
        </row>
        <row r="409">
          <cell r="C409" t="str">
            <v>Rukiyat Prihantoko</v>
          </cell>
          <cell r="D409">
            <v>0.85185185185185197</v>
          </cell>
        </row>
        <row r="410">
          <cell r="C410" t="str">
            <v>Rukiyat Prihantoko</v>
          </cell>
          <cell r="D410">
            <v>0.96797153024910998</v>
          </cell>
        </row>
        <row r="411">
          <cell r="C411" t="str">
            <v>Rukiyat Prihantoko</v>
          </cell>
          <cell r="D411">
            <v>0.82962962962963005</v>
          </cell>
        </row>
        <row r="412">
          <cell r="C412" t="str">
            <v>Rukiyat Prihantoko</v>
          </cell>
          <cell r="D412">
            <v>0.9375</v>
          </cell>
        </row>
        <row r="413">
          <cell r="C413" t="str">
            <v>Rukiyat Prihantoko</v>
          </cell>
          <cell r="D413">
            <v>0.74100719424460404</v>
          </cell>
        </row>
        <row r="414">
          <cell r="C414" t="str">
            <v>Rukiyat Prihantoko</v>
          </cell>
          <cell r="D414">
            <v>0.53773584905660399</v>
          </cell>
        </row>
        <row r="415">
          <cell r="C415" t="str">
            <v>Rukiyat Prihantoko</v>
          </cell>
          <cell r="D415">
            <v>0.94160583941605802</v>
          </cell>
        </row>
        <row r="416">
          <cell r="C416" t="str">
            <v>Rukiyat Prihantoko</v>
          </cell>
          <cell r="D416">
            <v>0.73456790123456805</v>
          </cell>
        </row>
        <row r="417">
          <cell r="C417" t="str">
            <v>Sutrisno Hadi Pranoto</v>
          </cell>
          <cell r="D417">
            <v>0.94077448747152603</v>
          </cell>
        </row>
        <row r="418">
          <cell r="C418" t="str">
            <v>Sutrisno Hadi Pranoto</v>
          </cell>
          <cell r="D418">
            <v>0.93763440860214997</v>
          </cell>
        </row>
        <row r="419">
          <cell r="C419" t="str">
            <v>Sutrisno Hadi Pranoto</v>
          </cell>
          <cell r="D419">
            <v>0.87570621468926602</v>
          </cell>
        </row>
        <row r="420">
          <cell r="C420" t="str">
            <v>Sutrisno Hadi Pranoto</v>
          </cell>
          <cell r="D420">
            <v>0.92093023255813999</v>
          </cell>
        </row>
        <row r="421">
          <cell r="C421" t="str">
            <v>Sutrisno Hadi Pranoto</v>
          </cell>
          <cell r="D421">
            <v>0.84210526315789502</v>
          </cell>
        </row>
        <row r="422">
          <cell r="C422" t="str">
            <v>Sutrisno Hadi Pranoto</v>
          </cell>
          <cell r="D422">
            <v>0.987341772151899</v>
          </cell>
        </row>
        <row r="423">
          <cell r="C423" t="str">
            <v>Sutrisno Hadi Pranoto</v>
          </cell>
          <cell r="D423">
            <v>0.91891891891891897</v>
          </cell>
        </row>
        <row r="424">
          <cell r="C424" t="str">
            <v>Sutrisno Hadi Pranoto</v>
          </cell>
          <cell r="D424">
            <v>0.80851063829787195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0.93377483443708598</v>
          </cell>
        </row>
        <row r="427">
          <cell r="C427" t="str">
            <v>Bambang Dwi Raharjo</v>
          </cell>
          <cell r="D427">
            <v>0.98581560283687897</v>
          </cell>
        </row>
        <row r="428">
          <cell r="C428" t="str">
            <v>Bambang Dwi Raharjo</v>
          </cell>
          <cell r="D428">
            <v>0.94758064516129004</v>
          </cell>
        </row>
        <row r="429">
          <cell r="C429" t="str">
            <v>Bambang Dwi Raharjo</v>
          </cell>
          <cell r="D429">
            <v>0.99628252788104099</v>
          </cell>
        </row>
        <row r="430">
          <cell r="C430" t="str">
            <v>Bambang Dwi Raharjo</v>
          </cell>
          <cell r="D430">
            <v>0.90540540540540504</v>
          </cell>
        </row>
        <row r="431">
          <cell r="C431" t="str">
            <v>Bambang Dwi Raharjo</v>
          </cell>
          <cell r="D431">
            <v>0.7109375</v>
          </cell>
        </row>
        <row r="432">
          <cell r="C432" t="str">
            <v>Herry Kurniawan</v>
          </cell>
          <cell r="D432">
            <v>0.69587628865979401</v>
          </cell>
        </row>
        <row r="433">
          <cell r="C433" t="str">
            <v>Herry Kurniawan</v>
          </cell>
          <cell r="D433">
            <v>0.75496688741721796</v>
          </cell>
        </row>
        <row r="434">
          <cell r="C434" t="str">
            <v>Herry Kurniawan</v>
          </cell>
          <cell r="D434">
            <v>0.90140845070422504</v>
          </cell>
        </row>
        <row r="435">
          <cell r="C435" t="str">
            <v>Herry Kurniawan</v>
          </cell>
          <cell r="D435">
            <v>0.98198198198198205</v>
          </cell>
        </row>
        <row r="436">
          <cell r="C436" t="str">
            <v>Herry Kurniawan</v>
          </cell>
          <cell r="D436">
            <v>0.47393364928909998</v>
          </cell>
        </row>
        <row r="437">
          <cell r="C437" t="str">
            <v>Herry Kurniawan</v>
          </cell>
          <cell r="D437">
            <v>0.92018779342723001</v>
          </cell>
        </row>
        <row r="438">
          <cell r="C438" t="str">
            <v>Richard Siburian</v>
          </cell>
          <cell r="D438">
            <v>0.99280575539568305</v>
          </cell>
        </row>
        <row r="439">
          <cell r="C439" t="str">
            <v>Richard Siburian</v>
          </cell>
          <cell r="D439">
            <v>0.56190476190476202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0.952380952380952</v>
          </cell>
        </row>
        <row r="442">
          <cell r="C442" t="str">
            <v>Richard Siburian</v>
          </cell>
          <cell r="D442">
            <v>0.97109826589595405</v>
          </cell>
        </row>
        <row r="443">
          <cell r="C443" t="str">
            <v>Richard Siburian</v>
          </cell>
          <cell r="D443">
            <v>0.97663551401869197</v>
          </cell>
        </row>
        <row r="444">
          <cell r="C444" t="str">
            <v>Zulkarnain</v>
          </cell>
          <cell r="D444">
            <v>0.95061728395061695</v>
          </cell>
        </row>
        <row r="445">
          <cell r="C445" t="str">
            <v>Zulkarnain</v>
          </cell>
          <cell r="D445">
            <v>0.81632653061224503</v>
          </cell>
        </row>
        <row r="446">
          <cell r="C446" t="str">
            <v>Zulkarnain</v>
          </cell>
          <cell r="D446">
            <v>0.62948207171314696</v>
          </cell>
        </row>
        <row r="447">
          <cell r="C447" t="str">
            <v>Zulkarnain</v>
          </cell>
          <cell r="D447">
            <v>0.77692307692307705</v>
          </cell>
        </row>
        <row r="448">
          <cell r="C448" t="str">
            <v>Zulkarnain</v>
          </cell>
          <cell r="D448">
            <v>0.53787878787878796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0.98064516129032198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0.99285714285714299</v>
          </cell>
        </row>
        <row r="455">
          <cell r="C455" t="str">
            <v>Hany Pratiwi</v>
          </cell>
          <cell r="D455">
            <v>0.98429319371727697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0.98671096345514897</v>
          </cell>
        </row>
        <row r="459">
          <cell r="C459" t="str">
            <v>Hany Pratiwi</v>
          </cell>
          <cell r="D459">
            <v>0.98888888888888904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0.98684210526315796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0.99411764705882399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0.99479166666666696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0.98529411764705899</v>
          </cell>
        </row>
      </sheetData>
      <sheetData sheetId="6"/>
      <sheetData sheetId="7"/>
      <sheetData sheetId="8">
        <row r="1">
          <cell r="B1" t="str">
            <v>Branch Office</v>
          </cell>
        </row>
        <row r="2"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9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</sheetData>
      <sheetData sheetId="10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0.95714285714285696</v>
          </cell>
        </row>
        <row r="5">
          <cell r="B5" t="str">
            <v>KC Abunjani Sipin</v>
          </cell>
          <cell r="G5">
            <v>0.99371069182389904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0.99019607843137303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0.95652173913043503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0.96153846153846201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0.81818181818181801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0.980582524271845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0.94117647058823495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0.94871794871794901</v>
          </cell>
        </row>
        <row r="37">
          <cell r="B37" t="str">
            <v>KC Banjarmasin</v>
          </cell>
          <cell r="G37">
            <v>0.96666666666666701</v>
          </cell>
        </row>
        <row r="38">
          <cell r="B38" t="str">
            <v>KC Banjarmasin 2</v>
          </cell>
          <cell r="G38">
            <v>0.93023255813953498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0.94117647058823495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0.88888888888888895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0.95714285714285696</v>
          </cell>
        </row>
        <row r="53">
          <cell r="B53" t="str">
            <v>KC Bekasi</v>
          </cell>
          <cell r="G53">
            <v>0.95757575757575697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0.99166666666666703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0.97959183673469397</v>
          </cell>
        </row>
        <row r="61">
          <cell r="B61" t="str">
            <v>KC Bintaro</v>
          </cell>
          <cell r="G61">
            <v>0.97368421052631604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0.97368421052631604</v>
          </cell>
        </row>
        <row r="66">
          <cell r="B66" t="str">
            <v>KC Bogor</v>
          </cell>
          <cell r="G66">
            <v>0.89940828402366901</v>
          </cell>
        </row>
        <row r="67">
          <cell r="B67" t="str">
            <v>KC Bogor Pajajaran</v>
          </cell>
          <cell r="G67">
            <v>0.97826086956521696</v>
          </cell>
        </row>
        <row r="68">
          <cell r="B68" t="str">
            <v>KC Bojonegoro</v>
          </cell>
          <cell r="G68">
            <v>0.95652173913043503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0.81481481481481499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0.93684210526315803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0.98666666666666702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0.97368421052631604</v>
          </cell>
        </row>
        <row r="84">
          <cell r="B84" t="str">
            <v>KC Cibadak</v>
          </cell>
          <cell r="G84">
            <v>0.92857142857142905</v>
          </cell>
        </row>
        <row r="85">
          <cell r="B85" t="str">
            <v>KC Cibinong</v>
          </cell>
          <cell r="G85">
            <v>0.939393939393939</v>
          </cell>
        </row>
        <row r="86">
          <cell r="B86" t="str">
            <v>KC Cibubur</v>
          </cell>
          <cell r="G86">
            <v>0.98360655737704905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0.95555555555555605</v>
          </cell>
        </row>
        <row r="92">
          <cell r="B92" t="str">
            <v>KC Cimanggis</v>
          </cell>
          <cell r="G92">
            <v>0.95555555555555605</v>
          </cell>
        </row>
        <row r="93">
          <cell r="B93" t="str">
            <v>KC Ciputat</v>
          </cell>
          <cell r="G93">
            <v>0.89705882352941202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0.91428571428571404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0.96666666666666701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0.96638655462184897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0.97142857142857097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0.91818181818181799</v>
          </cell>
        </row>
        <row r="111">
          <cell r="B111" t="str">
            <v>KC Garut</v>
          </cell>
          <cell r="G111">
            <v>0.98076923076923095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0.98591549295774605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0.96428571428571397</v>
          </cell>
        </row>
        <row r="121">
          <cell r="B121" t="str">
            <v>KC Jakarta Cut Mutiah</v>
          </cell>
          <cell r="G121">
            <v>0.88059701492537301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0.96551724137931005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0.97674418604651203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</v>
          </cell>
        </row>
        <row r="129">
          <cell r="B129" t="str">
            <v>KC Jakarta Jelambar</v>
          </cell>
          <cell r="G129">
            <v>0.88235294117647101</v>
          </cell>
        </row>
        <row r="130">
          <cell r="B130" t="str">
            <v>KC Jakarta Joglo</v>
          </cell>
          <cell r="G130">
            <v>0.91666666666666696</v>
          </cell>
        </row>
        <row r="131">
          <cell r="B131" t="str">
            <v>KC Jakarta Kalideres</v>
          </cell>
          <cell r="G131">
            <v>0.79487179487179505</v>
          </cell>
        </row>
        <row r="132">
          <cell r="B132" t="str">
            <v>KC JAKARTA KALIMALANG</v>
          </cell>
          <cell r="G132">
            <v>0.97413793103448298</v>
          </cell>
        </row>
        <row r="133">
          <cell r="B133" t="str">
            <v>KC Jakarta Kebayoran Baru</v>
          </cell>
          <cell r="G133">
            <v>0.96969696969696995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0.96153846153846201</v>
          </cell>
        </row>
        <row r="139">
          <cell r="B139" t="str">
            <v>KC Jakarta Kramat Jati</v>
          </cell>
          <cell r="G139">
            <v>0.957219251336898</v>
          </cell>
        </row>
        <row r="140">
          <cell r="B140" t="str">
            <v>KC Jakarta Krekot</v>
          </cell>
          <cell r="G140">
            <v>0.96551724137931005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0.83333333333333304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0.92857142857142905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0.87096774193548399</v>
          </cell>
        </row>
        <row r="150">
          <cell r="B150" t="str">
            <v>KC Jakarta Pluit</v>
          </cell>
          <cell r="G150">
            <v>0.80952380952380898</v>
          </cell>
        </row>
        <row r="151">
          <cell r="B151" t="str">
            <v>KC Jakarta Pondok Indah</v>
          </cell>
          <cell r="G151">
            <v>0.97435897435897401</v>
          </cell>
        </row>
        <row r="152">
          <cell r="B152" t="str">
            <v>KC Jakarta Puri Niaga</v>
          </cell>
          <cell r="G152">
            <v>0.76923076923076905</v>
          </cell>
        </row>
        <row r="153">
          <cell r="B153" t="str">
            <v>KC Jakarta Radio Dalam</v>
          </cell>
          <cell r="G153">
            <v>0.96428571428571397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0.91228070175438603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0.93181818181818199</v>
          </cell>
        </row>
        <row r="162">
          <cell r="B162" t="str">
            <v>KC Jakarta Tangerang</v>
          </cell>
          <cell r="G162">
            <v>0.88235294117647101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0.88888888888888895</v>
          </cell>
        </row>
        <row r="170">
          <cell r="B170" t="str">
            <v>KC Jayapura</v>
          </cell>
          <cell r="G170">
            <v>0.94594594594594605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0.96666666666666701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0.97222222222222199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0.93333333333333302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0.97872340425531901</v>
          </cell>
        </row>
        <row r="188">
          <cell r="B188" t="str">
            <v>KC Kendari Samratulangi</v>
          </cell>
          <cell r="G188">
            <v>0.98529411764705899</v>
          </cell>
        </row>
        <row r="189">
          <cell r="B189" t="str">
            <v>KC Kepanjen</v>
          </cell>
          <cell r="G189">
            <v>0.952380952380952</v>
          </cell>
        </row>
        <row r="190">
          <cell r="B190" t="str">
            <v>KC Ketapang</v>
          </cell>
          <cell r="G190">
            <v>0.98245614035087703</v>
          </cell>
        </row>
        <row r="191">
          <cell r="B191" t="str">
            <v>KC Khatib Sulaiman</v>
          </cell>
          <cell r="G191">
            <v>0.98830409356725102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0.96153846153846201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0.94594594594594605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0.95454545454545503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0.66666666666666696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0.94339622641509402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0.99408284023668603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0.93333333333333302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0.98076923076923095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0.97752808988763995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0.92857142857142905</v>
          </cell>
        </row>
        <row r="241">
          <cell r="B241" t="str">
            <v>KC Marabahan</v>
          </cell>
          <cell r="G241">
            <v>0.76470588235294101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0.99479166666666696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0.98773006134969299</v>
          </cell>
        </row>
        <row r="251">
          <cell r="B251" t="str">
            <v>KC Medan Putri Hijau</v>
          </cell>
          <cell r="G251">
            <v>0.96153846153846201</v>
          </cell>
        </row>
        <row r="252">
          <cell r="B252" t="str">
            <v>KC Medan Sisingamangaraja</v>
          </cell>
          <cell r="G252">
            <v>0.96363636363636396</v>
          </cell>
        </row>
        <row r="253">
          <cell r="B253" t="str">
            <v>KC Medan Thamrin</v>
          </cell>
          <cell r="G253">
            <v>0.984615384615385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0.93548387096774199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0.71666666666666701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0.984615384615385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0.98550724637681197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0.94117647058823495</v>
          </cell>
        </row>
        <row r="278">
          <cell r="B278" t="str">
            <v>KC Palangkaraya</v>
          </cell>
          <cell r="G278">
            <v>0.97222222222222199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0.97222222222222199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0.96666666666666701</v>
          </cell>
        </row>
        <row r="285">
          <cell r="B285" t="str">
            <v>KC Pamulang</v>
          </cell>
          <cell r="G285">
            <v>0.987341772151899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0.81818181818181801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0.98507462686567204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0.89473684210526305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0.97142857142857097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0.95454545454545503</v>
          </cell>
        </row>
        <row r="301">
          <cell r="B301" t="str">
            <v>KC Payakumbuh</v>
          </cell>
          <cell r="G301">
            <v>0.98148148148148096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0.88235294117647101</v>
          </cell>
        </row>
        <row r="304">
          <cell r="B304" t="str">
            <v>KC Pekanbaru Sudirman</v>
          </cell>
          <cell r="G304">
            <v>0.97260273972602695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0.98888888888888904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0.88235294117647101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0.98098859315589304</v>
          </cell>
        </row>
        <row r="317">
          <cell r="B317" t="str">
            <v>KC Pontianak Gajah Mada</v>
          </cell>
          <cell r="G317">
            <v>0.94736842105263097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0.96666666666666701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0.96153846153846201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0.93333333333333302</v>
          </cell>
        </row>
        <row r="341">
          <cell r="B341" t="str">
            <v>KC SAMARINDA GAJAH MADA</v>
          </cell>
          <cell r="G341">
            <v>0.95161290322580605</v>
          </cell>
        </row>
        <row r="342">
          <cell r="B342" t="str">
            <v>KC SAMARINDA PELITA</v>
          </cell>
          <cell r="G342">
            <v>0.92307692307692302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0.98181818181818203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0.98780487804878003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0.97872340425531901</v>
          </cell>
        </row>
        <row r="352">
          <cell r="B352" t="str">
            <v>KC Semarang A. Yani</v>
          </cell>
          <cell r="G352">
            <v>0.98947368421052595</v>
          </cell>
        </row>
        <row r="353">
          <cell r="B353" t="str">
            <v>KC Semarang Pandanaran</v>
          </cell>
          <cell r="G353">
            <v>0.98507462686567204</v>
          </cell>
        </row>
        <row r="354">
          <cell r="B354" t="str">
            <v>KC Semarang Patimura</v>
          </cell>
          <cell r="G354">
            <v>0.94285714285714295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0.91666666666666696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0.97058823529411797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0.96296296296296302</v>
          </cell>
        </row>
        <row r="365">
          <cell r="B365" t="str">
            <v>KC Sidoarjo</v>
          </cell>
          <cell r="G365">
            <v>0.95833333333333304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0.97058823529411797</v>
          </cell>
        </row>
        <row r="368">
          <cell r="B368" t="str">
            <v>KC Simpang Empat</v>
          </cell>
          <cell r="G368">
            <v>0.98305084745762705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0.97142857142857097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0.97222222222222199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0.98630136986301398</v>
          </cell>
        </row>
        <row r="383">
          <cell r="B383" t="str">
            <v>KC Solok</v>
          </cell>
          <cell r="G383">
            <v>0.98387096774193505</v>
          </cell>
        </row>
        <row r="384">
          <cell r="B384" t="str">
            <v>KC Soreang</v>
          </cell>
          <cell r="G384">
            <v>0.90476190476190499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0.98039215686274495</v>
          </cell>
        </row>
        <row r="388">
          <cell r="B388" t="str">
            <v>KC Subang</v>
          </cell>
          <cell r="G388">
            <v>0.97058823529411797</v>
          </cell>
        </row>
        <row r="389">
          <cell r="B389" t="str">
            <v>KC SUDIRMAN SEMANGGI</v>
          </cell>
          <cell r="G389">
            <v>0.91176470588235303</v>
          </cell>
        </row>
        <row r="390">
          <cell r="B390" t="str">
            <v>KC Sukabumi</v>
          </cell>
          <cell r="G390">
            <v>0.97674418604651203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0.97142857142857097</v>
          </cell>
        </row>
        <row r="397">
          <cell r="B397" t="str">
            <v>KC Sungguminasa</v>
          </cell>
          <cell r="G397">
            <v>0.98863636363636398</v>
          </cell>
        </row>
        <row r="398">
          <cell r="B398" t="str">
            <v>KC Surabaya Diponegoro</v>
          </cell>
          <cell r="G398">
            <v>0.97435897435897401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0.96428571428571397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0.98076923076923095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0.94594594594594605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0.97546012269938698</v>
          </cell>
        </row>
        <row r="412">
          <cell r="B412" t="str">
            <v>KC Tambun</v>
          </cell>
          <cell r="G412">
            <v>0.987341772151899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0.94594594594594605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0.98666666666666702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0.99568965517241403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0.95555555555555605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0.98214285714285698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0.92307692307692302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0.88888888888888895</v>
          </cell>
        </row>
        <row r="433">
          <cell r="B433" t="str">
            <v>KC Tenggarong</v>
          </cell>
          <cell r="G433">
            <v>0.96491228070175405</v>
          </cell>
        </row>
        <row r="434">
          <cell r="B434" t="str">
            <v>KC Ternate</v>
          </cell>
          <cell r="G434">
            <v>0.97727272727272696</v>
          </cell>
        </row>
        <row r="435">
          <cell r="B435" t="str">
            <v>KC Timika</v>
          </cell>
          <cell r="G435">
            <v>0.95652173913043503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0.90909090909090895</v>
          </cell>
        </row>
        <row r="441">
          <cell r="B441" t="str">
            <v>KC Tulang Bawang</v>
          </cell>
          <cell r="G441">
            <v>0.94736842105263097</v>
          </cell>
        </row>
        <row r="442">
          <cell r="B442" t="str">
            <v>KC Tulungagung</v>
          </cell>
          <cell r="G442">
            <v>0.94444444444444398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0.99337748344370902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0.99285714285714299</v>
          </cell>
        </row>
        <row r="456">
          <cell r="B456" t="str">
            <v>KC Yogyakarta Cik Ditiro</v>
          </cell>
          <cell r="G456">
            <v>0.99333333333333296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0.90909090909090895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0.69230769230769196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0.98484848484848497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0.94736842105263097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0.90476190476190499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0.97142857142857097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0.63043478260869601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0.92307692307692302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0.95867768595041303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0.96551724137931005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0.95652173913043503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0.98076923076923095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0.77777777777777801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0.86666666666666703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0.95555555555555605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0.95454545454545503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0.91666666666666696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0.97435897435897401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0.95454545454545503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0.83333333333333304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0.95918367346938804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0.98245614035087703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0.98684210526315796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0.94117647058823495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0.93333333333333302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0.95454545454545503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0.90476190476190499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0.86363636363636398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0.91964285714285698</v>
          </cell>
        </row>
        <row r="675">
          <cell r="B675" t="str">
            <v xml:space="preserve">KC SAMARINDA PELITA                     </v>
          </cell>
          <cell r="G675">
            <v>0.92307692307692302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0.97959183673469397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0.98550724637681197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0.97727272727272696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0.91304347826086896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0.89320388349514601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0.85714285714285698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0.96666666666666701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0.94736842105263097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0.94339622641509402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0.96153846153846201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0.95454545454545503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0.97872340425531901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0.97619047619047605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0.98387096774193505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0.94444444444444398</v>
          </cell>
        </row>
        <row r="768">
          <cell r="B768" t="str">
            <v xml:space="preserve">KC SUDIRMAN SEMANGGI                    </v>
          </cell>
          <cell r="G768">
            <v>0.91176470588235303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0.96428571428571397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0.98387096774193505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0.96296296296296302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0.95833333333333304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0.96153846153846201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0.97619047619047605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0.92592592592592604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0.96666666666666701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0.98148148148148096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0.99333333333333296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0.95454545454545503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0.89130434782608703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0.94117647058823495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0.96666666666666701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0.83333333333333304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0.92857142857142905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0.88888888888888895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0.99038461538461497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0.90909090909090895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W22FB6DVFGSNGJZPLOS3QWT2UE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1</v>
          </cell>
        </row>
        <row r="3">
          <cell r="X3" t="b">
            <v>0</v>
          </cell>
        </row>
        <row r="4">
          <cell r="X4" t="b">
            <v>0</v>
          </cell>
        </row>
        <row r="5">
          <cell r="X5" t="b">
            <v>0</v>
          </cell>
        </row>
        <row r="6">
          <cell r="X6" t="b">
            <v>0</v>
          </cell>
        </row>
        <row r="7">
          <cell r="X7" t="b">
            <v>0</v>
          </cell>
        </row>
        <row r="8">
          <cell r="X8" t="b">
            <v>0</v>
          </cell>
        </row>
        <row r="9">
          <cell r="X9" t="b">
            <v>1</v>
          </cell>
        </row>
        <row r="10">
          <cell r="X10" t="b">
            <v>1</v>
          </cell>
        </row>
        <row r="11">
          <cell r="X11" t="b">
            <v>0</v>
          </cell>
        </row>
        <row r="12">
          <cell r="X12" t="b">
            <v>0</v>
          </cell>
        </row>
        <row r="13">
          <cell r="X13" t="b">
            <v>0</v>
          </cell>
        </row>
        <row r="14">
          <cell r="X14" t="b">
            <v>0</v>
          </cell>
        </row>
        <row r="15">
          <cell r="X15" t="b">
            <v>0</v>
          </cell>
        </row>
        <row r="16">
          <cell r="X16" t="b">
            <v>1</v>
          </cell>
        </row>
        <row r="17">
          <cell r="X17" t="b">
            <v>0</v>
          </cell>
        </row>
        <row r="18">
          <cell r="X18" t="b">
            <v>1</v>
          </cell>
        </row>
        <row r="19">
          <cell r="X19" t="b">
            <v>1</v>
          </cell>
        </row>
        <row r="20">
          <cell r="X20" t="b">
            <v>1</v>
          </cell>
        </row>
        <row r="21">
          <cell r="X21" t="b">
            <v>1</v>
          </cell>
        </row>
        <row r="22">
          <cell r="X22" t="b">
            <v>1</v>
          </cell>
        </row>
        <row r="23">
          <cell r="X23" t="b">
            <v>0</v>
          </cell>
        </row>
        <row r="24">
          <cell r="X24" t="b">
            <v>1</v>
          </cell>
        </row>
        <row r="25">
          <cell r="X25" t="b">
            <v>1</v>
          </cell>
        </row>
        <row r="26">
          <cell r="X26" t="b">
            <v>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Q3TCQPVLOUKZBKIQPCSQGEWLSV">
      <xxl21:absoluteUrl r:id="rId2"/>
      <xxl21:relativeUrl r:id="rId3"/>
    </xxl21:alternateUrls>
    <sheetNames>
      <sheetName val="STR"/>
      <sheetName val="BUKAN STR"/>
    </sheetNames>
    <sheetDataSet>
      <sheetData sheetId="0">
        <row r="2">
          <cell r="A2" t="str">
            <v>Nama Nasabah</v>
          </cell>
          <cell r="B2"/>
          <cell r="C2"/>
          <cell r="D2"/>
          <cell r="E2" t="str">
            <v>Jimmy Chanrda</v>
          </cell>
          <cell r="F2" t="str">
            <v>PT BPI Business Services Inc</v>
          </cell>
          <cell r="G2"/>
          <cell r="H2"/>
        </row>
        <row r="44">
          <cell r="B44"/>
          <cell r="E44">
            <v>2.6924107142857139</v>
          </cell>
          <cell r="F44">
            <v>3.3888392857142855</v>
          </cell>
          <cell r="H44">
            <v>3.0406249999999999</v>
          </cell>
          <cell r="I44" t="str">
            <v>BAIK (B)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AC38"/>
  <sheetViews>
    <sheetView topLeftCell="I13" workbookViewId="0">
      <selection activeCell="AC25" sqref="AC25"/>
    </sheetView>
  </sheetViews>
  <sheetFormatPr defaultColWidth="9.140625" defaultRowHeight="15" customHeight="1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  <col min="26" max="26" width="12" bestFit="1" customWidth="1"/>
    <col min="27" max="27" width="11.5703125" bestFit="1" customWidth="1"/>
  </cols>
  <sheetData>
    <row r="1" spans="1:29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9">
      <c r="A2" s="8" cm="1">
        <f t="array" ref="A2:U26">_xlfn._xlws.FILTER('[2]STR-2026-8-2026-8'!$A:$U, ISNUMBER(SEARCH("Pekanbaru", '[2]STR-2026-8-2026-8'!$O:$O)), "")</f>
        <v>46265</v>
      </c>
      <c r="B2" s="9" t="str">
        <v xml:space="preserve">BATAM CAHAYA ASIA                       </v>
      </c>
      <c r="C2" s="9" t="str">
        <v>BY21008</v>
      </c>
      <c r="D2" s="9">
        <v>65901000544300</v>
      </c>
      <c r="E2" s="9" t="str">
        <v>TINGGI</v>
      </c>
      <c r="F2" s="9" t="str">
        <v>Tidak</v>
      </c>
      <c r="G2" s="9" t="str">
        <v>Tidak</v>
      </c>
      <c r="H2" s="9" t="str">
        <v>Tidak</v>
      </c>
      <c r="I2" s="9" t="str">
        <v>Perpajakan</v>
      </c>
      <c r="J2" s="9">
        <v>65</v>
      </c>
      <c r="K2" s="9">
        <v>1.33</v>
      </c>
      <c r="L2" s="9" t="str">
        <v>Perpajakan</v>
      </c>
      <c r="M2" s="9" t="str">
        <v xml:space="preserve">KCP AVIARI                              </v>
      </c>
      <c r="N2" s="9" t="str">
        <v xml:space="preserve">KC Batam Center                         </v>
      </c>
      <c r="O2" s="9" t="str">
        <v xml:space="preserve">KANWIL PEKANBARU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90185537 - Moh.Khoerul Fajar Ar</v>
      </c>
      <c r="U2" s="9" t="str">
        <v>"-"</v>
      </c>
      <c r="V2" s="12" t="s">
        <v>24</v>
      </c>
      <c r="W2" s="21" t="s">
        <v>25</v>
      </c>
      <c r="X2" s="13" t="b">
        <f>IF([3]STR!X2= TRUE, TRUE, FALSE)</f>
        <v>1</v>
      </c>
      <c r="Y2" t="str">
        <f>_xlfn.XLOOKUP(TRIM(B19), [4]STR!$2:$2, [4]STR!$44:$44, "")</f>
        <v/>
      </c>
      <c r="Z2" s="63" t="s">
        <v>24</v>
      </c>
      <c r="AA2" t="s">
        <v>26</v>
      </c>
      <c r="AB2">
        <f>COUNTIFS($V:$V, Z2, X:X, "TRUE")</f>
        <v>5</v>
      </c>
      <c r="AC2" t="str">
        <f>_xlfn.XLOOKUP(TRIM(B2), [5]STR!$2:$2, [5]STR!$44:$44, "")</f>
        <v/>
      </c>
    </row>
    <row r="3" spans="1:29">
      <c r="A3" s="8">
        <v>46265</v>
      </c>
      <c r="B3" s="9" t="str">
        <v xml:space="preserve">CHARLES TOGATOROP                       </v>
      </c>
      <c r="C3" s="9" t="str">
        <v>C977595</v>
      </c>
      <c r="D3" s="9">
        <v>61901001095302</v>
      </c>
      <c r="E3" s="9" t="str">
        <v>TINGGI</v>
      </c>
      <c r="F3" s="9" t="str">
        <v>Tidak</v>
      </c>
      <c r="G3" s="9" t="str">
        <v>Tidak</v>
      </c>
      <c r="H3" s="9" t="str">
        <v>Tidak</v>
      </c>
      <c r="I3" s="9" t="str">
        <v>Perpajakan</v>
      </c>
      <c r="J3" s="9">
        <v>73</v>
      </c>
      <c r="K3" s="9">
        <v>1.33</v>
      </c>
      <c r="L3" s="9" t="str">
        <v>Perpajakan</v>
      </c>
      <c r="M3" s="9" t="str">
        <v xml:space="preserve">KC Bagan Batu                           </v>
      </c>
      <c r="N3" s="9" t="str">
        <v xml:space="preserve">KC Bagan Batu                           </v>
      </c>
      <c r="O3" s="9" t="str">
        <v xml:space="preserve">KANWIL PEKANBARU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00336949 - Mochammad Al Farabi</v>
      </c>
      <c r="U3" s="9" t="str">
        <v>"-"</v>
      </c>
      <c r="V3" s="12" t="s">
        <v>24</v>
      </c>
      <c r="W3" s="22" t="s">
        <v>27</v>
      </c>
      <c r="X3" s="13" t="b">
        <f>IF([3]STR!X3= TRUE, TRUE, FALSE)</f>
        <v>0</v>
      </c>
      <c r="Z3" s="63"/>
      <c r="AA3" t="s">
        <v>28</v>
      </c>
      <c r="AB3">
        <f>COUNTIF(V:V,Z2)</f>
        <v>11</v>
      </c>
      <c r="AC3" t="str">
        <f>_xlfn.XLOOKUP(TRIM(B3), [5]STR!$2:$2, [5]STR!$44:$44, "")</f>
        <v/>
      </c>
    </row>
    <row r="4" spans="1:29">
      <c r="A4" s="8">
        <v>46265</v>
      </c>
      <c r="B4" s="9" t="str">
        <v xml:space="preserve">DEDY                                    </v>
      </c>
      <c r="C4" s="9" t="str">
        <v>DGUO090</v>
      </c>
      <c r="D4" s="9">
        <v>17501282828562</v>
      </c>
      <c r="E4" s="9">
        <v>0</v>
      </c>
      <c r="F4" s="9" t="str">
        <v>Tidak</v>
      </c>
      <c r="G4" s="9" t="str">
        <v>Tidak</v>
      </c>
      <c r="H4" s="9">
        <v>0</v>
      </c>
      <c r="I4" s="9" t="str">
        <v>Jual Beli Rekening - E channel Trx</v>
      </c>
      <c r="J4" s="9">
        <v>33</v>
      </c>
      <c r="K4" s="9">
        <v>113</v>
      </c>
      <c r="L4" s="9" t="str">
        <v>Narkotika/Judi Online/Penipuan</v>
      </c>
      <c r="M4" s="9" t="str">
        <v xml:space="preserve">KC Tembilahan                           </v>
      </c>
      <c r="N4" s="9" t="str">
        <v xml:space="preserve">KC Tembilahan                           </v>
      </c>
      <c r="O4" s="9" t="str">
        <v xml:space="preserve">KANWIL PEKANBARU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>
        <v>0</v>
      </c>
      <c r="U4" s="9" t="str">
        <v>"-"</v>
      </c>
      <c r="V4" s="12" t="s">
        <v>29</v>
      </c>
      <c r="W4" s="22" t="s">
        <v>27</v>
      </c>
      <c r="X4" s="13" t="b">
        <f>IF([3]STR!X4= TRUE, TRUE, FALSE)</f>
        <v>0</v>
      </c>
      <c r="Z4" s="63"/>
      <c r="AA4" t="s">
        <v>30</v>
      </c>
      <c r="AB4" s="27">
        <f>AB2/AB3</f>
        <v>0.45454545454545453</v>
      </c>
      <c r="AC4" t="str">
        <f>_xlfn.XLOOKUP(TRIM(B4), [5]STR!$2:$2, [5]STR!$44:$44, "")</f>
        <v/>
      </c>
    </row>
    <row r="5" spans="1:29">
      <c r="A5" s="8">
        <v>46265</v>
      </c>
      <c r="B5" s="9" t="str">
        <v xml:space="preserve">HARDANSYAH                              </v>
      </c>
      <c r="C5" s="9" t="str">
        <v>HJW7609</v>
      </c>
      <c r="D5" s="9">
        <v>552001000178305</v>
      </c>
      <c r="E5" s="9" t="str">
        <v>SEDANG</v>
      </c>
      <c r="F5" s="9" t="str">
        <v>Ya</v>
      </c>
      <c r="G5" s="9" t="str">
        <v>Tidak</v>
      </c>
      <c r="H5" s="9" t="str">
        <v>Tidak</v>
      </c>
      <c r="I5" s="9" t="str">
        <v>Perpajakan</v>
      </c>
      <c r="J5" s="9">
        <v>48</v>
      </c>
      <c r="K5" s="9">
        <v>1.33</v>
      </c>
      <c r="L5" s="9" t="str">
        <v>Perpajakan</v>
      </c>
      <c r="M5" s="9" t="str">
        <v xml:space="preserve">UNIT CERENTI TELUK KUANTAN              </v>
      </c>
      <c r="N5" s="9" t="str">
        <v xml:space="preserve">KC Teluk Kuantan                        </v>
      </c>
      <c r="O5" s="9" t="str">
        <v xml:space="preserve">KANWIL PEKANBARU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00394520 - Frida Akbar Rani</v>
      </c>
      <c r="U5" s="9" t="str">
        <v>"-"</v>
      </c>
      <c r="V5" s="12" t="s">
        <v>29</v>
      </c>
      <c r="W5" s="22" t="s">
        <v>27</v>
      </c>
      <c r="X5" s="13" t="b">
        <f>IF([3]STR!X5= TRUE, TRUE, FALSE)</f>
        <v>0</v>
      </c>
      <c r="Z5" s="63" t="s">
        <v>29</v>
      </c>
      <c r="AA5" t="s">
        <v>26</v>
      </c>
      <c r="AB5">
        <f>COUNTIFS($V:$V, Z5, X:X, "TRUE")</f>
        <v>7</v>
      </c>
      <c r="AC5" t="str">
        <f>_xlfn.XLOOKUP(TRIM(B5), [5]STR!$2:$2, [5]STR!$44:$44, "")</f>
        <v/>
      </c>
    </row>
    <row r="6" spans="1:29">
      <c r="A6" s="8">
        <v>46265</v>
      </c>
      <c r="B6" s="9" t="str">
        <v xml:space="preserve">MASTER MIND TRADING                     </v>
      </c>
      <c r="C6" s="9" t="str">
        <v>MEDGP12</v>
      </c>
      <c r="D6" s="9">
        <v>62128000017304</v>
      </c>
      <c r="E6" s="9">
        <v>0</v>
      </c>
      <c r="F6" s="9" t="str">
        <v>Tidak</v>
      </c>
      <c r="G6" s="9" t="str">
        <v>Tidak</v>
      </c>
      <c r="H6" s="9" t="str">
        <v>Tidak</v>
      </c>
      <c r="I6" s="9" t="str">
        <v>Business Email Compromise (BEC)</v>
      </c>
      <c r="J6" s="9">
        <v>30</v>
      </c>
      <c r="K6" s="9">
        <v>94</v>
      </c>
      <c r="L6" s="9" t="str">
        <v>Penipuan</v>
      </c>
      <c r="M6" s="9" t="str">
        <v xml:space="preserve">KC Batam Center                         </v>
      </c>
      <c r="N6" s="9" t="str">
        <v xml:space="preserve">KC Batam Center                         </v>
      </c>
      <c r="O6" s="9" t="str">
        <v xml:space="preserve">KANWIL PEKANBARU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90186790 - Muhammad Alfin Farha</v>
      </c>
      <c r="U6" s="9" t="str">
        <v>"-"</v>
      </c>
      <c r="V6" s="12" t="s">
        <v>29</v>
      </c>
      <c r="W6" s="22" t="s">
        <v>27</v>
      </c>
      <c r="X6" s="13" t="b">
        <f>IF([3]STR!X6= TRUE, TRUE, FALSE)</f>
        <v>0</v>
      </c>
      <c r="Z6" s="63"/>
      <c r="AA6" t="s">
        <v>28</v>
      </c>
      <c r="AB6">
        <f>COUNTIF(V:V,Z5)</f>
        <v>12</v>
      </c>
      <c r="AC6" t="str">
        <f>_xlfn.XLOOKUP(TRIM(B6), [5]STR!$2:$2, [5]STR!$44:$44, "")</f>
        <v/>
      </c>
    </row>
    <row r="7" spans="1:29">
      <c r="A7" s="8">
        <v>46265</v>
      </c>
      <c r="B7" s="9" t="str">
        <v xml:space="preserve">MITRA MULIA SENTOSA                     </v>
      </c>
      <c r="C7" s="9" t="str">
        <v>MVJW896</v>
      </c>
      <c r="D7" s="9">
        <v>15901002152303</v>
      </c>
      <c r="E7" s="9" t="str">
        <v>SEDANG</v>
      </c>
      <c r="F7" s="9" t="str">
        <v>Tidak</v>
      </c>
      <c r="G7" s="9" t="str">
        <v>Tidak</v>
      </c>
      <c r="H7" s="9" t="str">
        <v>Tidak</v>
      </c>
      <c r="I7" s="9" t="str">
        <v>Perpajakan</v>
      </c>
      <c r="J7" s="9">
        <v>50</v>
      </c>
      <c r="K7" s="9">
        <v>41</v>
      </c>
      <c r="L7" s="9" t="str">
        <v>Perpajakan</v>
      </c>
      <c r="M7" s="9" t="str">
        <v xml:space="preserve">KC Dumai                                </v>
      </c>
      <c r="N7" s="9" t="str">
        <v xml:space="preserve">KC Dumai                                </v>
      </c>
      <c r="O7" s="9" t="str">
        <v xml:space="preserve">KANWIL PEKANBARU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 t="str">
        <v>00394521 - Muhammad Hibbanduta</v>
      </c>
      <c r="U7" s="9" t="str">
        <v>"-"</v>
      </c>
      <c r="V7" s="12" t="s">
        <v>24</v>
      </c>
      <c r="W7" s="22" t="s">
        <v>27</v>
      </c>
      <c r="X7" s="13" t="b">
        <f>IF([3]STR!X7= TRUE, TRUE, FALSE)</f>
        <v>0</v>
      </c>
      <c r="Z7" s="63"/>
      <c r="AA7" t="s">
        <v>30</v>
      </c>
      <c r="AB7" s="27">
        <f>AB5/AB6</f>
        <v>0.58333333333333337</v>
      </c>
      <c r="AC7" t="str">
        <f>_xlfn.XLOOKUP(TRIM(B7), [5]STR!$2:$2, [5]STR!$44:$44, "")</f>
        <v/>
      </c>
    </row>
    <row r="8" spans="1:29">
      <c r="A8" s="8">
        <v>46265</v>
      </c>
      <c r="B8" s="9" t="str">
        <v xml:space="preserve">NASARUDDIN                              </v>
      </c>
      <c r="C8" s="9" t="str">
        <v>N774376</v>
      </c>
      <c r="D8" s="9">
        <v>109901000475560</v>
      </c>
      <c r="E8" s="9" t="str">
        <v>SEDANG</v>
      </c>
      <c r="F8" s="9" t="str">
        <v>Tidak</v>
      </c>
      <c r="G8" s="9" t="str">
        <v>Tidak</v>
      </c>
      <c r="H8" s="9" t="str">
        <v>Tidak</v>
      </c>
      <c r="I8" s="9" t="str">
        <v>Perpajakan</v>
      </c>
      <c r="J8" s="9">
        <v>58</v>
      </c>
      <c r="K8" s="9">
        <v>1.33</v>
      </c>
      <c r="L8" s="9" t="str">
        <v>Perpajakan</v>
      </c>
      <c r="M8" s="9" t="str">
        <v xml:space="preserve">KC Pasir Pengaraian                     </v>
      </c>
      <c r="N8" s="9" t="str">
        <v xml:space="preserve">KC Pasir Pengaraian                     </v>
      </c>
      <c r="O8" s="9" t="str">
        <v xml:space="preserve">KANWIL PEKANBARU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90171841 - Rifqi Aziz</v>
      </c>
      <c r="U8" s="9" t="str">
        <v>"-"</v>
      </c>
      <c r="V8" s="12" t="s">
        <v>24</v>
      </c>
      <c r="W8" s="22" t="s">
        <v>27</v>
      </c>
      <c r="X8" s="13" t="b">
        <f>IF([3]STR!X8= TRUE, TRUE, FALSE)</f>
        <v>0</v>
      </c>
      <c r="AC8" t="str">
        <f>_xlfn.XLOOKUP(TRIM(B8), [5]STR!$2:$2, [5]STR!$44:$44, "")</f>
        <v/>
      </c>
    </row>
    <row r="9" spans="1:29">
      <c r="A9" s="8">
        <v>46265</v>
      </c>
      <c r="B9" s="9" t="str">
        <v xml:space="preserve">PT AWAL BROS CERIA CEMERLANG            </v>
      </c>
      <c r="C9" s="9" t="str">
        <v>PLG2643</v>
      </c>
      <c r="D9" s="9">
        <v>107901001590309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Perpajakan</v>
      </c>
      <c r="J9" s="9">
        <v>51</v>
      </c>
      <c r="K9" s="9">
        <v>41</v>
      </c>
      <c r="L9" s="9" t="str">
        <v>Perpajakan</v>
      </c>
      <c r="M9" s="9" t="str">
        <v xml:space="preserve">KC Pekanbaru Lancang Kuning             </v>
      </c>
      <c r="N9" s="9" t="str">
        <v xml:space="preserve">KC Pekanbaru Lancang Kuning             </v>
      </c>
      <c r="O9" s="9" t="str">
        <v xml:space="preserve">KANWIL PEKANBARU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00394521 - Muhammad Hibbanduta</v>
      </c>
      <c r="U9" s="9" t="str">
        <v>"-"</v>
      </c>
      <c r="V9" s="12" t="s">
        <v>29</v>
      </c>
      <c r="W9" s="23">
        <v>46274</v>
      </c>
      <c r="X9" s="13" t="b">
        <f>IF([3]STR!X9= TRUE, TRUE, FALSE)</f>
        <v>1</v>
      </c>
      <c r="AC9" t="str">
        <f>_xlfn.XLOOKUP(TRIM(B9), [5]STR!$2:$2, [5]STR!$44:$44, "")</f>
        <v/>
      </c>
    </row>
    <row r="10" spans="1:29">
      <c r="A10" s="8">
        <v>46265</v>
      </c>
      <c r="B10" s="9" t="str">
        <v xml:space="preserve">PT AWAL BROS HEALTHCARE                 </v>
      </c>
      <c r="C10" s="9" t="str">
        <v>POH7235</v>
      </c>
      <c r="D10" s="9">
        <v>107901004327569</v>
      </c>
      <c r="E10" s="9">
        <v>0</v>
      </c>
      <c r="F10" s="9" t="str">
        <v>Tidak</v>
      </c>
      <c r="G10" s="9" t="str">
        <v>Tidak</v>
      </c>
      <c r="H10" s="9" t="str">
        <v>Tidak</v>
      </c>
      <c r="I10" s="9" t="str">
        <v>Perpajakan</v>
      </c>
      <c r="J10" s="9">
        <v>35</v>
      </c>
      <c r="K10" s="9">
        <v>41</v>
      </c>
      <c r="L10" s="9" t="str">
        <v>Perpajakan</v>
      </c>
      <c r="M10" s="9" t="str">
        <v xml:space="preserve">KC Pekanbaru Lancang Kuning             </v>
      </c>
      <c r="N10" s="9" t="str">
        <v xml:space="preserve">KC Pekanbaru Lancang Kuning             </v>
      </c>
      <c r="O10" s="9" t="str">
        <v xml:space="preserve">KANWIL PEKANBARU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90186790 - Muhammad Alfin Farha</v>
      </c>
      <c r="U10" s="9" t="str">
        <v>"-"</v>
      </c>
      <c r="V10" s="12" t="s">
        <v>29</v>
      </c>
      <c r="W10" s="22" t="s">
        <v>31</v>
      </c>
      <c r="X10" s="13" t="b">
        <f>IF([3]STR!X10= TRUE, TRUE, FALSE)</f>
        <v>1</v>
      </c>
      <c r="AC10" t="str">
        <f>_xlfn.XLOOKUP(TRIM(B10), [5]STR!$2:$2, [5]STR!$44:$44, "")</f>
        <v/>
      </c>
    </row>
    <row r="11" spans="1:29">
      <c r="A11" s="8">
        <v>46265</v>
      </c>
      <c r="B11" s="9" t="str">
        <v xml:space="preserve">RUPAWAN ANUGERAH NUSANTARA INVESTAMA    </v>
      </c>
      <c r="C11" s="9" t="str">
        <v>RQB9274</v>
      </c>
      <c r="D11" s="9">
        <v>107901001794563</v>
      </c>
      <c r="E11" s="9" t="str">
        <v>TINGGI</v>
      </c>
      <c r="F11" s="9" t="str">
        <v>Tidak</v>
      </c>
      <c r="G11" s="9" t="str">
        <v>Tidak</v>
      </c>
      <c r="H11" s="9" t="str">
        <v>Tidak</v>
      </c>
      <c r="I11" s="9" t="str">
        <v>Perpajakan</v>
      </c>
      <c r="J11" s="9">
        <v>63</v>
      </c>
      <c r="K11" s="9">
        <v>41</v>
      </c>
      <c r="L11" s="9" t="str">
        <v>Perpajakan</v>
      </c>
      <c r="M11" s="9" t="str">
        <v xml:space="preserve">KC Pekanbaru Lancang Kuning             </v>
      </c>
      <c r="N11" s="9" t="str">
        <v xml:space="preserve">KC Pekanbaru Lancang Kuning             </v>
      </c>
      <c r="O11" s="9" t="str">
        <v xml:space="preserve">KANWIL PEKANBARU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90170665 - Mutiara Ayuningtyas</v>
      </c>
      <c r="U11" s="9" t="str">
        <v>"-"</v>
      </c>
      <c r="V11" s="12" t="s">
        <v>24</v>
      </c>
      <c r="W11" s="22" t="s">
        <v>27</v>
      </c>
      <c r="X11" s="13" t="b">
        <f>IF([3]STR!X11= TRUE, TRUE, FALSE)</f>
        <v>0</v>
      </c>
      <c r="AC11" t="str">
        <f>_xlfn.XLOOKUP(TRIM(B11), [5]STR!$2:$2, [5]STR!$44:$44, "")</f>
        <v/>
      </c>
    </row>
    <row r="12" spans="1:29">
      <c r="A12" s="8">
        <v>46265</v>
      </c>
      <c r="B12" s="9" t="str">
        <v xml:space="preserve">SAOR PARULIAN SAMOSIR                   </v>
      </c>
      <c r="C12" s="9" t="str">
        <v>SSCH544</v>
      </c>
      <c r="D12" s="9">
        <v>107901002180563</v>
      </c>
      <c r="E12" s="9" t="str">
        <v>SEDANG</v>
      </c>
      <c r="F12" s="9" t="str">
        <v>Tidak</v>
      </c>
      <c r="G12" s="9" t="str">
        <v>Tidak</v>
      </c>
      <c r="H12" s="9" t="str">
        <v>Tidak</v>
      </c>
      <c r="I12" s="9" t="str">
        <v>Perpajakan</v>
      </c>
      <c r="J12" s="9">
        <v>60</v>
      </c>
      <c r="K12" s="9">
        <v>1.33</v>
      </c>
      <c r="L12" s="9" t="str">
        <v>Perpajakan</v>
      </c>
      <c r="M12" s="9" t="str">
        <v xml:space="preserve">KC Pekanbaru Lancang Kuning             </v>
      </c>
      <c r="N12" s="9" t="str">
        <v xml:space="preserve">KC Pekanbaru Lancang Kuning             </v>
      </c>
      <c r="O12" s="9" t="str">
        <v xml:space="preserve">KANWIL PEKANBARU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 t="str">
        <v>90150130 - Intan Aida Pratiwi</v>
      </c>
      <c r="U12" s="9" t="str">
        <v>"-"</v>
      </c>
      <c r="V12" s="12" t="s">
        <v>29</v>
      </c>
      <c r="W12" s="22" t="s">
        <v>27</v>
      </c>
      <c r="X12" s="13" t="b">
        <f>IF([3]STR!X12= TRUE, TRUE, FALSE)</f>
        <v>0</v>
      </c>
      <c r="AC12" t="str">
        <f>_xlfn.XLOOKUP(TRIM(B12), [5]STR!$2:$2, [5]STR!$44:$44, "")</f>
        <v/>
      </c>
    </row>
    <row r="13" spans="1:29">
      <c r="A13" s="8">
        <v>46265</v>
      </c>
      <c r="B13" s="9" t="str">
        <v xml:space="preserve">YUSUF PARULIAN BARASA                   </v>
      </c>
      <c r="C13" s="9" t="str">
        <v>YPX0851</v>
      </c>
      <c r="D13" s="9">
        <v>56001018692536</v>
      </c>
      <c r="E13" s="9">
        <v>0</v>
      </c>
      <c r="F13" s="9" t="str">
        <v>Tidak</v>
      </c>
      <c r="G13" s="9" t="str">
        <v>Tidak</v>
      </c>
      <c r="H13" s="9">
        <v>0</v>
      </c>
      <c r="I13" s="9" t="str">
        <v>Jual Beli Rekening - E channel Trx</v>
      </c>
      <c r="J13" s="9">
        <v>33</v>
      </c>
      <c r="K13" s="9">
        <v>113</v>
      </c>
      <c r="L13" s="9" t="str">
        <v>Narkotika/Judi Online/Penipuan</v>
      </c>
      <c r="M13" s="9" t="str">
        <v xml:space="preserve">KC Duri                                 </v>
      </c>
      <c r="N13" s="9" t="str">
        <v xml:space="preserve">KC Duri                                 </v>
      </c>
      <c r="O13" s="9" t="str">
        <v xml:space="preserve">KANWIL PEKANBARU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>
        <v>0</v>
      </c>
      <c r="U13" s="9" t="str">
        <v>"-"</v>
      </c>
      <c r="V13" s="12" t="s">
        <v>24</v>
      </c>
      <c r="W13" s="22" t="s">
        <v>27</v>
      </c>
      <c r="X13" s="13" t="b">
        <f>IF([3]STR!X13= TRUE, TRUE, FALSE)</f>
        <v>0</v>
      </c>
      <c r="AC13" t="str">
        <f>_xlfn.XLOOKUP(TRIM(B13), [5]STR!$2:$2, [5]STR!$44:$44, "")</f>
        <v/>
      </c>
    </row>
    <row r="14" spans="1:29">
      <c r="A14" s="8">
        <v>46265</v>
      </c>
      <c r="B14" s="9" t="str">
        <v xml:space="preserve">ZULKARNAIN                              </v>
      </c>
      <c r="C14" s="9" t="str">
        <v>ZS74488</v>
      </c>
      <c r="D14" s="9">
        <v>544401027370534</v>
      </c>
      <c r="E14" s="9">
        <v>0</v>
      </c>
      <c r="F14" s="9" t="str">
        <v>Tidak</v>
      </c>
      <c r="G14" s="9" t="str">
        <v>Tidak</v>
      </c>
      <c r="H14" s="9">
        <v>0</v>
      </c>
      <c r="I14" s="9" t="str">
        <v>Jual Beli Rekening - E channel Trx</v>
      </c>
      <c r="J14" s="9">
        <v>33</v>
      </c>
      <c r="K14" s="9">
        <v>113</v>
      </c>
      <c r="L14" s="9" t="str">
        <v>Narkotika/Judi Online/Penipuan</v>
      </c>
      <c r="M14" s="9" t="str">
        <v xml:space="preserve">UNIT SUKAJADI DUMAI                     </v>
      </c>
      <c r="N14" s="9" t="str">
        <v xml:space="preserve">KC Dumai                                </v>
      </c>
      <c r="O14" s="9" t="str">
        <v xml:space="preserve">KANWIL PEKANBARU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>
        <v>0</v>
      </c>
      <c r="U14" s="9" t="str">
        <v>"-"</v>
      </c>
      <c r="V14" s="12" t="s">
        <v>24</v>
      </c>
      <c r="W14" s="22" t="s">
        <v>27</v>
      </c>
      <c r="X14" s="13" t="b">
        <f>IF([3]STR!X14= TRUE, TRUE, FALSE)</f>
        <v>0</v>
      </c>
      <c r="AC14" t="str">
        <f>_xlfn.XLOOKUP(TRIM(B14), [5]STR!$2:$2, [5]STR!$44:$44, "")</f>
        <v/>
      </c>
    </row>
    <row r="15" spans="1:29">
      <c r="A15" s="8">
        <v>46265</v>
      </c>
      <c r="B15" s="9" t="str">
        <v xml:space="preserve">M FACHROZI                              </v>
      </c>
      <c r="C15" s="9" t="str">
        <v>MCEJO80</v>
      </c>
      <c r="D15" s="9">
        <v>808901000018568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Narkotika - Area Lapas</v>
      </c>
      <c r="J15" s="9">
        <v>50</v>
      </c>
      <c r="K15" s="9">
        <v>46</v>
      </c>
      <c r="L15" s="9" t="str">
        <v>Narkotika</v>
      </c>
      <c r="M15" s="9" t="str">
        <v>UNIT PALAPA TUANKU TAMBUSAI</v>
      </c>
      <c r="N15" s="9" t="str">
        <v>KC Pekanbaru Tuanku Tambusai</v>
      </c>
      <c r="O15" s="9" t="str">
        <v>KANWIL PEKANBARU</v>
      </c>
      <c r="P15" s="9" t="str">
        <v>Tidak</v>
      </c>
      <c r="Q15" s="9">
        <v>0</v>
      </c>
      <c r="R15" s="9" t="str">
        <v>Done</v>
      </c>
      <c r="S15" s="9" t="str">
        <v>Belum TL</v>
      </c>
      <c r="T15" s="9" t="str">
        <v>90186796 - Devito Arya Wiradila</v>
      </c>
      <c r="U15" s="9" t="str">
        <v>"-"</v>
      </c>
      <c r="V15" s="12" t="s">
        <v>29</v>
      </c>
      <c r="W15" s="22" t="s">
        <v>27</v>
      </c>
      <c r="X15" s="13" t="b">
        <f>IF([3]STR!X15= TRUE, TRUE, FALSE)</f>
        <v>0</v>
      </c>
      <c r="AC15" t="str">
        <f>_xlfn.XLOOKUP(TRIM(B15), [5]STR!$2:$2, [5]STR!$44:$44, "")</f>
        <v/>
      </c>
    </row>
    <row r="16" spans="1:29">
      <c r="A16" s="8">
        <v>46265</v>
      </c>
      <c r="B16" s="9" t="str">
        <v xml:space="preserve">MULTI SARANA VALASINDO                  </v>
      </c>
      <c r="C16" s="9" t="str">
        <v>MBFAS39</v>
      </c>
      <c r="D16" s="9">
        <v>33101003407563</v>
      </c>
      <c r="E16" s="9" t="str">
        <v>SEDANG</v>
      </c>
      <c r="F16" s="9" t="str">
        <v>Tidak</v>
      </c>
      <c r="G16" s="9" t="str">
        <v>Tidak</v>
      </c>
      <c r="H16" s="9" t="str">
        <v>Tidak</v>
      </c>
      <c r="I16" s="9" t="str">
        <v>Perpajakan</v>
      </c>
      <c r="J16" s="9">
        <v>48</v>
      </c>
      <c r="K16" s="9">
        <v>1.33</v>
      </c>
      <c r="L16" s="9" t="str">
        <v>Perpajakan</v>
      </c>
      <c r="M16" s="9" t="str">
        <v xml:space="preserve">KC Batam Nagoya                         </v>
      </c>
      <c r="N16" s="9" t="str">
        <v xml:space="preserve">KC Batam Nagoya                         </v>
      </c>
      <c r="O16" s="9" t="str">
        <v xml:space="preserve">KANWIL PEKANBARU                        </v>
      </c>
      <c r="P16" s="9" t="str">
        <v>Ya</v>
      </c>
      <c r="Q16" s="9" t="str">
        <v>Tidak</v>
      </c>
      <c r="R16" s="9" t="str">
        <v>Done</v>
      </c>
      <c r="S16" s="9" t="str">
        <v>Pending Checker</v>
      </c>
      <c r="T16" s="9" t="str">
        <v>90170665 - Mutiara Ayuningtyas</v>
      </c>
      <c r="U16" s="9" t="str">
        <v>"-"</v>
      </c>
      <c r="V16" s="12" t="s">
        <v>24</v>
      </c>
      <c r="W16" s="22" t="s">
        <v>32</v>
      </c>
      <c r="X16" s="13" t="b">
        <f>IF([3]STR!X16= TRUE, TRUE, FALSE)</f>
        <v>1</v>
      </c>
      <c r="AC16" t="str">
        <f>_xlfn.XLOOKUP(TRIM(B16), [5]STR!$2:$2, [5]STR!$44:$44, "")</f>
        <v/>
      </c>
    </row>
    <row r="17" spans="1:29">
      <c r="A17" s="8">
        <v>46265</v>
      </c>
      <c r="B17" s="9" t="str">
        <v xml:space="preserve">EKO WIBOWO SAPUTRO                      </v>
      </c>
      <c r="C17" s="9" t="str">
        <v>EBG7867</v>
      </c>
      <c r="D17" s="9">
        <v>22701085351503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Perikanan dan Kelautan</v>
      </c>
      <c r="J17" s="9">
        <v>49</v>
      </c>
      <c r="K17" s="9">
        <v>101</v>
      </c>
      <c r="L17" s="9" t="str">
        <v>Perikanan dan Kelautan</v>
      </c>
      <c r="M17" s="9" t="str">
        <v xml:space="preserve">UNIT PINANG KENCANA TANJUNG PI          </v>
      </c>
      <c r="N17" s="9" t="str">
        <v xml:space="preserve">KC Tanjung Pinang                       </v>
      </c>
      <c r="O17" s="9" t="str">
        <v xml:space="preserve">KANWIL PEKANBARU                        </v>
      </c>
      <c r="P17" s="9" t="str">
        <v>Tidak</v>
      </c>
      <c r="Q17" s="9" t="str">
        <v>Tidak</v>
      </c>
      <c r="R17" s="9" t="str">
        <v>Done</v>
      </c>
      <c r="S17" s="9" t="str">
        <v>Approved</v>
      </c>
      <c r="T17" s="9" t="str">
        <v>90185538 - Muhammad Fahikal Auz</v>
      </c>
      <c r="U17" s="9" t="str">
        <v>"-"</v>
      </c>
      <c r="V17" s="12"/>
      <c r="W17" s="22" t="s">
        <v>27</v>
      </c>
      <c r="X17" s="13" t="b">
        <f>IF([3]STR!X17= TRUE, TRUE, FALSE)</f>
        <v>0</v>
      </c>
      <c r="Y17" s="25" t="s">
        <v>33</v>
      </c>
      <c r="AC17" t="str">
        <f>_xlfn.XLOOKUP(TRIM(B17), [5]STR!$2:$2, [5]STR!$44:$44, "")</f>
        <v/>
      </c>
    </row>
    <row r="18" spans="1:29">
      <c r="A18" s="8">
        <v>46265</v>
      </c>
      <c r="B18" s="9" t="str">
        <v xml:space="preserve">BINSAR SITUMORANG                       </v>
      </c>
      <c r="C18" s="9" t="str">
        <v>B192951</v>
      </c>
      <c r="D18" s="9">
        <v>202601000758564</v>
      </c>
      <c r="E18" s="9" t="str">
        <v>TINGGI</v>
      </c>
      <c r="F18" s="9" t="str">
        <v>Tidak</v>
      </c>
      <c r="G18" s="9" t="str">
        <v>Tidak</v>
      </c>
      <c r="H18" s="9" t="str">
        <v>Tidak</v>
      </c>
      <c r="I18" s="9" t="str">
        <v>Private or Priority Customer Investment</v>
      </c>
      <c r="J18" s="9">
        <v>83</v>
      </c>
      <c r="K18" s="9">
        <v>93</v>
      </c>
      <c r="L18" s="9" t="str">
        <v>Pasar Modal</v>
      </c>
      <c r="M18" s="9" t="str">
        <v xml:space="preserve">KC Pekanbaru Lancang Kuning             </v>
      </c>
      <c r="N18" s="9" t="str">
        <v xml:space="preserve">KC Pekanbaru Lancang Kuning             </v>
      </c>
      <c r="O18" s="9" t="str">
        <v xml:space="preserve">KANWIL PEKANBARU                        </v>
      </c>
      <c r="P18" s="9" t="str">
        <v>Tidak</v>
      </c>
      <c r="Q18" s="9" t="str">
        <v>Tidak</v>
      </c>
      <c r="R18" s="9" t="str">
        <v>Done</v>
      </c>
      <c r="S18" s="9" t="str">
        <v>Approved</v>
      </c>
      <c r="T18" s="9" t="str">
        <v>00394520 - Frida Akbar Rani</v>
      </c>
      <c r="U18" s="9" t="str">
        <v>"-"</v>
      </c>
      <c r="V18" s="12" t="s">
        <v>24</v>
      </c>
      <c r="W18" s="22" t="s">
        <v>34</v>
      </c>
      <c r="X18" s="13" t="b">
        <f>IF([3]STR!X18= TRUE, TRUE, FALSE)</f>
        <v>1</v>
      </c>
      <c r="Y18" s="26"/>
      <c r="AC18" t="str">
        <f>_xlfn.XLOOKUP(TRIM(B18), [5]STR!$2:$2, [5]STR!$44:$44, "")</f>
        <v/>
      </c>
    </row>
    <row r="19" spans="1:29">
      <c r="A19" s="8">
        <v>46265</v>
      </c>
      <c r="B19" s="9" t="str">
        <v xml:space="preserve">BATAM SEHAT MADANI                      </v>
      </c>
      <c r="C19" s="9" t="str">
        <v>BGH1921</v>
      </c>
      <c r="D19" s="9">
        <v>65901000554305</v>
      </c>
      <c r="E19" s="9" t="str">
        <v>SEDANG</v>
      </c>
      <c r="F19" s="9" t="str">
        <v>Tidak</v>
      </c>
      <c r="G19" s="9" t="str">
        <v>Tidak</v>
      </c>
      <c r="H19" s="9" t="str">
        <v>Tidak</v>
      </c>
      <c r="I19" s="9" t="str">
        <v>Perpajakan</v>
      </c>
      <c r="J19" s="9">
        <v>50</v>
      </c>
      <c r="K19" s="9">
        <v>41</v>
      </c>
      <c r="L19" s="9" t="str">
        <v>Perpajakan</v>
      </c>
      <c r="M19" s="9" t="str">
        <v xml:space="preserve">KCP AVIARI                              </v>
      </c>
      <c r="N19" s="9" t="str">
        <v xml:space="preserve">KC Batam Center                         </v>
      </c>
      <c r="O19" s="9" t="str">
        <v xml:space="preserve">KANWIL PEKANBARU                        </v>
      </c>
      <c r="P19" s="9" t="str">
        <v>Tidak</v>
      </c>
      <c r="Q19" s="9" t="str">
        <v>Tidak</v>
      </c>
      <c r="R19" s="9" t="str">
        <v>Done</v>
      </c>
      <c r="S19" s="9" t="str">
        <v>Approved</v>
      </c>
      <c r="T19" s="9" t="str">
        <v>00336949 - Mochammad Al Farabi</v>
      </c>
      <c r="U19" s="9" t="str">
        <v>"-"</v>
      </c>
      <c r="V19" s="12" t="s">
        <v>29</v>
      </c>
      <c r="W19" s="22" t="s">
        <v>35</v>
      </c>
      <c r="X19" s="13" t="b">
        <f>IF([3]STR!X19= TRUE, TRUE, FALSE)</f>
        <v>1</v>
      </c>
      <c r="Y19" s="26"/>
      <c r="AC19" t="str">
        <f>_xlfn.XLOOKUP(TRIM(B19), [5]STR!$2:$2, [5]STR!$44:$44, "")</f>
        <v/>
      </c>
    </row>
    <row r="20" spans="1:29">
      <c r="A20" s="8">
        <v>46265</v>
      </c>
      <c r="B20" s="9" t="str">
        <v xml:space="preserve">CV PORSEA GRUP                          </v>
      </c>
      <c r="C20" s="9" t="str">
        <v>CP61911</v>
      </c>
      <c r="D20" s="9">
        <v>62001000802305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Green Financial Crime (GFC)</v>
      </c>
      <c r="J20" s="9">
        <v>50</v>
      </c>
      <c r="K20" s="9">
        <v>45</v>
      </c>
      <c r="L20" s="9" t="str">
        <v>Green Financial Crime</v>
      </c>
      <c r="M20" s="9" t="str">
        <v xml:space="preserve">KC Ujung Batu                           </v>
      </c>
      <c r="N20" s="9" t="str">
        <v xml:space="preserve">KC Ujung Batu                           </v>
      </c>
      <c r="O20" s="9" t="str">
        <v xml:space="preserve">KANWIL PEKANBARU                        </v>
      </c>
      <c r="P20" s="9" t="str">
        <v>Tidak</v>
      </c>
      <c r="Q20" s="9" t="str">
        <v>Tidak</v>
      </c>
      <c r="R20" s="9" t="str">
        <v>Done</v>
      </c>
      <c r="S20" s="9" t="str">
        <v>Approved</v>
      </c>
      <c r="T20" s="9" t="str">
        <v>00394520 - Frida Akbar Rani</v>
      </c>
      <c r="U20" s="9" t="str">
        <v>PEP :-</v>
      </c>
      <c r="V20" s="12" t="s">
        <v>29</v>
      </c>
      <c r="W20" s="22" t="s">
        <v>32</v>
      </c>
      <c r="X20" s="13" t="b">
        <f>IF([3]STR!X20= TRUE, TRUE, FALSE)</f>
        <v>1</v>
      </c>
      <c r="Y20" s="26"/>
      <c r="AC20" t="str">
        <f>_xlfn.XLOOKUP(TRIM(B20), [5]STR!$2:$2, [5]STR!$44:$44, "")</f>
        <v/>
      </c>
    </row>
    <row r="21" spans="1:29">
      <c r="A21" s="8">
        <v>46265</v>
      </c>
      <c r="B21" s="9" t="str">
        <v xml:space="preserve">PT PRIMA MAJU TRI KENCANA               </v>
      </c>
      <c r="C21" s="9" t="str">
        <v>PDW9052</v>
      </c>
      <c r="D21" s="9">
        <v>61901000331307</v>
      </c>
      <c r="E21" s="9" t="str">
        <v>SEDANG</v>
      </c>
      <c r="F21" s="9" t="str">
        <v>Tidak</v>
      </c>
      <c r="G21" s="9" t="str">
        <v>Tidak</v>
      </c>
      <c r="H21" s="9" t="str">
        <v>Tidak</v>
      </c>
      <c r="I21" s="9" t="str">
        <v>Perpajakan</v>
      </c>
      <c r="J21" s="9">
        <v>50</v>
      </c>
      <c r="K21" s="9">
        <v>1.33</v>
      </c>
      <c r="L21" s="9" t="str">
        <v>Perpajakan</v>
      </c>
      <c r="M21" s="9" t="str">
        <v xml:space="preserve">KC Bagan Batu                           </v>
      </c>
      <c r="N21" s="9" t="str">
        <v xml:space="preserve">KC Bagan Batu                           </v>
      </c>
      <c r="O21" s="9" t="str">
        <v xml:space="preserve">KANWIL PEKANBARU                        </v>
      </c>
      <c r="P21" s="9" t="str">
        <v>Tidak</v>
      </c>
      <c r="Q21" s="9" t="str">
        <v>Tidak</v>
      </c>
      <c r="R21" s="9" t="str">
        <v>Done</v>
      </c>
      <c r="S21" s="9" t="str">
        <v>Approved</v>
      </c>
      <c r="T21" s="9" t="str">
        <v>90150130 - Intan Aida Pratiwi</v>
      </c>
      <c r="U21" s="9" t="str">
        <v>"-"</v>
      </c>
      <c r="V21" s="12" t="s">
        <v>29</v>
      </c>
      <c r="W21" s="22" t="s">
        <v>36</v>
      </c>
      <c r="X21" s="13" t="b">
        <f>IF([3]STR!X21= TRUE, TRUE, FALSE)</f>
        <v>1</v>
      </c>
      <c r="Y21" s="26"/>
      <c r="AC21" t="str">
        <f>_xlfn.XLOOKUP(TRIM(B21), [5]STR!$2:$2, [5]STR!$44:$44, "")</f>
        <v/>
      </c>
    </row>
    <row r="22" spans="1:29">
      <c r="A22" s="8">
        <v>46265</v>
      </c>
      <c r="B22" s="9" t="str">
        <v xml:space="preserve">PT ANDERSON UNEDO                       </v>
      </c>
      <c r="C22" s="9" t="str">
        <v>PEK8876</v>
      </c>
      <c r="D22" s="9">
        <v>107901000934306</v>
      </c>
      <c r="E22" s="9" t="str">
        <v>TINGGI</v>
      </c>
      <c r="F22" s="9" t="str">
        <v>Tidak</v>
      </c>
      <c r="G22" s="9" t="str">
        <v>Tidak</v>
      </c>
      <c r="H22" s="9" t="str">
        <v>Tidak</v>
      </c>
      <c r="I22" s="9" t="str">
        <v>Green Financial Crime (GFC)</v>
      </c>
      <c r="J22" s="9">
        <v>65</v>
      </c>
      <c r="K22" s="9">
        <v>45</v>
      </c>
      <c r="L22" s="9" t="str">
        <v>Green Financial Crime</v>
      </c>
      <c r="M22" s="9" t="str">
        <v xml:space="preserve">KC Pekanbaru Lancang Kuning             </v>
      </c>
      <c r="N22" s="9" t="str">
        <v xml:space="preserve">KC Pekanbaru Lancang Kuning             </v>
      </c>
      <c r="O22" s="9" t="str">
        <v xml:space="preserve">KANWIL PEKANBARU                        </v>
      </c>
      <c r="P22" s="9" t="str">
        <v>Tidak</v>
      </c>
      <c r="Q22" s="9" t="str">
        <v>Tidak</v>
      </c>
      <c r="R22" s="9" t="str">
        <v>Done</v>
      </c>
      <c r="S22" s="9" t="str">
        <v>Approved</v>
      </c>
      <c r="T22" s="9" t="str">
        <v>90186796 - Devito Arya Wiradila</v>
      </c>
      <c r="U22" s="9" t="str">
        <v>PEP :AWIYANTO</v>
      </c>
      <c r="V22" s="12" t="s">
        <v>29</v>
      </c>
      <c r="W22" s="22" t="s">
        <v>37</v>
      </c>
      <c r="X22" s="13" t="b">
        <f>IF([3]STR!X22= TRUE, TRUE, FALSE)</f>
        <v>1</v>
      </c>
      <c r="Y22" s="26"/>
      <c r="AC22" t="str">
        <f>_xlfn.XLOOKUP(TRIM(B22), [5]STR!$2:$2, [5]STR!$44:$44, "")</f>
        <v/>
      </c>
    </row>
    <row r="23" spans="1:29">
      <c r="A23" s="8">
        <v>46265</v>
      </c>
      <c r="B23" s="9" t="str">
        <v xml:space="preserve">NOFENDRA HARIADI                        </v>
      </c>
      <c r="C23" s="9" t="str">
        <v>NUZ1140</v>
      </c>
      <c r="D23" s="9">
        <v>66801034861503</v>
      </c>
      <c r="E23" s="9" t="str">
        <v>SEDANG</v>
      </c>
      <c r="F23" s="9" t="str">
        <v>Tidak</v>
      </c>
      <c r="G23" s="9" t="str">
        <v>Tidak</v>
      </c>
      <c r="H23" s="9" t="str">
        <v>Tidak</v>
      </c>
      <c r="I23" s="9" t="str">
        <v>Narkotika - Area Lapas</v>
      </c>
      <c r="J23" s="9">
        <v>60</v>
      </c>
      <c r="K23" s="9">
        <v>48</v>
      </c>
      <c r="L23" s="9" t="str">
        <v>Narkotika</v>
      </c>
      <c r="M23" s="9" t="str">
        <v>KC Teluk Kuantan</v>
      </c>
      <c r="N23" s="9" t="str">
        <v>KC Teluk Kuantan</v>
      </c>
      <c r="O23" s="15" t="str">
        <v>KANWIL PEKANBARU</v>
      </c>
      <c r="P23" s="15" t="str">
        <v>Ya</v>
      </c>
      <c r="Q23" s="15" t="str">
        <v>Tidak</v>
      </c>
      <c r="R23" s="15" t="str">
        <v>Done</v>
      </c>
      <c r="S23" s="15" t="str">
        <v>Approved</v>
      </c>
      <c r="T23" s="15" t="str">
        <v>90170665 - Mutiara Ayuningtyas</v>
      </c>
      <c r="U23" s="15" t="str">
        <v>"-"</v>
      </c>
      <c r="V23" s="12"/>
      <c r="W23" s="22" t="s">
        <v>27</v>
      </c>
      <c r="X23" s="13" t="b">
        <f>IF([3]STR!X23= TRUE, TRUE, FALSE)</f>
        <v>0</v>
      </c>
      <c r="Y23" s="25" t="s">
        <v>33</v>
      </c>
      <c r="AC23" t="str">
        <f>_xlfn.XLOOKUP(TRIM(B23), [5]STR!$2:$2, [5]STR!$44:$44, "")</f>
        <v/>
      </c>
    </row>
    <row r="24" spans="1:29">
      <c r="A24" s="8">
        <v>46265</v>
      </c>
      <c r="B24" s="9" t="str">
        <v xml:space="preserve">PT ZULFI JAYA CORP                      </v>
      </c>
      <c r="C24" s="9" t="str">
        <v>POP6831</v>
      </c>
      <c r="D24" s="9">
        <v>26801002470562</v>
      </c>
      <c r="E24" s="9">
        <v>0</v>
      </c>
      <c r="F24" s="9" t="str">
        <v>Tidak</v>
      </c>
      <c r="G24" s="9" t="str">
        <v>Tidak</v>
      </c>
      <c r="H24" s="9" t="str">
        <v>Tidak</v>
      </c>
      <c r="I24" s="9" t="str">
        <v>Business Email Compromise (BEC)</v>
      </c>
      <c r="J24" s="9">
        <v>30</v>
      </c>
      <c r="K24" s="9">
        <v>13</v>
      </c>
      <c r="L24" s="9" t="str">
        <v>Penipuan</v>
      </c>
      <c r="M24" s="9" t="str">
        <v xml:space="preserve">KC Bangkinang                           </v>
      </c>
      <c r="N24" s="14" t="str">
        <v xml:space="preserve">KC Bangkinang                           </v>
      </c>
      <c r="O24" s="9" t="str">
        <v xml:space="preserve">KANWIL PEKANBARU                        </v>
      </c>
      <c r="P24" s="9" t="str">
        <v>Tidak</v>
      </c>
      <c r="Q24" s="9" t="str">
        <v>Tidak</v>
      </c>
      <c r="R24" s="9" t="str">
        <v>Done</v>
      </c>
      <c r="S24" s="9" t="str">
        <v>Approved</v>
      </c>
      <c r="T24" s="9" t="str">
        <v>90186790 - Muhammad Alfin Farha</v>
      </c>
      <c r="U24" s="9" t="str">
        <v>"-"</v>
      </c>
      <c r="V24" s="12" t="s">
        <v>24</v>
      </c>
      <c r="W24" s="24" t="s">
        <v>38</v>
      </c>
      <c r="X24" s="13" t="b">
        <f>IF([3]STR!X24= TRUE, TRUE, FALSE)</f>
        <v>1</v>
      </c>
      <c r="AC24" t="str">
        <f>_xlfn.XLOOKUP(TRIM(B24), [5]STR!$2:$2, [5]STR!$44:$44, "")</f>
        <v/>
      </c>
    </row>
    <row r="25" spans="1:29">
      <c r="A25" s="8">
        <v>46265</v>
      </c>
      <c r="B25" s="9" t="str">
        <v xml:space="preserve">PT BPI BUSINESS SERVICES INC            </v>
      </c>
      <c r="C25" s="9" t="str">
        <v>POQ4864</v>
      </c>
      <c r="D25" s="9">
        <v>354401000054567</v>
      </c>
      <c r="E25" s="9">
        <v>0</v>
      </c>
      <c r="F25" s="9" t="str">
        <v>Tidak</v>
      </c>
      <c r="G25" s="9" t="str">
        <v>Tidak</v>
      </c>
      <c r="H25" s="9" t="str">
        <v>Tidak</v>
      </c>
      <c r="I25" s="9" t="str">
        <v>Business Email Compromise (BEC)</v>
      </c>
      <c r="J25" s="9">
        <v>30</v>
      </c>
      <c r="K25" s="9">
        <v>13</v>
      </c>
      <c r="L25" s="9" t="str">
        <v>Penipuan</v>
      </c>
      <c r="M25" s="9" t="str">
        <v xml:space="preserve">UNIT KOTA BERTUAH TUANKU TAMBU          </v>
      </c>
      <c r="N25" s="14" t="str">
        <v xml:space="preserve">KC Pekanbaru Tuanku Tambusai            </v>
      </c>
      <c r="O25" s="9" t="str">
        <v xml:space="preserve">KANWIL PEKANBARU                        </v>
      </c>
      <c r="P25" s="9" t="str">
        <v>Ya</v>
      </c>
      <c r="Q25" s="9" t="str">
        <v>Ya</v>
      </c>
      <c r="R25" s="9" t="str">
        <v>Done</v>
      </c>
      <c r="S25" s="9" t="str">
        <v>Approved</v>
      </c>
      <c r="T25" s="9" t="str">
        <v>90186790 - Muhammad Alfin Farha</v>
      </c>
      <c r="U25" s="9" t="str">
        <v>"-"</v>
      </c>
      <c r="V25" s="12" t="s">
        <v>24</v>
      </c>
      <c r="W25" s="24" t="s">
        <v>32</v>
      </c>
      <c r="X25" s="13" t="b">
        <f>IF([3]STR!X25= TRUE, TRUE, FALSE)</f>
        <v>1</v>
      </c>
      <c r="AC25">
        <f>_xlfn.XLOOKUP(TRIM(B25), [5]STR!$2:$2, [5]STR!$44:$44, "")</f>
        <v>3.3888392857142855</v>
      </c>
    </row>
    <row r="26" spans="1:29">
      <c r="A26" s="8">
        <v>46265</v>
      </c>
      <c r="B26" s="9" t="str">
        <v xml:space="preserve">RADUMA DELINO                           </v>
      </c>
      <c r="C26" s="9" t="str">
        <v>RED5668</v>
      </c>
      <c r="D26" s="9">
        <v>208701200385561</v>
      </c>
      <c r="E26" s="9" t="str">
        <v>SEDANG</v>
      </c>
      <c r="F26" s="9" t="str">
        <v>Ya</v>
      </c>
      <c r="G26" s="9" t="str">
        <v>Tidak</v>
      </c>
      <c r="H26" s="9" t="str">
        <v>Tidak</v>
      </c>
      <c r="I26" s="9" t="str">
        <v>Narkotika - Area Lapas</v>
      </c>
      <c r="J26" s="9">
        <v>50</v>
      </c>
      <c r="K26" s="9">
        <v>46</v>
      </c>
      <c r="L26" s="9" t="str">
        <v>Narkotika</v>
      </c>
      <c r="M26" s="9" t="str">
        <v>KCP PANAM</v>
      </c>
      <c r="N26" s="9" t="str">
        <v>KC Pekanbaru Tuanku Tambusai</v>
      </c>
      <c r="O26" s="16" t="str">
        <v>KANWIL PEKANBARU</v>
      </c>
      <c r="P26" s="16" t="str">
        <v>Tidak</v>
      </c>
      <c r="Q26" s="16" t="str">
        <v>Tidak</v>
      </c>
      <c r="R26" s="16" t="str">
        <v>Done</v>
      </c>
      <c r="S26" s="16" t="str">
        <v>Approved</v>
      </c>
      <c r="T26" s="16" t="str">
        <v>90150130 - Intan Aida Pratiwi</v>
      </c>
      <c r="U26" s="16" t="str">
        <v>"-"</v>
      </c>
      <c r="V26" s="12" t="s">
        <v>29</v>
      </c>
      <c r="W26" s="22" t="s">
        <v>39</v>
      </c>
      <c r="X26" s="13" t="b">
        <f>IF([3]STR!X26= TRUE, TRUE, FALSE)</f>
        <v>1</v>
      </c>
      <c r="AC26" t="str">
        <f>_xlfn.XLOOKUP(TRIM(B26), [5]STR!$2:$2, [5]STR!$44:$44, "")</f>
        <v/>
      </c>
    </row>
    <row r="27" spans="1:29"/>
    <row r="28" spans="1:29"/>
    <row r="29" spans="1:29"/>
    <row r="30" spans="1:29"/>
    <row r="31" spans="1:29"/>
    <row r="32" spans="1:29"/>
    <row r="33"/>
    <row r="34"/>
    <row r="35"/>
    <row r="36"/>
    <row r="37"/>
    <row r="38"/>
  </sheetData>
  <protectedRanges>
    <protectedRange sqref="V1:X26" name="Range2"/>
  </protectedRanges>
  <mergeCells count="2">
    <mergeCell ref="Z2:Z4"/>
    <mergeCell ref="Z5:Z7"/>
  </mergeCells>
  <dataValidations count="1">
    <dataValidation type="list" allowBlank="1" showInputMessage="1" showErrorMessage="1" sqref="V2:V26" xr:uid="{FAD817CD-29BA-4170-B885-520124D67077}">
      <formula1>"Reifika Dekrin, Hany Pratiwi"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4"/>
  <sheetViews>
    <sheetView workbookViewId="0">
      <selection activeCell="B16" sqref="B16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4.7109375" bestFit="1" customWidth="1"/>
    <col min="5" max="5" width="11.85546875" customWidth="1"/>
  </cols>
  <sheetData>
    <row r="1" spans="1:5">
      <c r="D1" s="60">
        <v>46280</v>
      </c>
      <c r="E1" s="61"/>
    </row>
    <row r="2" spans="1:5">
      <c r="A2" s="34" t="s">
        <v>40</v>
      </c>
      <c r="B2" s="34" t="s">
        <v>41</v>
      </c>
      <c r="C2" s="35" t="s">
        <v>42</v>
      </c>
      <c r="D2" s="36" t="s">
        <v>43</v>
      </c>
      <c r="E2" s="37" t="s">
        <v>44</v>
      </c>
    </row>
    <row r="3" spans="1:5">
      <c r="A3" s="3">
        <v>3</v>
      </c>
      <c r="B3" s="1" t="s">
        <v>45</v>
      </c>
      <c r="C3" s="19" t="s">
        <v>29</v>
      </c>
      <c r="D3" s="33">
        <f>_xlfn.XLOOKUP(B3, [1]PEP!$B:$B,[1]PEP!$G:$G)</f>
        <v>1</v>
      </c>
      <c r="E3" s="62">
        <f>AVERAGE(D3:D13)</f>
        <v>0.97653922593070674</v>
      </c>
    </row>
    <row r="4" spans="1:5">
      <c r="A4" s="3">
        <v>5</v>
      </c>
      <c r="B4" s="1" t="s">
        <v>46</v>
      </c>
      <c r="C4" s="20" t="s">
        <v>29</v>
      </c>
      <c r="D4" s="33">
        <f>_xlfn.XLOOKUP(B4, [1]PEP!$B:$B,[1]PEP!$G:$G)</f>
        <v>0.97499999999999998</v>
      </c>
      <c r="E4" s="62"/>
    </row>
    <row r="5" spans="1:5">
      <c r="A5" s="3">
        <v>10</v>
      </c>
      <c r="B5" s="1" t="s">
        <v>47</v>
      </c>
      <c r="C5" s="20" t="s">
        <v>29</v>
      </c>
      <c r="D5" s="33">
        <f>_xlfn.XLOOKUP(B5, [1]PEP!$B:$B,[1]PEP!$G:$G)</f>
        <v>1</v>
      </c>
      <c r="E5" s="62"/>
    </row>
    <row r="6" spans="1:5">
      <c r="A6" s="3">
        <v>11</v>
      </c>
      <c r="B6" s="1" t="s">
        <v>48</v>
      </c>
      <c r="C6" s="20" t="s">
        <v>29</v>
      </c>
      <c r="D6" s="33">
        <f>_xlfn.XLOOKUP(B6, [1]PEP!$B:$B,[1]PEP!$G:$G)</f>
        <v>0.88235294117647101</v>
      </c>
      <c r="E6" s="62"/>
    </row>
    <row r="7" spans="1:5">
      <c r="A7" s="3">
        <v>13</v>
      </c>
      <c r="B7" s="1" t="s">
        <v>49</v>
      </c>
      <c r="C7" s="20" t="s">
        <v>29</v>
      </c>
      <c r="D7" s="33">
        <f>_xlfn.XLOOKUP(B7, [1]PEP!$B:$B,[1]PEP!$G:$G)</f>
        <v>1</v>
      </c>
      <c r="E7" s="62"/>
    </row>
    <row r="8" spans="1:5">
      <c r="A8" s="3">
        <v>14</v>
      </c>
      <c r="B8" s="1" t="s">
        <v>50</v>
      </c>
      <c r="C8" s="20" t="s">
        <v>29</v>
      </c>
      <c r="D8" s="33">
        <f>_xlfn.XLOOKUP(B8, [1]PEP!$B:$B,[1]PEP!$G:$G)</f>
        <v>1</v>
      </c>
      <c r="E8" s="62"/>
    </row>
    <row r="9" spans="1:5">
      <c r="A9" s="3">
        <v>16</v>
      </c>
      <c r="B9" s="1" t="s">
        <v>51</v>
      </c>
      <c r="C9" s="20" t="s">
        <v>29</v>
      </c>
      <c r="D9" s="33">
        <f>_xlfn.XLOOKUP(B9, [1]PEP!$B:$B,[1]PEP!$G:$G)</f>
        <v>1</v>
      </c>
      <c r="E9" s="62"/>
    </row>
    <row r="10" spans="1:5">
      <c r="A10" s="3">
        <v>19</v>
      </c>
      <c r="B10" s="1" t="s">
        <v>52</v>
      </c>
      <c r="C10" s="20" t="s">
        <v>29</v>
      </c>
      <c r="D10" s="33">
        <f>_xlfn.XLOOKUP(B10, [1]PEP!$B:$B,[1]PEP!$G:$G)</f>
        <v>0.99568965517241403</v>
      </c>
      <c r="E10" s="62"/>
    </row>
    <row r="11" spans="1:5">
      <c r="A11" s="3">
        <v>20</v>
      </c>
      <c r="B11" s="1" t="s">
        <v>53</v>
      </c>
      <c r="C11" s="20" t="s">
        <v>29</v>
      </c>
      <c r="D11" s="33">
        <f>_xlfn.XLOOKUP(B11, [1]PEP!$B:$B,[1]PEP!$G:$G)</f>
        <v>1</v>
      </c>
      <c r="E11" s="62"/>
    </row>
    <row r="12" spans="1:5">
      <c r="A12" s="3">
        <v>21</v>
      </c>
      <c r="B12" s="1" t="s">
        <v>54</v>
      </c>
      <c r="C12" s="20" t="s">
        <v>29</v>
      </c>
      <c r="D12" s="33">
        <f>_xlfn.XLOOKUP(B12, [1]PEP!$B:$B,[1]PEP!$G:$G)</f>
        <v>0.88888888888888895</v>
      </c>
      <c r="E12" s="62"/>
    </row>
    <row r="13" spans="1:5">
      <c r="A13" s="3">
        <v>22</v>
      </c>
      <c r="B13" s="1" t="s">
        <v>55</v>
      </c>
      <c r="C13" s="20" t="s">
        <v>29</v>
      </c>
      <c r="D13" s="33">
        <f>_xlfn.XLOOKUP(B13, [1]PEP!$B:$B,[1]PEP!$G:$G)</f>
        <v>1</v>
      </c>
      <c r="E13" s="62"/>
    </row>
    <row r="14" spans="1:5">
      <c r="A14" s="3">
        <v>1</v>
      </c>
      <c r="B14" s="1" t="s">
        <v>56</v>
      </c>
      <c r="C14" s="20" t="s">
        <v>24</v>
      </c>
      <c r="D14" s="33">
        <f>_xlfn.XLOOKUP(B14, [1]PEP!$B:$B,[1]PEP!$G:$G)</f>
        <v>1</v>
      </c>
      <c r="E14" s="62">
        <f>AVERAGE(D14:D24)</f>
        <v>0.99369981616556946</v>
      </c>
    </row>
    <row r="15" spans="1:5">
      <c r="A15" s="3">
        <v>2</v>
      </c>
      <c r="B15" s="1" t="s">
        <v>57</v>
      </c>
      <c r="C15" s="20" t="s">
        <v>24</v>
      </c>
      <c r="D15" s="33">
        <f>_xlfn.XLOOKUP(B15, [1]PEP!$B:$B,[1]PEP!$G:$G)</f>
        <v>1</v>
      </c>
      <c r="E15" s="62"/>
    </row>
    <row r="16" spans="1:5">
      <c r="A16" s="3">
        <v>4</v>
      </c>
      <c r="B16" s="1" t="s">
        <v>58</v>
      </c>
      <c r="C16" s="20" t="s">
        <v>24</v>
      </c>
      <c r="D16" s="33">
        <f>_xlfn.XLOOKUP(B16, [1]PEP!$B:$B,[1]PEP!$G:$G)</f>
        <v>1</v>
      </c>
      <c r="E16" s="62"/>
    </row>
    <row r="17" spans="1:5">
      <c r="A17" s="3">
        <v>6</v>
      </c>
      <c r="B17" s="1" t="s">
        <v>59</v>
      </c>
      <c r="C17" s="20" t="s">
        <v>24</v>
      </c>
      <c r="D17" s="33">
        <f>_xlfn.XLOOKUP(B17, [1]PEP!$B:$B,[1]PEP!$G:$G)</f>
        <v>1</v>
      </c>
      <c r="E17" s="62"/>
    </row>
    <row r="18" spans="1:5">
      <c r="A18" s="3">
        <v>7</v>
      </c>
      <c r="B18" s="1" t="s">
        <v>60</v>
      </c>
      <c r="C18" s="20" t="s">
        <v>24</v>
      </c>
      <c r="D18" s="33">
        <f>_xlfn.XLOOKUP(B18, [1]PEP!$B:$B,[1]PEP!$G:$G)</f>
        <v>0.97142857142857097</v>
      </c>
      <c r="E18" s="62"/>
    </row>
    <row r="19" spans="1:5">
      <c r="A19" s="3">
        <v>8</v>
      </c>
      <c r="B19" s="1" t="s">
        <v>61</v>
      </c>
      <c r="C19" s="20" t="s">
        <v>24</v>
      </c>
      <c r="D19" s="33">
        <f>_xlfn.XLOOKUP(B19, [1]PEP!$B:$B,[1]PEP!$G:$G)</f>
        <v>1</v>
      </c>
      <c r="E19" s="62"/>
    </row>
    <row r="20" spans="1:5">
      <c r="A20" s="3">
        <v>9</v>
      </c>
      <c r="B20" s="1" t="s">
        <v>62</v>
      </c>
      <c r="C20" s="20" t="s">
        <v>24</v>
      </c>
      <c r="D20" s="33">
        <f>_xlfn.XLOOKUP(B20, [1]PEP!$B:$B,[1]PEP!$G:$G)</f>
        <v>1</v>
      </c>
      <c r="E20" s="62"/>
    </row>
    <row r="21" spans="1:5">
      <c r="A21" s="3">
        <v>12</v>
      </c>
      <c r="B21" s="1" t="s">
        <v>63</v>
      </c>
      <c r="C21" s="20" t="s">
        <v>24</v>
      </c>
      <c r="D21" s="33">
        <f>_xlfn.XLOOKUP(B21, [1]PEP!$B:$B,[1]PEP!$G:$G)</f>
        <v>0.97260273972602695</v>
      </c>
      <c r="E21" s="62"/>
    </row>
    <row r="22" spans="1:5">
      <c r="A22" s="3">
        <v>15</v>
      </c>
      <c r="B22" s="2" t="s">
        <v>64</v>
      </c>
      <c r="C22" s="20" t="s">
        <v>24</v>
      </c>
      <c r="D22" s="33">
        <f>_xlfn.XLOOKUP(B22, [1]PEP!$B:$B,[1]PEP!$G:$G)</f>
        <v>1</v>
      </c>
      <c r="E22" s="62"/>
    </row>
    <row r="23" spans="1:5">
      <c r="A23" s="3">
        <v>17</v>
      </c>
      <c r="B23" s="1" t="s">
        <v>65</v>
      </c>
      <c r="C23" s="20" t="s">
        <v>24</v>
      </c>
      <c r="D23" s="33">
        <f>_xlfn.XLOOKUP(B23, [1]PEP!$B:$B,[1]PEP!$G:$G)</f>
        <v>1</v>
      </c>
      <c r="E23" s="62"/>
    </row>
    <row r="24" spans="1:5">
      <c r="A24" s="3">
        <v>18</v>
      </c>
      <c r="B24" s="1" t="s">
        <v>66</v>
      </c>
      <c r="C24" s="20" t="s">
        <v>24</v>
      </c>
      <c r="D24" s="33">
        <f>_xlfn.XLOOKUP(B24, [1]PEP!$B:$B,[1]PEP!$G:$G)</f>
        <v>0.98666666666666702</v>
      </c>
      <c r="E24" s="62"/>
    </row>
  </sheetData>
  <autoFilter ref="A2:D2" xr:uid="{41D34422-91B6-4A51-943A-538253BDFA20}">
    <sortState xmlns:xlrd2="http://schemas.microsoft.com/office/spreadsheetml/2017/richdata2" ref="A3:D24">
      <sortCondition ref="C2"/>
    </sortState>
  </autoFilter>
  <mergeCells count="3">
    <mergeCell ref="D1:E1"/>
    <mergeCell ref="E3:E13"/>
    <mergeCell ref="E14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9DE0-729F-46D0-9188-617AC8EA44D7}">
  <sheetPr>
    <tabColor rgb="FF92D050"/>
  </sheetPr>
  <dimension ref="A1:E24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0" bestFit="1" customWidth="1"/>
    <col min="5" max="5" width="13.7109375" bestFit="1" customWidth="1"/>
  </cols>
  <sheetData>
    <row r="1" spans="1:5">
      <c r="D1" s="64">
        <v>46280</v>
      </c>
      <c r="E1" s="64"/>
    </row>
    <row r="2" spans="1:5">
      <c r="A2" s="30" t="s">
        <v>40</v>
      </c>
      <c r="B2" s="30" t="s">
        <v>41</v>
      </c>
      <c r="C2" s="30" t="s">
        <v>42</v>
      </c>
      <c r="D2" s="4" t="s">
        <v>67</v>
      </c>
      <c r="E2" s="4" t="s">
        <v>44</v>
      </c>
    </row>
    <row r="3" spans="1:5" ht="15">
      <c r="A3" s="3">
        <v>3</v>
      </c>
      <c r="B3" s="17" t="s">
        <v>45</v>
      </c>
      <c r="C3" s="31" t="s">
        <v>29</v>
      </c>
      <c r="D3" s="3">
        <f>_xlfn.XLOOKUP(B3, '[1]Bad Data'!$B:$B, '[1]Bad Data'!$D:$D)</f>
        <v>1.73E-3</v>
      </c>
      <c r="E3" s="62">
        <f>AVERAGE(D3:D13)</f>
        <v>2.6818181818181815E-3</v>
      </c>
    </row>
    <row r="4" spans="1:5" ht="15">
      <c r="A4" s="3">
        <v>5</v>
      </c>
      <c r="B4" s="18" t="s">
        <v>46</v>
      </c>
      <c r="C4" s="32" t="s">
        <v>29</v>
      </c>
      <c r="D4" s="3">
        <f>_xlfn.XLOOKUP(B4, '[1]Bad Data'!$B:$B, '[1]Bad Data'!$D:$D)</f>
        <v>2.82E-3</v>
      </c>
      <c r="E4" s="62"/>
    </row>
    <row r="5" spans="1:5" ht="15">
      <c r="A5" s="3">
        <v>10</v>
      </c>
      <c r="B5" s="18" t="s">
        <v>47</v>
      </c>
      <c r="C5" s="32" t="s">
        <v>29</v>
      </c>
      <c r="D5" s="3">
        <f>_xlfn.XLOOKUP(B5, '[1]Bad Data'!$B:$B, '[1]Bad Data'!$D:$D)</f>
        <v>1.7600000000000001E-3</v>
      </c>
      <c r="E5" s="62"/>
    </row>
    <row r="6" spans="1:5" ht="15">
      <c r="A6" s="3">
        <v>11</v>
      </c>
      <c r="B6" s="18" t="s">
        <v>48</v>
      </c>
      <c r="C6" s="32" t="s">
        <v>29</v>
      </c>
      <c r="D6" s="3">
        <f>_xlfn.XLOOKUP(B6, '[1]Bad Data'!$B:$B, '[1]Bad Data'!$D:$D)</f>
        <v>4.2300000000000003E-3</v>
      </c>
      <c r="E6" s="62"/>
    </row>
    <row r="7" spans="1:5" ht="15">
      <c r="A7" s="3">
        <v>13</v>
      </c>
      <c r="B7" s="18" t="s">
        <v>49</v>
      </c>
      <c r="C7" s="32" t="s">
        <v>29</v>
      </c>
      <c r="D7" s="3">
        <f>_xlfn.XLOOKUP(B7, '[1]Bad Data'!$B:$B, '[1]Bad Data'!$D:$D)</f>
        <v>3.65E-3</v>
      </c>
      <c r="E7" s="62"/>
    </row>
    <row r="8" spans="1:5" ht="15">
      <c r="A8" s="3">
        <v>14</v>
      </c>
      <c r="B8" s="18" t="s">
        <v>50</v>
      </c>
      <c r="C8" s="32" t="s">
        <v>29</v>
      </c>
      <c r="D8" s="3">
        <f>_xlfn.XLOOKUP(B8, '[1]Bad Data'!$B:$B, '[1]Bad Data'!$D:$D)</f>
        <v>3.0699999999999998E-3</v>
      </c>
      <c r="E8" s="62"/>
    </row>
    <row r="9" spans="1:5" ht="15">
      <c r="A9" s="3">
        <v>16</v>
      </c>
      <c r="B9" s="18" t="s">
        <v>51</v>
      </c>
      <c r="C9" s="32" t="s">
        <v>29</v>
      </c>
      <c r="D9" s="3">
        <f>_xlfn.XLOOKUP(B9, '[1]Bad Data'!$B:$B, '[1]Bad Data'!$D:$D)</f>
        <v>1.39E-3</v>
      </c>
      <c r="E9" s="62"/>
    </row>
    <row r="10" spans="1:5" ht="15">
      <c r="A10" s="3">
        <v>19</v>
      </c>
      <c r="B10" s="18" t="s">
        <v>52</v>
      </c>
      <c r="C10" s="32" t="s">
        <v>29</v>
      </c>
      <c r="D10" s="3">
        <f>_xlfn.XLOOKUP(B10, '[1]Bad Data'!$B:$B, '[1]Bad Data'!$D:$D)</f>
        <v>2.6900000000000001E-3</v>
      </c>
      <c r="E10" s="62"/>
    </row>
    <row r="11" spans="1:5" ht="15">
      <c r="A11" s="3">
        <v>20</v>
      </c>
      <c r="B11" s="18" t="s">
        <v>53</v>
      </c>
      <c r="C11" s="32" t="s">
        <v>29</v>
      </c>
      <c r="D11" s="3">
        <f>_xlfn.XLOOKUP(B11, '[1]Bad Data'!$B:$B, '[1]Bad Data'!$D:$D)</f>
        <v>2.0799999999999998E-3</v>
      </c>
      <c r="E11" s="62"/>
    </row>
    <row r="12" spans="1:5" ht="15">
      <c r="A12" s="3">
        <v>21</v>
      </c>
      <c r="B12" s="18" t="s">
        <v>54</v>
      </c>
      <c r="C12" s="32" t="s">
        <v>29</v>
      </c>
      <c r="D12" s="3">
        <f>_xlfn.XLOOKUP(B12, '[1]Bad Data'!$B:$B, '[1]Bad Data'!$D:$D)</f>
        <v>3.3600000000000001E-3</v>
      </c>
      <c r="E12" s="62"/>
    </row>
    <row r="13" spans="1:5" ht="15">
      <c r="A13" s="3">
        <v>22</v>
      </c>
      <c r="B13" s="18" t="s">
        <v>55</v>
      </c>
      <c r="C13" s="32" t="s">
        <v>29</v>
      </c>
      <c r="D13" s="3">
        <f>_xlfn.XLOOKUP(B13, '[1]Bad Data'!$B:$B, '[1]Bad Data'!$D:$D)</f>
        <v>2.7200000000000002E-3</v>
      </c>
      <c r="E13" s="62"/>
    </row>
    <row r="14" spans="1:5" ht="15">
      <c r="A14" s="3">
        <v>1</v>
      </c>
      <c r="B14" s="18" t="s">
        <v>56</v>
      </c>
      <c r="C14" s="32" t="s">
        <v>24</v>
      </c>
      <c r="D14" s="3">
        <f>_xlfn.XLOOKUP(B14, '[1]Bad Data'!$B:$B, '[1]Bad Data'!$D:$D)</f>
        <v>2.8E-3</v>
      </c>
      <c r="E14" s="62">
        <f>AVERAGE(D14:D24)</f>
        <v>2.8163636363636364E-3</v>
      </c>
    </row>
    <row r="15" spans="1:5" ht="15">
      <c r="A15" s="3">
        <v>2</v>
      </c>
      <c r="B15" s="18" t="s">
        <v>57</v>
      </c>
      <c r="C15" s="32" t="s">
        <v>24</v>
      </c>
      <c r="D15" s="3">
        <f>_xlfn.XLOOKUP(B15, '[1]Bad Data'!$B:$B, '[1]Bad Data'!$D:$D)</f>
        <v>4.3099999999999996E-3</v>
      </c>
      <c r="E15" s="62"/>
    </row>
    <row r="16" spans="1:5" ht="15">
      <c r="A16" s="3">
        <v>4</v>
      </c>
      <c r="B16" s="18" t="s">
        <v>58</v>
      </c>
      <c r="C16" s="32" t="s">
        <v>24</v>
      </c>
      <c r="D16" s="3">
        <f>_xlfn.XLOOKUP(B16, '[1]Bad Data'!$B:$B, '[1]Bad Data'!$D:$D)</f>
        <v>1.32E-3</v>
      </c>
      <c r="E16" s="62"/>
    </row>
    <row r="17" spans="1:5" ht="15">
      <c r="A17" s="3">
        <v>6</v>
      </c>
      <c r="B17" s="18" t="s">
        <v>59</v>
      </c>
      <c r="C17" s="32" t="s">
        <v>24</v>
      </c>
      <c r="D17" s="3">
        <f>_xlfn.XLOOKUP(B17, '[1]Bad Data'!$B:$B, '[1]Bad Data'!$D:$D)</f>
        <v>3.4299999999999999E-3</v>
      </c>
      <c r="E17" s="62"/>
    </row>
    <row r="18" spans="1:5" ht="15">
      <c r="A18" s="3">
        <v>7</v>
      </c>
      <c r="B18" s="18" t="s">
        <v>60</v>
      </c>
      <c r="C18" s="32" t="s">
        <v>24</v>
      </c>
      <c r="D18" s="3">
        <f>_xlfn.XLOOKUP(B18, '[1]Bad Data'!$B:$B, '[1]Bad Data'!$D:$D)</f>
        <v>1.6999999999999999E-3</v>
      </c>
      <c r="E18" s="62"/>
    </row>
    <row r="19" spans="1:5" ht="15">
      <c r="A19" s="3">
        <v>8</v>
      </c>
      <c r="B19" s="18" t="s">
        <v>61</v>
      </c>
      <c r="C19" s="32" t="s">
        <v>24</v>
      </c>
      <c r="D19" s="3">
        <f>_xlfn.XLOOKUP(B19, '[1]Bad Data'!$B:$B, '[1]Bad Data'!$D:$D)</f>
        <v>3.6700000000000001E-3</v>
      </c>
      <c r="E19" s="62"/>
    </row>
    <row r="20" spans="1:5" ht="15">
      <c r="A20" s="3">
        <v>9</v>
      </c>
      <c r="B20" s="18" t="s">
        <v>62</v>
      </c>
      <c r="C20" s="32" t="s">
        <v>24</v>
      </c>
      <c r="D20" s="3">
        <f>_xlfn.XLOOKUP(B20, '[1]Bad Data'!$B:$B, '[1]Bad Data'!$D:$D)</f>
        <v>2.31E-3</v>
      </c>
      <c r="E20" s="62"/>
    </row>
    <row r="21" spans="1:5" ht="15">
      <c r="A21" s="3">
        <v>12</v>
      </c>
      <c r="B21" s="18" t="s">
        <v>63</v>
      </c>
      <c r="C21" s="32" t="s">
        <v>24</v>
      </c>
      <c r="D21" s="3">
        <f>_xlfn.XLOOKUP(B21, '[1]Bad Data'!$B:$B, '[1]Bad Data'!$D:$D)</f>
        <v>4.7699999999999999E-3</v>
      </c>
      <c r="E21" s="62"/>
    </row>
    <row r="22" spans="1:5" ht="15">
      <c r="A22" s="3">
        <v>15</v>
      </c>
      <c r="B22" s="18" t="s">
        <v>64</v>
      </c>
      <c r="C22" s="32" t="s">
        <v>24</v>
      </c>
      <c r="D22" s="3">
        <f>_xlfn.XLOOKUP(B22, '[1]Bad Data'!$B:$B, '[1]Bad Data'!$D:$D)</f>
        <v>2.8600000000000001E-3</v>
      </c>
      <c r="E22" s="62"/>
    </row>
    <row r="23" spans="1:5" ht="15">
      <c r="A23" s="3">
        <v>17</v>
      </c>
      <c r="B23" s="18" t="s">
        <v>65</v>
      </c>
      <c r="C23" s="32" t="s">
        <v>24</v>
      </c>
      <c r="D23" s="3">
        <f>_xlfn.XLOOKUP(B23, '[1]Bad Data'!$B:$B, '[1]Bad Data'!$D:$D)</f>
        <v>9.2000000000000003E-4</v>
      </c>
      <c r="E23" s="62"/>
    </row>
    <row r="24" spans="1:5" ht="15">
      <c r="A24" s="3">
        <v>18</v>
      </c>
      <c r="B24" s="18" t="s">
        <v>66</v>
      </c>
      <c r="C24" s="32" t="s">
        <v>24</v>
      </c>
      <c r="D24" s="3">
        <f>_xlfn.XLOOKUP(B24, '[1]Bad Data'!$B:$B, '[1]Bad Data'!$D:$D)</f>
        <v>2.8900000000000002E-3</v>
      </c>
      <c r="E24" s="62"/>
    </row>
  </sheetData>
  <autoFilter ref="A2:D2" xr:uid="{A53B9DE0-729F-46D0-9188-617AC8EA44D7}">
    <sortState xmlns:xlrd2="http://schemas.microsoft.com/office/spreadsheetml/2017/richdata2" ref="A3:D24">
      <sortCondition ref="C2"/>
    </sortState>
  </autoFilter>
  <mergeCells count="3">
    <mergeCell ref="D1:E1"/>
    <mergeCell ref="E3:E13"/>
    <mergeCell ref="E1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DF0F-8E46-49D9-8A73-3D21BC3B21F9}">
  <sheetPr>
    <tabColor rgb="FF00B050"/>
  </sheetPr>
  <dimension ref="A1:F25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6" bestFit="1" customWidth="1"/>
    <col min="5" max="5" width="7.5703125" bestFit="1" customWidth="1"/>
  </cols>
  <sheetData>
    <row r="1" spans="1:6">
      <c r="D1" s="66">
        <v>46280</v>
      </c>
      <c r="E1" s="67"/>
    </row>
    <row r="2" spans="1:6">
      <c r="A2" s="30" t="s">
        <v>40</v>
      </c>
      <c r="B2" s="30" t="s">
        <v>41</v>
      </c>
      <c r="C2" s="30" t="s">
        <v>42</v>
      </c>
      <c r="D2" s="28" t="s">
        <v>68</v>
      </c>
      <c r="E2" s="28" t="s">
        <v>44</v>
      </c>
    </row>
    <row r="3" spans="1:6" ht="15">
      <c r="A3" s="39">
        <v>3</v>
      </c>
      <c r="B3" s="40" t="s">
        <v>45</v>
      </c>
      <c r="C3" s="41" t="s">
        <v>29</v>
      </c>
      <c r="D3" s="42">
        <f>_xlfn.XLOOKUP(B3,'[1]Pengkinian Data'!$B:$B,'[1]Pengkinian Data'!$E:$E)</f>
        <v>0.999</v>
      </c>
      <c r="E3" s="65">
        <f>AVERAGE(D3:D13)</f>
        <v>0.96119999999999994</v>
      </c>
      <c r="F3" s="38"/>
    </row>
    <row r="4" spans="1:6" ht="15">
      <c r="A4" s="39">
        <v>5</v>
      </c>
      <c r="B4" s="40" t="s">
        <v>46</v>
      </c>
      <c r="C4" s="41" t="s">
        <v>29</v>
      </c>
      <c r="D4" s="42">
        <f>_xlfn.XLOOKUP(B4,'[1]Pengkinian Data'!$B:$B,'[1]Pengkinian Data'!$E:$E)</f>
        <v>0.93259999999999998</v>
      </c>
      <c r="E4" s="65"/>
    </row>
    <row r="5" spans="1:6" ht="15">
      <c r="A5" s="39">
        <v>10</v>
      </c>
      <c r="B5" s="40" t="s">
        <v>47</v>
      </c>
      <c r="C5" s="41" t="s">
        <v>29</v>
      </c>
      <c r="D5" s="42">
        <f>_xlfn.XLOOKUP(B5,'[1]Pengkinian Data'!$B:$B,'[1]Pengkinian Data'!$E:$E)</f>
        <v>0.96530000000000005</v>
      </c>
      <c r="E5" s="65"/>
    </row>
    <row r="6" spans="1:6" ht="15">
      <c r="A6" s="39">
        <v>11</v>
      </c>
      <c r="B6" s="40" t="s">
        <v>48</v>
      </c>
      <c r="C6" s="41" t="s">
        <v>29</v>
      </c>
      <c r="D6" s="42">
        <f>_xlfn.XLOOKUP(B6,'[1]Pengkinian Data'!$B:$B,'[1]Pengkinian Data'!$E:$E)</f>
        <v>0.98</v>
      </c>
      <c r="E6" s="65"/>
    </row>
    <row r="7" spans="1:6" ht="15">
      <c r="A7" s="39">
        <v>13</v>
      </c>
      <c r="B7" s="40" t="s">
        <v>49</v>
      </c>
      <c r="C7" s="41" t="s">
        <v>29</v>
      </c>
      <c r="D7" s="42">
        <f>_xlfn.XLOOKUP(B7,'[1]Pengkinian Data'!$B:$B,'[1]Pengkinian Data'!$E:$E)</f>
        <v>0.98129999999999995</v>
      </c>
      <c r="E7" s="65"/>
    </row>
    <row r="8" spans="1:6" ht="15">
      <c r="A8" s="39">
        <v>14</v>
      </c>
      <c r="B8" s="40" t="s">
        <v>50</v>
      </c>
      <c r="C8" s="41" t="s">
        <v>29</v>
      </c>
      <c r="D8" s="42">
        <f>_xlfn.XLOOKUP(B8,'[1]Pengkinian Data'!$B:$B,'[1]Pengkinian Data'!$E:$E)</f>
        <v>0.90869999999999995</v>
      </c>
      <c r="E8" s="65"/>
    </row>
    <row r="9" spans="1:6" ht="15">
      <c r="A9" s="39">
        <v>16</v>
      </c>
      <c r="B9" s="40" t="s">
        <v>51</v>
      </c>
      <c r="C9" s="41" t="s">
        <v>29</v>
      </c>
      <c r="D9" s="42">
        <f>_xlfn.XLOOKUP(B9,'[1]Pengkinian Data'!$B:$B,'[1]Pengkinian Data'!$E:$E)</f>
        <v>0.99180000000000001</v>
      </c>
      <c r="E9" s="65"/>
    </row>
    <row r="10" spans="1:6" ht="15">
      <c r="A10" s="39">
        <v>19</v>
      </c>
      <c r="B10" s="40" t="s">
        <v>52</v>
      </c>
      <c r="C10" s="41" t="s">
        <v>29</v>
      </c>
      <c r="D10" s="42">
        <f>_xlfn.XLOOKUP(B10,'[1]Pengkinian Data'!$B:$B,'[1]Pengkinian Data'!$E:$E)</f>
        <v>0.95940000000000003</v>
      </c>
      <c r="E10" s="65"/>
    </row>
    <row r="11" spans="1:6" ht="15">
      <c r="A11" s="39">
        <v>20</v>
      </c>
      <c r="B11" s="40" t="s">
        <v>53</v>
      </c>
      <c r="C11" s="41" t="s">
        <v>29</v>
      </c>
      <c r="D11" s="42">
        <f>_xlfn.XLOOKUP(B11,'[1]Pengkinian Data'!$B:$B,'[1]Pengkinian Data'!$E:$E)</f>
        <v>0.99790000000000001</v>
      </c>
      <c r="E11" s="65"/>
    </row>
    <row r="12" spans="1:6" ht="15">
      <c r="A12" s="39">
        <v>21</v>
      </c>
      <c r="B12" s="40" t="s">
        <v>54</v>
      </c>
      <c r="C12" s="41" t="s">
        <v>29</v>
      </c>
      <c r="D12" s="42">
        <f>_xlfn.XLOOKUP(B12,'[1]Pengkinian Data'!$B:$B,'[1]Pengkinian Data'!$E:$E)</f>
        <v>0.99980000000000002</v>
      </c>
      <c r="E12" s="65"/>
    </row>
    <row r="13" spans="1:6" ht="15">
      <c r="A13" s="39">
        <v>22</v>
      </c>
      <c r="B13" s="40" t="s">
        <v>55</v>
      </c>
      <c r="C13" s="41" t="s">
        <v>29</v>
      </c>
      <c r="D13" s="42">
        <f>_xlfn.XLOOKUP(B13,'[1]Pengkinian Data'!$B:$B,'[1]Pengkinian Data'!$E:$E)</f>
        <v>0.85740000000000005</v>
      </c>
      <c r="E13" s="65"/>
    </row>
    <row r="14" spans="1:6" ht="15">
      <c r="A14" s="39">
        <v>1</v>
      </c>
      <c r="B14" s="40" t="s">
        <v>56</v>
      </c>
      <c r="C14" s="41" t="s">
        <v>24</v>
      </c>
      <c r="D14" s="42">
        <f>_xlfn.XLOOKUP(B14,'[1]Pengkinian Data'!$B:$B,'[1]Pengkinian Data'!$E:$E)</f>
        <v>0.92510000000000003</v>
      </c>
      <c r="E14" s="65">
        <f>AVERAGE(D14:D24)</f>
        <v>0.95336363636363641</v>
      </c>
    </row>
    <row r="15" spans="1:6" ht="15">
      <c r="A15" s="39">
        <v>2</v>
      </c>
      <c r="B15" s="40" t="s">
        <v>57</v>
      </c>
      <c r="C15" s="41" t="s">
        <v>24</v>
      </c>
      <c r="D15" s="42">
        <f>_xlfn.XLOOKUP(B15,'[1]Pengkinian Data'!$B:$B,'[1]Pengkinian Data'!$E:$E)</f>
        <v>0.93210000000000004</v>
      </c>
      <c r="E15" s="65"/>
    </row>
    <row r="16" spans="1:6" ht="15">
      <c r="A16" s="39">
        <v>4</v>
      </c>
      <c r="B16" s="40" t="s">
        <v>58</v>
      </c>
      <c r="C16" s="41" t="s">
        <v>24</v>
      </c>
      <c r="D16" s="42">
        <f>_xlfn.XLOOKUP(B16,'[1]Pengkinian Data'!$B:$B,'[1]Pengkinian Data'!$E:$E)</f>
        <v>0.98029999999999995</v>
      </c>
      <c r="E16" s="65"/>
    </row>
    <row r="17" spans="1:5" ht="15">
      <c r="A17" s="39">
        <v>6</v>
      </c>
      <c r="B17" s="40" t="s">
        <v>59</v>
      </c>
      <c r="C17" s="41" t="s">
        <v>24</v>
      </c>
      <c r="D17" s="42">
        <f>_xlfn.XLOOKUP(B17,'[1]Pengkinian Data'!$B:$B,'[1]Pengkinian Data'!$E:$E)</f>
        <v>0.92879999999999996</v>
      </c>
      <c r="E17" s="65"/>
    </row>
    <row r="18" spans="1:5" ht="15">
      <c r="A18" s="39">
        <v>7</v>
      </c>
      <c r="B18" s="40" t="s">
        <v>60</v>
      </c>
      <c r="C18" s="41" t="s">
        <v>24</v>
      </c>
      <c r="D18" s="42">
        <f>_xlfn.XLOOKUP(B18,'[1]Pengkinian Data'!$B:$B,'[1]Pengkinian Data'!$E:$E)</f>
        <v>0.99409999999999998</v>
      </c>
      <c r="E18" s="65"/>
    </row>
    <row r="19" spans="1:5" ht="15">
      <c r="A19" s="39">
        <v>8</v>
      </c>
      <c r="B19" s="40" t="s">
        <v>61</v>
      </c>
      <c r="C19" s="41" t="s">
        <v>24</v>
      </c>
      <c r="D19" s="42">
        <f>_xlfn.XLOOKUP(B19,'[1]Pengkinian Data'!$B:$B,'[1]Pengkinian Data'!$E:$E)</f>
        <v>0.98850000000000005</v>
      </c>
      <c r="E19" s="65"/>
    </row>
    <row r="20" spans="1:5" ht="15">
      <c r="A20" s="39">
        <v>9</v>
      </c>
      <c r="B20" s="40" t="s">
        <v>62</v>
      </c>
      <c r="C20" s="41" t="s">
        <v>24</v>
      </c>
      <c r="D20" s="42">
        <f>_xlfn.XLOOKUP(B20,'[1]Pengkinian Data'!$B:$B,'[1]Pengkinian Data'!$E:$E)</f>
        <v>0.94310000000000005</v>
      </c>
      <c r="E20" s="65"/>
    </row>
    <row r="21" spans="1:5" ht="15">
      <c r="A21" s="39">
        <v>12</v>
      </c>
      <c r="B21" s="40" t="s">
        <v>63</v>
      </c>
      <c r="C21" s="41" t="s">
        <v>24</v>
      </c>
      <c r="D21" s="42">
        <f>_xlfn.XLOOKUP(B21,'[1]Pengkinian Data'!$B:$B,'[1]Pengkinian Data'!$E:$E)</f>
        <v>0.95040000000000002</v>
      </c>
      <c r="E21" s="65"/>
    </row>
    <row r="22" spans="1:5" ht="15">
      <c r="A22" s="39">
        <v>15</v>
      </c>
      <c r="B22" s="40" t="s">
        <v>64</v>
      </c>
      <c r="C22" s="41" t="s">
        <v>24</v>
      </c>
      <c r="D22" s="42">
        <f>_xlfn.XLOOKUP(B22,'[1]Pengkinian Data'!$B:$B,'[1]Pengkinian Data'!$E:$E)</f>
        <v>0.93210000000000004</v>
      </c>
      <c r="E22" s="65"/>
    </row>
    <row r="23" spans="1:5" ht="15">
      <c r="A23" s="39">
        <v>17</v>
      </c>
      <c r="B23" s="40" t="s">
        <v>65</v>
      </c>
      <c r="C23" s="41" t="s">
        <v>24</v>
      </c>
      <c r="D23" s="42">
        <f>_xlfn.XLOOKUP(B23,'[1]Pengkinian Data'!$B:$B,'[1]Pengkinian Data'!$E:$E)</f>
        <v>1</v>
      </c>
      <c r="E23" s="65"/>
    </row>
    <row r="24" spans="1:5" ht="15">
      <c r="A24" s="39">
        <v>18</v>
      </c>
      <c r="B24" s="40" t="s">
        <v>66</v>
      </c>
      <c r="C24" s="41" t="s">
        <v>24</v>
      </c>
      <c r="D24" s="42">
        <f>_xlfn.XLOOKUP(B24,'[1]Pengkinian Data'!$B:$B,'[1]Pengkinian Data'!$E:$E)</f>
        <v>0.91249999999999998</v>
      </c>
      <c r="E24" s="65"/>
    </row>
    <row r="25" spans="1:5" ht="15">
      <c r="D25" s="29"/>
    </row>
  </sheetData>
  <autoFilter ref="A2:D2" xr:uid="{E2CCDF0F-8E46-49D9-8A73-3D21BC3B21F9}">
    <sortState xmlns:xlrd2="http://schemas.microsoft.com/office/spreadsheetml/2017/richdata2" ref="A3:D25">
      <sortCondition ref="C2"/>
    </sortState>
  </autoFilter>
  <mergeCells count="3">
    <mergeCell ref="E3:E13"/>
    <mergeCell ref="E14:E24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40</v>
      </c>
      <c r="B1" s="4" t="s">
        <v>41</v>
      </c>
      <c r="C1" s="4" t="s">
        <v>42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</row>
    <row r="2" spans="1:9">
      <c r="A2" s="3">
        <v>1</v>
      </c>
      <c r="B2" s="1" t="s">
        <v>75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76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77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78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79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80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81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82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83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84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85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86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87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88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89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90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91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92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93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94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95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96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97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98</v>
      </c>
      <c r="C25" s="3"/>
      <c r="D25" s="3"/>
      <c r="E25" s="3"/>
      <c r="F25" s="3"/>
      <c r="G25" s="3"/>
      <c r="H25" s="3"/>
      <c r="I25" s="3"/>
    </row>
    <row r="27" spans="1:9">
      <c r="B27" s="5" t="s">
        <v>99</v>
      </c>
    </row>
    <row r="28" spans="1:9">
      <c r="B28" s="5" t="s">
        <v>100</v>
      </c>
    </row>
    <row r="29" spans="1:9">
      <c r="B29" s="6" t="s">
        <v>101</v>
      </c>
    </row>
    <row r="31" spans="1:9">
      <c r="B31" t="s">
        <v>102</v>
      </c>
    </row>
    <row r="32" spans="1:9">
      <c r="B32" t="s">
        <v>103</v>
      </c>
    </row>
    <row r="33" spans="2:2">
      <c r="B33" t="s">
        <v>104</v>
      </c>
    </row>
    <row r="34" spans="2:2">
      <c r="B34" t="s">
        <v>105</v>
      </c>
    </row>
    <row r="35" spans="2:2">
      <c r="B35" t="s">
        <v>106</v>
      </c>
    </row>
    <row r="36" spans="2:2">
      <c r="B36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>
      <selection activeCell="C3" sqref="C3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68" t="s">
        <v>40</v>
      </c>
      <c r="B1" s="68" t="s">
        <v>41</v>
      </c>
      <c r="C1" s="68" t="s">
        <v>42</v>
      </c>
      <c r="D1" s="68" t="s">
        <v>108</v>
      </c>
      <c r="E1" s="68" t="s">
        <v>71</v>
      </c>
      <c r="F1" s="68" t="s">
        <v>74</v>
      </c>
    </row>
    <row r="2" spans="1:6" s="7" customFormat="1">
      <c r="A2" s="69"/>
      <c r="B2" s="69"/>
      <c r="C2" s="69"/>
      <c r="D2" s="69"/>
      <c r="E2" s="69"/>
      <c r="F2" s="69"/>
    </row>
    <row r="3" spans="1:6">
      <c r="A3" s="3"/>
      <c r="B3" s="1"/>
      <c r="C3" s="3"/>
      <c r="D3" s="3"/>
      <c r="E3" s="3"/>
      <c r="F3" s="3"/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99</v>
      </c>
    </row>
    <row r="30" spans="1:6">
      <c r="B30" s="5" t="s">
        <v>100</v>
      </c>
    </row>
    <row r="31" spans="1:6">
      <c r="B31" s="6" t="s">
        <v>109</v>
      </c>
    </row>
    <row r="34" spans="2:2">
      <c r="B34" t="s">
        <v>102</v>
      </c>
    </row>
    <row r="35" spans="2:2">
      <c r="B35" t="s">
        <v>103</v>
      </c>
    </row>
    <row r="36" spans="2:2">
      <c r="B36" t="s">
        <v>104</v>
      </c>
    </row>
    <row r="37" spans="2:2">
      <c r="B37" t="s">
        <v>105</v>
      </c>
    </row>
    <row r="38" spans="2:2">
      <c r="B38" t="s">
        <v>110</v>
      </c>
    </row>
    <row r="39" spans="2:2">
      <c r="B39" t="s">
        <v>111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9537-5935-48BD-8F84-BA0DCCEC981B}">
  <sheetPr>
    <tabColor theme="1" tint="0.14999847407452621"/>
  </sheetPr>
  <dimension ref="A1:F25"/>
  <sheetViews>
    <sheetView topLeftCell="A15" workbookViewId="0">
      <selection activeCell="I1" sqref="I1"/>
    </sheetView>
  </sheetViews>
  <sheetFormatPr defaultRowHeight="14.45"/>
  <cols>
    <col min="2" max="2" width="27.85546875" bestFit="1" customWidth="1"/>
    <col min="3" max="3" width="14.42578125" customWidth="1"/>
    <col min="4" max="4" width="18" bestFit="1" customWidth="1"/>
    <col min="5" max="6" width="13.5703125" bestFit="1" customWidth="1"/>
  </cols>
  <sheetData>
    <row r="1" spans="1:6">
      <c r="A1" s="4" t="s">
        <v>40</v>
      </c>
      <c r="B1" s="4" t="s">
        <v>41</v>
      </c>
      <c r="C1" s="4" t="s">
        <v>42</v>
      </c>
      <c r="D1" s="4" t="s">
        <v>112</v>
      </c>
      <c r="E1" s="4" t="s">
        <v>112</v>
      </c>
      <c r="F1" s="4" t="s">
        <v>113</v>
      </c>
    </row>
    <row r="2" spans="1:6">
      <c r="A2" s="3">
        <v>1</v>
      </c>
      <c r="B2" s="17" t="s">
        <v>45</v>
      </c>
      <c r="C2" s="19" t="s">
        <v>29</v>
      </c>
      <c r="D2" s="19">
        <v>8.6780000000000008</v>
      </c>
      <c r="E2" s="70">
        <f>AVERAGE(D2:D12)</f>
        <v>7.7778181818181817</v>
      </c>
      <c r="F2" s="70" t="s">
        <v>114</v>
      </c>
    </row>
    <row r="3" spans="1:6">
      <c r="A3" s="3">
        <v>2</v>
      </c>
      <c r="B3" s="18" t="s">
        <v>46</v>
      </c>
      <c r="C3" s="20" t="s">
        <v>29</v>
      </c>
      <c r="D3" s="19">
        <v>6.4189999999999996</v>
      </c>
      <c r="E3" s="71"/>
      <c r="F3" s="71"/>
    </row>
    <row r="4" spans="1:6" ht="15">
      <c r="A4" s="3">
        <v>3</v>
      </c>
      <c r="B4" s="18" t="s">
        <v>47</v>
      </c>
      <c r="C4" s="20" t="s">
        <v>29</v>
      </c>
      <c r="D4" s="19">
        <v>8.5950000000000006</v>
      </c>
      <c r="E4" s="71"/>
      <c r="F4" s="71"/>
    </row>
    <row r="5" spans="1:6" ht="15">
      <c r="A5" s="3">
        <v>4</v>
      </c>
      <c r="B5" s="18" t="s">
        <v>48</v>
      </c>
      <c r="C5" s="20" t="s">
        <v>29</v>
      </c>
      <c r="D5" s="19">
        <v>7.4249999999999998</v>
      </c>
      <c r="E5" s="71"/>
      <c r="F5" s="71"/>
    </row>
    <row r="6" spans="1:6" ht="15">
      <c r="A6" s="3">
        <v>5</v>
      </c>
      <c r="B6" s="18" t="s">
        <v>49</v>
      </c>
      <c r="C6" s="20" t="s">
        <v>29</v>
      </c>
      <c r="D6" s="19">
        <v>6.5810000000000004</v>
      </c>
      <c r="E6" s="71"/>
      <c r="F6" s="71"/>
    </row>
    <row r="7" spans="1:6" ht="15">
      <c r="A7" s="3">
        <v>6</v>
      </c>
      <c r="B7" s="18" t="s">
        <v>50</v>
      </c>
      <c r="C7" s="20" t="s">
        <v>29</v>
      </c>
      <c r="D7" s="19">
        <v>6.5419999999999998</v>
      </c>
      <c r="E7" s="71"/>
      <c r="F7" s="71"/>
    </row>
    <row r="8" spans="1:6" ht="15">
      <c r="A8" s="3">
        <v>7</v>
      </c>
      <c r="B8" s="18" t="s">
        <v>51</v>
      </c>
      <c r="C8" s="20" t="s">
        <v>29</v>
      </c>
      <c r="D8" s="19">
        <v>8.6180000000000003</v>
      </c>
      <c r="E8" s="71"/>
      <c r="F8" s="71"/>
    </row>
    <row r="9" spans="1:6" ht="15">
      <c r="A9" s="3">
        <v>8</v>
      </c>
      <c r="B9" s="18" t="s">
        <v>52</v>
      </c>
      <c r="C9" s="20" t="s">
        <v>29</v>
      </c>
      <c r="D9" s="19">
        <v>9.5340000000000007</v>
      </c>
      <c r="E9" s="71"/>
      <c r="F9" s="71"/>
    </row>
    <row r="10" spans="1:6" ht="15">
      <c r="A10" s="3">
        <v>9</v>
      </c>
      <c r="B10" s="18" t="s">
        <v>53</v>
      </c>
      <c r="C10" s="20" t="s">
        <v>29</v>
      </c>
      <c r="D10" s="19">
        <v>8.1370000000000005</v>
      </c>
      <c r="E10" s="71"/>
      <c r="F10" s="71"/>
    </row>
    <row r="11" spans="1:6" ht="15">
      <c r="A11" s="3">
        <v>10</v>
      </c>
      <c r="B11" s="18" t="s">
        <v>54</v>
      </c>
      <c r="C11" s="20" t="s">
        <v>29</v>
      </c>
      <c r="D11" s="19">
        <v>9.0289999999999999</v>
      </c>
      <c r="E11" s="71"/>
      <c r="F11" s="71"/>
    </row>
    <row r="12" spans="1:6" ht="15">
      <c r="A12" s="3">
        <v>11</v>
      </c>
      <c r="B12" s="18" t="s">
        <v>55</v>
      </c>
      <c r="C12" s="20" t="s">
        <v>29</v>
      </c>
      <c r="D12" s="19">
        <v>5.9980000000000002</v>
      </c>
      <c r="E12" s="72"/>
      <c r="F12" s="72"/>
    </row>
    <row r="13" spans="1:6" ht="15">
      <c r="A13" s="3">
        <v>12</v>
      </c>
      <c r="B13" s="18" t="s">
        <v>56</v>
      </c>
      <c r="C13" s="20" t="s">
        <v>24</v>
      </c>
      <c r="D13" s="19">
        <v>8.843</v>
      </c>
      <c r="E13" s="70">
        <f>AVERAGE(D13:D23)</f>
        <v>8.0737272727272753</v>
      </c>
      <c r="F13" s="70" t="s">
        <v>114</v>
      </c>
    </row>
    <row r="14" spans="1:6" ht="15">
      <c r="A14" s="3">
        <v>13</v>
      </c>
      <c r="B14" s="18" t="s">
        <v>115</v>
      </c>
      <c r="C14" s="20" t="s">
        <v>24</v>
      </c>
      <c r="D14" s="19">
        <v>7.2039999999999997</v>
      </c>
      <c r="E14" s="71"/>
      <c r="F14" s="71"/>
    </row>
    <row r="15" spans="1:6" ht="15">
      <c r="A15" s="3">
        <v>14</v>
      </c>
      <c r="B15" s="18" t="s">
        <v>58</v>
      </c>
      <c r="C15" s="20" t="s">
        <v>24</v>
      </c>
      <c r="D15" s="19">
        <v>9.0570000000000004</v>
      </c>
      <c r="E15" s="71"/>
      <c r="F15" s="71"/>
    </row>
    <row r="16" spans="1:6" ht="15">
      <c r="A16" s="3">
        <v>15</v>
      </c>
      <c r="B16" s="18" t="s">
        <v>59</v>
      </c>
      <c r="C16" s="20" t="s">
        <v>24</v>
      </c>
      <c r="D16" s="19">
        <v>8.5510000000000002</v>
      </c>
      <c r="E16" s="71"/>
      <c r="F16" s="71"/>
    </row>
    <row r="17" spans="1:6" ht="15">
      <c r="A17" s="3">
        <v>16</v>
      </c>
      <c r="B17" s="18" t="s">
        <v>60</v>
      </c>
      <c r="C17" s="20" t="s">
        <v>24</v>
      </c>
      <c r="D17" s="19">
        <v>7.2270000000000003</v>
      </c>
      <c r="E17" s="71"/>
      <c r="F17" s="71"/>
    </row>
    <row r="18" spans="1:6" ht="15">
      <c r="A18" s="3">
        <v>17</v>
      </c>
      <c r="B18" s="18" t="s">
        <v>61</v>
      </c>
      <c r="C18" s="20" t="s">
        <v>24</v>
      </c>
      <c r="D18" s="19">
        <v>7.5519999999999996</v>
      </c>
      <c r="E18" s="71"/>
      <c r="F18" s="71"/>
    </row>
    <row r="19" spans="1:6" ht="15">
      <c r="A19" s="3">
        <v>18</v>
      </c>
      <c r="B19" s="18" t="s">
        <v>62</v>
      </c>
      <c r="C19" s="20" t="s">
        <v>24</v>
      </c>
      <c r="D19" s="19">
        <v>7.3070000000000004</v>
      </c>
      <c r="E19" s="71"/>
      <c r="F19" s="71"/>
    </row>
    <row r="20" spans="1:6" ht="15">
      <c r="A20" s="3">
        <v>19</v>
      </c>
      <c r="B20" s="18" t="s">
        <v>63</v>
      </c>
      <c r="C20" s="20" t="s">
        <v>24</v>
      </c>
      <c r="D20" s="19">
        <v>7.819</v>
      </c>
      <c r="E20" s="71"/>
      <c r="F20" s="71"/>
    </row>
    <row r="21" spans="1:6" ht="15">
      <c r="A21" s="3">
        <v>20</v>
      </c>
      <c r="B21" s="18" t="s">
        <v>64</v>
      </c>
      <c r="C21" s="20" t="s">
        <v>24</v>
      </c>
      <c r="D21" s="19">
        <v>7.4370000000000003</v>
      </c>
      <c r="E21" s="71"/>
      <c r="F21" s="71"/>
    </row>
    <row r="22" spans="1:6" ht="15">
      <c r="A22" s="3">
        <v>21</v>
      </c>
      <c r="B22" s="18" t="s">
        <v>65</v>
      </c>
      <c r="C22" s="20" t="s">
        <v>24</v>
      </c>
      <c r="D22" s="19">
        <v>8.3490000000000002</v>
      </c>
      <c r="E22" s="71"/>
      <c r="F22" s="71"/>
    </row>
    <row r="23" spans="1:6" ht="15">
      <c r="A23" s="3">
        <v>22</v>
      </c>
      <c r="B23" s="18" t="s">
        <v>66</v>
      </c>
      <c r="C23" s="20" t="s">
        <v>24</v>
      </c>
      <c r="D23" s="19">
        <v>9.4649999999999999</v>
      </c>
      <c r="E23" s="72"/>
      <c r="F23" s="72"/>
    </row>
    <row r="24" spans="1:6" ht="15"/>
    <row r="25" spans="1:6" ht="15"/>
  </sheetData>
  <autoFilter ref="A1:D1" xr:uid="{D36B9537-5935-48BD-8F84-BA0DCCEC981B}">
    <sortState xmlns:xlrd2="http://schemas.microsoft.com/office/spreadsheetml/2017/richdata2" ref="A2:D23">
      <sortCondition ref="C1"/>
    </sortState>
  </autoFilter>
  <mergeCells count="4">
    <mergeCell ref="E2:E12"/>
    <mergeCell ref="E13:E23"/>
    <mergeCell ref="F2:F12"/>
    <mergeCell ref="F13:F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3BEE-C3C1-44E7-98CD-49E288EAF598}">
  <sheetPr>
    <tabColor theme="1" tint="0.249977111117893"/>
  </sheetPr>
  <dimension ref="A1:F23"/>
  <sheetViews>
    <sheetView workbookViewId="0">
      <selection activeCell="N16" sqref="N16"/>
    </sheetView>
  </sheetViews>
  <sheetFormatPr defaultRowHeight="14.45"/>
  <cols>
    <col min="1" max="1" width="3.85546875" bestFit="1" customWidth="1"/>
    <col min="2" max="2" width="27.85546875" bestFit="1" customWidth="1"/>
    <col min="3" max="3" width="12" bestFit="1" customWidth="1"/>
    <col min="4" max="5" width="13.5703125" bestFit="1" customWidth="1"/>
    <col min="6" max="6" width="15" bestFit="1" customWidth="1"/>
  </cols>
  <sheetData>
    <row r="1" spans="1:6">
      <c r="A1" s="4" t="s">
        <v>40</v>
      </c>
      <c r="B1" s="4" t="s">
        <v>41</v>
      </c>
      <c r="C1" s="4" t="s">
        <v>42</v>
      </c>
      <c r="D1" s="4" t="s">
        <v>116</v>
      </c>
      <c r="E1" s="4" t="s">
        <v>117</v>
      </c>
      <c r="F1" s="4" t="s">
        <v>118</v>
      </c>
    </row>
    <row r="2" spans="1:6">
      <c r="A2" s="3">
        <v>1</v>
      </c>
      <c r="B2" s="17" t="s">
        <v>45</v>
      </c>
      <c r="C2" s="19" t="s">
        <v>29</v>
      </c>
      <c r="D2" s="19">
        <v>5.2915026221291814</v>
      </c>
      <c r="E2" s="70">
        <f>AVERAGE(D2:D12)</f>
        <v>5.6500143621773029</v>
      </c>
      <c r="F2" s="70" t="s">
        <v>119</v>
      </c>
    </row>
    <row r="3" spans="1:6">
      <c r="A3" s="3">
        <v>2</v>
      </c>
      <c r="B3" s="18" t="s">
        <v>46</v>
      </c>
      <c r="C3" s="20" t="s">
        <v>29</v>
      </c>
      <c r="D3" s="19">
        <v>5.9791303715506992</v>
      </c>
      <c r="E3" s="71"/>
      <c r="F3" s="71"/>
    </row>
    <row r="4" spans="1:6">
      <c r="A4" s="3">
        <v>3</v>
      </c>
      <c r="B4" s="18" t="s">
        <v>47</v>
      </c>
      <c r="C4" s="20" t="s">
        <v>29</v>
      </c>
      <c r="D4" s="19">
        <v>4.9497474683058327</v>
      </c>
      <c r="E4" s="71"/>
      <c r="F4" s="71"/>
    </row>
    <row r="5" spans="1:6">
      <c r="A5" s="3">
        <v>4</v>
      </c>
      <c r="B5" s="18" t="s">
        <v>48</v>
      </c>
      <c r="C5" s="20" t="s">
        <v>29</v>
      </c>
      <c r="D5" s="19">
        <v>5.196152422706632</v>
      </c>
      <c r="E5" s="71"/>
      <c r="F5" s="71"/>
    </row>
    <row r="6" spans="1:6">
      <c r="A6" s="3">
        <v>5</v>
      </c>
      <c r="B6" s="18" t="s">
        <v>49</v>
      </c>
      <c r="C6" s="20" t="s">
        <v>29</v>
      </c>
      <c r="D6" s="19">
        <v>5.5</v>
      </c>
      <c r="E6" s="71"/>
      <c r="F6" s="71"/>
    </row>
    <row r="7" spans="1:6">
      <c r="A7" s="3">
        <v>6</v>
      </c>
      <c r="B7" s="18" t="s">
        <v>50</v>
      </c>
      <c r="C7" s="20" t="s">
        <v>29</v>
      </c>
      <c r="D7" s="19">
        <v>6.4226162893325647</v>
      </c>
      <c r="E7" s="71"/>
      <c r="F7" s="71"/>
    </row>
    <row r="8" spans="1:6">
      <c r="A8" s="3">
        <v>7</v>
      </c>
      <c r="B8" s="18" t="s">
        <v>51</v>
      </c>
      <c r="C8" s="20" t="s">
        <v>29</v>
      </c>
      <c r="D8" s="19">
        <v>5.7008771254956896</v>
      </c>
      <c r="E8" s="71"/>
      <c r="F8" s="71"/>
    </row>
    <row r="9" spans="1:6">
      <c r="A9" s="3">
        <v>8</v>
      </c>
      <c r="B9" s="18" t="s">
        <v>52</v>
      </c>
      <c r="C9" s="20" t="s">
        <v>29</v>
      </c>
      <c r="D9" s="19">
        <v>5.4543560573178569</v>
      </c>
      <c r="E9" s="71"/>
      <c r="F9" s="71"/>
    </row>
    <row r="10" spans="1:6">
      <c r="A10" s="3">
        <v>9</v>
      </c>
      <c r="B10" s="18" t="s">
        <v>53</v>
      </c>
      <c r="C10" s="20" t="s">
        <v>29</v>
      </c>
      <c r="D10" s="19">
        <v>6.1237243569579451</v>
      </c>
      <c r="E10" s="71"/>
      <c r="F10" s="71"/>
    </row>
    <row r="11" spans="1:6">
      <c r="A11" s="3">
        <v>10</v>
      </c>
      <c r="B11" s="18" t="s">
        <v>54</v>
      </c>
      <c r="C11" s="20" t="s">
        <v>29</v>
      </c>
      <c r="D11" s="19">
        <v>5.4083269131959844</v>
      </c>
      <c r="E11" s="71"/>
      <c r="F11" s="71"/>
    </row>
    <row r="12" spans="1:6">
      <c r="A12" s="3">
        <v>11</v>
      </c>
      <c r="B12" s="18" t="s">
        <v>55</v>
      </c>
      <c r="C12" s="20" t="s">
        <v>29</v>
      </c>
      <c r="D12" s="19">
        <v>6.1237243569579451</v>
      </c>
      <c r="E12" s="72"/>
      <c r="F12" s="72"/>
    </row>
    <row r="13" spans="1:6">
      <c r="A13" s="3">
        <v>12</v>
      </c>
      <c r="B13" s="18" t="s">
        <v>56</v>
      </c>
      <c r="C13" s="20" t="s">
        <v>24</v>
      </c>
      <c r="D13" s="19">
        <v>5.8094750193111251</v>
      </c>
      <c r="E13" s="70">
        <f>AVERAGE(D13:D23)</f>
        <v>5.6282245157971369</v>
      </c>
      <c r="F13" s="70" t="s">
        <v>119</v>
      </c>
    </row>
    <row r="14" spans="1:6">
      <c r="A14" s="3">
        <v>13</v>
      </c>
      <c r="B14" s="18" t="s">
        <v>115</v>
      </c>
      <c r="C14" s="20" t="s">
        <v>24</v>
      </c>
      <c r="D14" s="19">
        <v>4.9497474683058327</v>
      </c>
      <c r="E14" s="71"/>
      <c r="F14" s="71"/>
    </row>
    <row r="15" spans="1:6">
      <c r="A15" s="3">
        <v>14</v>
      </c>
      <c r="B15" s="18" t="s">
        <v>58</v>
      </c>
      <c r="C15" s="20" t="s">
        <v>24</v>
      </c>
      <c r="D15" s="19">
        <v>5</v>
      </c>
      <c r="E15" s="71"/>
      <c r="F15" s="71"/>
    </row>
    <row r="16" spans="1:6">
      <c r="A16" s="3">
        <v>15</v>
      </c>
      <c r="B16" s="18" t="s">
        <v>59</v>
      </c>
      <c r="C16" s="20" t="s">
        <v>24</v>
      </c>
      <c r="D16" s="19">
        <v>5.4083269131959844</v>
      </c>
      <c r="E16" s="71"/>
      <c r="F16" s="71"/>
    </row>
    <row r="17" spans="1:6">
      <c r="A17" s="3">
        <v>16</v>
      </c>
      <c r="B17" s="18" t="s">
        <v>60</v>
      </c>
      <c r="C17" s="20" t="s">
        <v>24</v>
      </c>
      <c r="D17" s="19">
        <v>5.8094750193111251</v>
      </c>
      <c r="E17" s="71"/>
      <c r="F17" s="71"/>
    </row>
    <row r="18" spans="1:6">
      <c r="A18" s="3">
        <v>17</v>
      </c>
      <c r="B18" s="18" t="s">
        <v>61</v>
      </c>
      <c r="C18" s="20" t="s">
        <v>24</v>
      </c>
      <c r="D18" s="19">
        <v>5.8094750193111251</v>
      </c>
      <c r="E18" s="71"/>
      <c r="F18" s="71"/>
    </row>
    <row r="19" spans="1:6">
      <c r="A19" s="3">
        <v>18</v>
      </c>
      <c r="B19" s="18" t="s">
        <v>62</v>
      </c>
      <c r="C19" s="20" t="s">
        <v>24</v>
      </c>
      <c r="D19" s="19">
        <v>5.9791303715506992</v>
      </c>
      <c r="E19" s="71"/>
      <c r="F19" s="71"/>
    </row>
    <row r="20" spans="1:6">
      <c r="A20" s="3">
        <v>19</v>
      </c>
      <c r="B20" s="18" t="s">
        <v>63</v>
      </c>
      <c r="C20" s="20" t="s">
        <v>24</v>
      </c>
      <c r="D20" s="19">
        <v>5</v>
      </c>
      <c r="E20" s="71"/>
      <c r="F20" s="71"/>
    </row>
    <row r="21" spans="1:6">
      <c r="A21" s="3">
        <v>20</v>
      </c>
      <c r="B21" s="18" t="s">
        <v>64</v>
      </c>
      <c r="C21" s="20" t="s">
        <v>24</v>
      </c>
      <c r="D21" s="19">
        <v>6.2449979983983983</v>
      </c>
      <c r="E21" s="71"/>
      <c r="F21" s="71"/>
    </row>
    <row r="22" spans="1:6">
      <c r="A22" s="3">
        <v>21</v>
      </c>
      <c r="B22" s="18" t="s">
        <v>65</v>
      </c>
      <c r="C22" s="20" t="s">
        <v>24</v>
      </c>
      <c r="D22" s="19">
        <v>6.4226162893325647</v>
      </c>
      <c r="E22" s="71"/>
      <c r="F22" s="71"/>
    </row>
    <row r="23" spans="1:6">
      <c r="A23" s="3">
        <v>22</v>
      </c>
      <c r="B23" s="18" t="s">
        <v>66</v>
      </c>
      <c r="C23" s="20" t="s">
        <v>24</v>
      </c>
      <c r="D23" s="19">
        <v>5.4772255750516612</v>
      </c>
      <c r="E23" s="72"/>
      <c r="F23" s="72"/>
    </row>
  </sheetData>
  <autoFilter ref="A1:D23" xr:uid="{039C3BEE-C3C1-44E7-98CD-49E288EAF598}">
    <sortState xmlns:xlrd2="http://schemas.microsoft.com/office/spreadsheetml/2017/richdata2" ref="A2:D23">
      <sortCondition ref="C1:C23"/>
    </sortState>
  </autoFilter>
  <mergeCells count="4">
    <mergeCell ref="E2:E12"/>
    <mergeCell ref="E13:E23"/>
    <mergeCell ref="F2:F12"/>
    <mergeCell ref="F13:F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2425-AAF9-4ED4-BF05-97E871B98ACA}">
  <sheetPr>
    <tabColor theme="0" tint="-0.14999847407452621"/>
  </sheetPr>
  <dimension ref="A1:F23"/>
  <sheetViews>
    <sheetView workbookViewId="0">
      <selection activeCell="G17" sqref="G17"/>
    </sheetView>
  </sheetViews>
  <sheetFormatPr defaultRowHeight="14.45"/>
  <cols>
    <col min="2" max="2" width="27.85546875" bestFit="1" customWidth="1"/>
    <col min="3" max="3" width="12" bestFit="1" customWidth="1"/>
    <col min="4" max="4" width="17.7109375" bestFit="1" customWidth="1"/>
    <col min="5" max="5" width="16.5703125" bestFit="1" customWidth="1"/>
    <col min="6" max="6" width="17.85546875" bestFit="1" customWidth="1"/>
  </cols>
  <sheetData>
    <row r="1" spans="1:6">
      <c r="A1" s="4" t="s">
        <v>40</v>
      </c>
      <c r="B1" s="4" t="s">
        <v>41</v>
      </c>
      <c r="C1" s="4" t="s">
        <v>42</v>
      </c>
      <c r="D1" s="4" t="s">
        <v>120</v>
      </c>
      <c r="E1" s="4" t="s">
        <v>121</v>
      </c>
      <c r="F1" s="4" t="s">
        <v>122</v>
      </c>
    </row>
    <row r="2" spans="1:6">
      <c r="A2" s="3">
        <v>1</v>
      </c>
      <c r="B2" s="17" t="s">
        <v>45</v>
      </c>
      <c r="C2" s="19" t="s">
        <v>29</v>
      </c>
      <c r="D2" s="19">
        <v>8.875</v>
      </c>
      <c r="E2" s="70">
        <f>AVERAGE(D2:D12)</f>
        <v>8.875</v>
      </c>
      <c r="F2" s="70" t="s">
        <v>123</v>
      </c>
    </row>
    <row r="3" spans="1:6">
      <c r="A3" s="3">
        <v>2</v>
      </c>
      <c r="B3" s="18" t="s">
        <v>46</v>
      </c>
      <c r="C3" s="20" t="s">
        <v>29</v>
      </c>
      <c r="D3" s="19">
        <v>8.875</v>
      </c>
      <c r="E3" s="71"/>
      <c r="F3" s="71"/>
    </row>
    <row r="4" spans="1:6">
      <c r="A4" s="3">
        <v>3</v>
      </c>
      <c r="B4" s="18" t="s">
        <v>47</v>
      </c>
      <c r="C4" s="20" t="s">
        <v>29</v>
      </c>
      <c r="D4" s="19">
        <v>8.875</v>
      </c>
      <c r="E4" s="71"/>
      <c r="F4" s="71"/>
    </row>
    <row r="5" spans="1:6">
      <c r="A5" s="3">
        <v>4</v>
      </c>
      <c r="B5" s="18" t="s">
        <v>48</v>
      </c>
      <c r="C5" s="20" t="s">
        <v>29</v>
      </c>
      <c r="D5" s="19">
        <v>8.875</v>
      </c>
      <c r="E5" s="71"/>
      <c r="F5" s="71"/>
    </row>
    <row r="6" spans="1:6">
      <c r="A6" s="3">
        <v>5</v>
      </c>
      <c r="B6" s="18" t="s">
        <v>49</v>
      </c>
      <c r="C6" s="20" t="s">
        <v>29</v>
      </c>
      <c r="D6" s="19">
        <v>8.875</v>
      </c>
      <c r="E6" s="71"/>
      <c r="F6" s="71"/>
    </row>
    <row r="7" spans="1:6">
      <c r="A7" s="3">
        <v>6</v>
      </c>
      <c r="B7" s="18" t="s">
        <v>50</v>
      </c>
      <c r="C7" s="20" t="s">
        <v>29</v>
      </c>
      <c r="D7" s="19">
        <v>8.875</v>
      </c>
      <c r="E7" s="71"/>
      <c r="F7" s="71"/>
    </row>
    <row r="8" spans="1:6">
      <c r="A8" s="3">
        <v>7</v>
      </c>
      <c r="B8" s="18" t="s">
        <v>51</v>
      </c>
      <c r="C8" s="20" t="s">
        <v>29</v>
      </c>
      <c r="D8" s="19">
        <v>8.875</v>
      </c>
      <c r="E8" s="71"/>
      <c r="F8" s="71"/>
    </row>
    <row r="9" spans="1:6">
      <c r="A9" s="3">
        <v>8</v>
      </c>
      <c r="B9" s="18" t="s">
        <v>52</v>
      </c>
      <c r="C9" s="20" t="s">
        <v>29</v>
      </c>
      <c r="D9" s="19">
        <v>8.875</v>
      </c>
      <c r="E9" s="71"/>
      <c r="F9" s="71"/>
    </row>
    <row r="10" spans="1:6">
      <c r="A10" s="3">
        <v>9</v>
      </c>
      <c r="B10" s="18" t="s">
        <v>53</v>
      </c>
      <c r="C10" s="20" t="s">
        <v>29</v>
      </c>
      <c r="D10" s="19">
        <v>8.875</v>
      </c>
      <c r="E10" s="71"/>
      <c r="F10" s="71"/>
    </row>
    <row r="11" spans="1:6">
      <c r="A11" s="3">
        <v>10</v>
      </c>
      <c r="B11" s="18" t="s">
        <v>54</v>
      </c>
      <c r="C11" s="20" t="s">
        <v>29</v>
      </c>
      <c r="D11" s="19">
        <v>8.875</v>
      </c>
      <c r="E11" s="71"/>
      <c r="F11" s="71"/>
    </row>
    <row r="12" spans="1:6">
      <c r="A12" s="3">
        <v>11</v>
      </c>
      <c r="B12" s="18" t="s">
        <v>55</v>
      </c>
      <c r="C12" s="20" t="s">
        <v>29</v>
      </c>
      <c r="D12" s="19">
        <v>8.875</v>
      </c>
      <c r="E12" s="72"/>
      <c r="F12" s="72"/>
    </row>
    <row r="13" spans="1:6">
      <c r="A13" s="3">
        <v>12</v>
      </c>
      <c r="B13" s="18" t="s">
        <v>56</v>
      </c>
      <c r="C13" s="20" t="s">
        <v>24</v>
      </c>
      <c r="D13" s="19">
        <v>8.875</v>
      </c>
      <c r="E13" s="70">
        <f>AVERAGE(D13:D23)</f>
        <v>8.875</v>
      </c>
      <c r="F13" s="70" t="s">
        <v>123</v>
      </c>
    </row>
    <row r="14" spans="1:6">
      <c r="A14" s="3">
        <v>13</v>
      </c>
      <c r="B14" s="18" t="s">
        <v>115</v>
      </c>
      <c r="C14" s="20" t="s">
        <v>24</v>
      </c>
      <c r="D14" s="19">
        <v>8.875</v>
      </c>
      <c r="E14" s="71"/>
      <c r="F14" s="71"/>
    </row>
    <row r="15" spans="1:6">
      <c r="A15" s="3">
        <v>14</v>
      </c>
      <c r="B15" s="18" t="s">
        <v>58</v>
      </c>
      <c r="C15" s="20" t="s">
        <v>24</v>
      </c>
      <c r="D15" s="19">
        <v>8.875</v>
      </c>
      <c r="E15" s="71"/>
      <c r="F15" s="71"/>
    </row>
    <row r="16" spans="1:6">
      <c r="A16" s="3">
        <v>15</v>
      </c>
      <c r="B16" s="18" t="s">
        <v>59</v>
      </c>
      <c r="C16" s="20" t="s">
        <v>24</v>
      </c>
      <c r="D16" s="19">
        <v>8.875</v>
      </c>
      <c r="E16" s="71"/>
      <c r="F16" s="71"/>
    </row>
    <row r="17" spans="1:6">
      <c r="A17" s="3">
        <v>16</v>
      </c>
      <c r="B17" s="18" t="s">
        <v>60</v>
      </c>
      <c r="C17" s="20" t="s">
        <v>24</v>
      </c>
      <c r="D17" s="19">
        <v>8.875</v>
      </c>
      <c r="E17" s="71"/>
      <c r="F17" s="71"/>
    </row>
    <row r="18" spans="1:6">
      <c r="A18" s="3">
        <v>17</v>
      </c>
      <c r="B18" s="18" t="s">
        <v>61</v>
      </c>
      <c r="C18" s="20" t="s">
        <v>24</v>
      </c>
      <c r="D18" s="19">
        <v>8.875</v>
      </c>
      <c r="E18" s="71"/>
      <c r="F18" s="71"/>
    </row>
    <row r="19" spans="1:6">
      <c r="A19" s="3">
        <v>18</v>
      </c>
      <c r="B19" s="18" t="s">
        <v>62</v>
      </c>
      <c r="C19" s="20" t="s">
        <v>24</v>
      </c>
      <c r="D19" s="19">
        <v>8.875</v>
      </c>
      <c r="E19" s="71"/>
      <c r="F19" s="71"/>
    </row>
    <row r="20" spans="1:6">
      <c r="A20" s="3">
        <v>19</v>
      </c>
      <c r="B20" s="18" t="s">
        <v>63</v>
      </c>
      <c r="C20" s="20" t="s">
        <v>24</v>
      </c>
      <c r="D20" s="19">
        <v>8.875</v>
      </c>
      <c r="E20" s="71"/>
      <c r="F20" s="71"/>
    </row>
    <row r="21" spans="1:6">
      <c r="A21" s="3">
        <v>20</v>
      </c>
      <c r="B21" s="18" t="s">
        <v>64</v>
      </c>
      <c r="C21" s="20" t="s">
        <v>24</v>
      </c>
      <c r="D21" s="19">
        <v>8.875</v>
      </c>
      <c r="E21" s="71"/>
      <c r="F21" s="71"/>
    </row>
    <row r="22" spans="1:6">
      <c r="A22" s="3">
        <v>21</v>
      </c>
      <c r="B22" s="18" t="s">
        <v>65</v>
      </c>
      <c r="C22" s="20" t="s">
        <v>24</v>
      </c>
      <c r="D22" s="19">
        <v>8.875</v>
      </c>
      <c r="E22" s="71"/>
      <c r="F22" s="71"/>
    </row>
    <row r="23" spans="1:6">
      <c r="A23" s="3">
        <v>22</v>
      </c>
      <c r="B23" s="18" t="s">
        <v>66</v>
      </c>
      <c r="C23" s="20" t="s">
        <v>24</v>
      </c>
      <c r="D23" s="19">
        <v>8.875</v>
      </c>
      <c r="E23" s="72"/>
      <c r="F23" s="72"/>
    </row>
  </sheetData>
  <autoFilter ref="A1:D23" xr:uid="{710C2425-AAF9-4ED4-BF05-97E871B98ACA}">
    <sortState xmlns:xlrd2="http://schemas.microsoft.com/office/spreadsheetml/2017/richdata2" ref="A2:D23">
      <sortCondition ref="C1:C23"/>
    </sortState>
  </autoFilter>
  <mergeCells count="4">
    <mergeCell ref="E2:E12"/>
    <mergeCell ref="E13:E23"/>
    <mergeCell ref="F2:F12"/>
    <mergeCell ref="F13:F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EDF4-10B8-4FAD-83F4-E6108457CBB8}">
  <dimension ref="A2:O15"/>
  <sheetViews>
    <sheetView workbookViewId="0">
      <selection activeCell="C2" sqref="C2:H2"/>
    </sheetView>
  </sheetViews>
  <sheetFormatPr defaultRowHeight="15"/>
  <cols>
    <col min="1" max="1" width="4" bestFit="1" customWidth="1"/>
    <col min="2" max="2" width="29.5703125" customWidth="1"/>
    <col min="3" max="8" width="12" customWidth="1"/>
  </cols>
  <sheetData>
    <row r="2" spans="1:15">
      <c r="A2" s="75" t="s">
        <v>124</v>
      </c>
      <c r="B2" s="75" t="s">
        <v>125</v>
      </c>
      <c r="C2" s="76" t="s">
        <v>24</v>
      </c>
      <c r="D2" s="76"/>
      <c r="E2" s="76"/>
      <c r="F2" s="76" t="s">
        <v>29</v>
      </c>
      <c r="G2" s="76"/>
      <c r="H2" s="76"/>
    </row>
    <row r="3" spans="1:15">
      <c r="A3" s="75"/>
      <c r="B3" s="75"/>
      <c r="C3" s="43" t="s">
        <v>126</v>
      </c>
      <c r="D3" s="43" t="s">
        <v>127</v>
      </c>
      <c r="E3" s="43" t="s">
        <v>128</v>
      </c>
      <c r="F3" s="43" t="s">
        <v>126</v>
      </c>
      <c r="G3" s="43" t="s">
        <v>127</v>
      </c>
      <c r="H3" s="43" t="s">
        <v>128</v>
      </c>
    </row>
    <row r="4" spans="1:15">
      <c r="A4" s="44">
        <v>1</v>
      </c>
      <c r="B4" s="55" t="s">
        <v>129</v>
      </c>
      <c r="C4" s="45">
        <f>IFERROR(COUNTIFS(STR!$V:$V, Overview!C$2, STR!$X:$X, "TRUE")/COUNTIFS(STR!$V:$V, Overview!C2), 0)</f>
        <v>0.45454545454545453</v>
      </c>
      <c r="D4" s="46">
        <v>0.15</v>
      </c>
      <c r="E4" s="45">
        <f>D4*C4</f>
        <v>6.8181818181818177E-2</v>
      </c>
      <c r="F4" s="45">
        <f>IFERROR(COUNTIFS(STR!$V:$V, Overview!F$2, STR!$X:$X, "TRUE")/COUNTIFS(STR!$V:$V, Overview!F2), 0)</f>
        <v>0.58333333333333337</v>
      </c>
      <c r="G4" s="46">
        <v>0.15</v>
      </c>
      <c r="H4" s="47">
        <f>G4*F4</f>
        <v>8.7500000000000008E-2</v>
      </c>
    </row>
    <row r="5" spans="1:15">
      <c r="A5" s="44">
        <v>2</v>
      </c>
      <c r="B5" s="55" t="s">
        <v>67</v>
      </c>
      <c r="C5" s="45">
        <f>1-AVERAGEIF('Bad Data'!$C:$C, Overview!C$2, 'Bad Data'!$D:$D)</f>
        <v>0.99718363636363638</v>
      </c>
      <c r="D5" s="46">
        <v>0.1</v>
      </c>
      <c r="E5" s="45">
        <f t="shared" ref="E5:E14" si="0">D5*C5</f>
        <v>9.9718363636363647E-2</v>
      </c>
      <c r="F5" s="45">
        <f>1-AVERAGEIF('Bad Data'!$C:$C, Overview!F$2, 'Bad Data'!$D:$D)</f>
        <v>0.99731818181818177</v>
      </c>
      <c r="G5" s="46">
        <v>0.1</v>
      </c>
      <c r="H5" s="47">
        <f t="shared" ref="H5:H14" si="1">G5*F5</f>
        <v>9.9731818181818185E-2</v>
      </c>
    </row>
    <row r="6" spans="1:15">
      <c r="A6" s="44">
        <v>3</v>
      </c>
      <c r="B6" s="55" t="s">
        <v>130</v>
      </c>
      <c r="C6" s="45">
        <f>AVERAGEIF('Pengkinian Data'!$C:$C, Overview!C$2, 'Pengkinian Data'!$D:$D)</f>
        <v>0.95336363636363641</v>
      </c>
      <c r="D6" s="46">
        <v>0.1</v>
      </c>
      <c r="E6" s="45">
        <f t="shared" si="0"/>
        <v>9.533636363636365E-2</v>
      </c>
      <c r="F6" s="45">
        <f>AVERAGEIF('Pengkinian Data'!$C:$C, Overview!F$2, 'Pengkinian Data'!$D:$D)</f>
        <v>0.96119999999999994</v>
      </c>
      <c r="G6" s="46">
        <v>0.1</v>
      </c>
      <c r="H6" s="47">
        <f t="shared" si="1"/>
        <v>9.6119999999999997E-2</v>
      </c>
      <c r="O6" t="s">
        <v>131</v>
      </c>
    </row>
    <row r="7" spans="1:15">
      <c r="A7" s="44">
        <v>4</v>
      </c>
      <c r="B7" s="55" t="s">
        <v>132</v>
      </c>
      <c r="C7" s="45">
        <f>IFERROR(COUNTIFS(STR!$V:$V, Overview!B5, STR!$X:$X, "TRUE")/COUNTIFS(STR!$V:$V, Overview!B5), 0)</f>
        <v>0</v>
      </c>
      <c r="D7" s="46">
        <v>0</v>
      </c>
      <c r="E7" s="45">
        <f t="shared" si="0"/>
        <v>0</v>
      </c>
      <c r="F7" s="45">
        <f>IFERROR(COUNTIFS(STR!$V:$V, Overview!E5, STR!$X:$X, "TRUE")/COUNTIFS(STR!$V:$V, Overview!E5), 0)</f>
        <v>0</v>
      </c>
      <c r="G7" s="46">
        <v>0</v>
      </c>
      <c r="H7" s="47">
        <f t="shared" si="1"/>
        <v>0</v>
      </c>
    </row>
    <row r="8" spans="1:15">
      <c r="A8" s="44">
        <v>5</v>
      </c>
      <c r="B8" s="55" t="s">
        <v>133</v>
      </c>
      <c r="C8" s="48" cm="1">
        <f t="array" ref="C8">IFERROR(AVERAGE(IF([1]Sosialisasi!$C$1:$C$10000=C2, [1]Sosialisasi!$D$1:$D$10000)), 0)</f>
        <v>0.54545454545454541</v>
      </c>
      <c r="D8" s="46">
        <v>0.15</v>
      </c>
      <c r="E8" s="45">
        <f t="shared" si="0"/>
        <v>8.1818181818181804E-2</v>
      </c>
      <c r="F8" s="48" cm="1">
        <f t="array" ref="F8">IFERROR(AVERAGE(IF([1]Sosialisasi!$C$1:$C$10000=F2, [1]Sosialisasi!$D$1:$D$10000)), 0)</f>
        <v>0.18181818181818182</v>
      </c>
      <c r="G8" s="46">
        <v>0.15</v>
      </c>
      <c r="H8" s="47">
        <f t="shared" si="1"/>
        <v>2.7272727272727271E-2</v>
      </c>
    </row>
    <row r="9" spans="1:15">
      <c r="A9" s="44">
        <v>6</v>
      </c>
      <c r="B9" s="55" t="s">
        <v>134</v>
      </c>
      <c r="C9" s="45">
        <f>AVERAGEIF('EDD PEP PPATK'!$C:$C, Overview!C$2, 'EDD PEP PPATK'!$D:$D)</f>
        <v>0.99369981616556946</v>
      </c>
      <c r="D9" s="46">
        <v>0.1</v>
      </c>
      <c r="E9" s="45">
        <f t="shared" si="0"/>
        <v>9.9369981616556954E-2</v>
      </c>
      <c r="F9" s="45">
        <f>AVERAGEIF('EDD PEP PPATK'!$C:$C, Overview!F$2, 'EDD PEP PPATK'!$D:$D)</f>
        <v>0.97653922593070674</v>
      </c>
      <c r="G9" s="46">
        <v>0.1</v>
      </c>
      <c r="H9" s="47">
        <f t="shared" si="1"/>
        <v>9.765392259307068E-2</v>
      </c>
    </row>
    <row r="10" spans="1:15">
      <c r="A10" s="44">
        <v>7</v>
      </c>
      <c r="B10" s="55" t="s">
        <v>135</v>
      </c>
      <c r="C10" s="45" cm="1">
        <f t="array" ref="C10">IF(IFERROR(AVERAGE(IF('[1]Sheet2 (2)'!$C$1:$C$10000=C$2, '[1]Sheet2 (2)'!$D$1:$D$10000)), 0)&gt;0.9, 1, IFERROR(AVERAGE(IF('[1]Sheet2 (2)'!$C$1:$C$10000=C$2, '[1]Sheet2 (2)'!$D$1:$D$10000)), 0))</f>
        <v>1</v>
      </c>
      <c r="D10" s="46">
        <v>0.05</v>
      </c>
      <c r="E10" s="45">
        <f t="shared" si="0"/>
        <v>0.05</v>
      </c>
      <c r="F10" s="45" cm="1">
        <f t="array" ref="F10">IF(IFERROR(AVERAGE(IF('[1]Sheet2 (2)'!$C$1:$C$10000=F$2, '[1]Sheet2 (2)'!$D$1:$D$10000)), 0)&gt;0.9, 1, IFERROR(AVERAGE(IF('[1]Sheet2 (2)'!$C$1:$C$10000=F$2, '[1]Sheet2 (2)'!$D$1:$D$10000)), 0))</f>
        <v>1</v>
      </c>
      <c r="G10" s="46">
        <v>0.05</v>
      </c>
      <c r="H10" s="47">
        <f t="shared" si="1"/>
        <v>0.05</v>
      </c>
    </row>
    <row r="11" spans="1:15">
      <c r="A11" s="44">
        <v>8</v>
      </c>
      <c r="B11" s="55" t="s">
        <v>136</v>
      </c>
      <c r="C11" s="45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46">
        <v>0.05</v>
      </c>
      <c r="E11" s="45">
        <f t="shared" si="0"/>
        <v>0.05</v>
      </c>
      <c r="F11" s="45" cm="1">
        <f t="array" ref="F11">IF(IFERROR(AVERAGE(IF('[1]Sheet2 (3)'!$C$1:$C$10000=F2, '[1]Sheet2 (3)'!$D$1:$D$10000)), 0)&gt;90, 1, IFERROR(AVERAGE(IF('[1]Sheet2 (3)'!$C$1:$C$10000=F2, '[1]Sheet2 (3)'!$D$1:$D$10000)), 0)/90)</f>
        <v>1</v>
      </c>
      <c r="G11" s="46">
        <v>0.05</v>
      </c>
      <c r="H11" s="47">
        <f t="shared" si="1"/>
        <v>0.05</v>
      </c>
    </row>
    <row r="12" spans="1:15">
      <c r="A12" s="44">
        <v>9</v>
      </c>
      <c r="B12" s="55" t="s">
        <v>137</v>
      </c>
      <c r="C12" s="45">
        <f>IF(AVERAGEIF('Nilai Maturitas'!$C:$C, Overview!C2, 'Nilai Maturitas'!$D:$D) &gt; 8, 110%, AVERAGEIF('Nilai Maturitas'!$C:$C, Overview!C2, 'Nilai Maturitas'!$D:$D)/8*100%)</f>
        <v>1.1000000000000001</v>
      </c>
      <c r="D12" s="46">
        <v>0.1</v>
      </c>
      <c r="E12" s="45">
        <f t="shared" si="0"/>
        <v>0.11000000000000001</v>
      </c>
      <c r="F12" s="45">
        <f>IF(AVERAGEIF('Nilai Maturitas'!$C:$C, Overview!F2, 'Nilai Maturitas'!$D:$D) &gt; 8, 110%, AVERAGEIF('Nilai Maturitas'!$C:$C, Overview!F2, 'Nilai Maturitas'!$D:$D)/8*100%)</f>
        <v>0.97222727272727272</v>
      </c>
      <c r="G12" s="46">
        <v>0.1</v>
      </c>
      <c r="H12" s="47">
        <f t="shared" si="1"/>
        <v>9.722272727272728E-2</v>
      </c>
    </row>
    <row r="13" spans="1:15">
      <c r="A13" s="44">
        <v>10</v>
      </c>
      <c r="B13" s="55" t="s">
        <v>138</v>
      </c>
      <c r="C13" s="45">
        <f>IF(AVERAGEIF('Maturitas Dashboard'!$C:$C, Overview!C$2, 'Maturitas Dashboard'!$D:$D) &gt; 8, 110%, AVERAGEIF('Maturitas Dashboard'!$C:$C, Overview!C$2, 'Maturitas Dashboard'!$D:$D)/8*100%)</f>
        <v>1.1000000000000001</v>
      </c>
      <c r="D13" s="46">
        <v>0.1</v>
      </c>
      <c r="E13" s="45">
        <f t="shared" si="0"/>
        <v>0.11000000000000001</v>
      </c>
      <c r="F13" s="45">
        <f>IF(AVERAGEIF('Maturitas Dashboard'!$C:$C, Overview!F$2, 'Maturitas Dashboard'!$D:$D) &gt; 8, 110%, AVERAGEIF('Maturitas Dashboard'!$C:$C, Overview!F$2, 'Maturitas Dashboard'!$D:$D)/8*100%)</f>
        <v>1.1000000000000001</v>
      </c>
      <c r="G13" s="46">
        <v>0.1</v>
      </c>
      <c r="H13" s="47">
        <f t="shared" si="1"/>
        <v>0.11000000000000001</v>
      </c>
    </row>
    <row r="14" spans="1:15">
      <c r="A14" s="49">
        <v>11</v>
      </c>
      <c r="B14" s="56" t="s">
        <v>139</v>
      </c>
      <c r="C14" s="50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51">
        <v>0.1</v>
      </c>
      <c r="E14" s="50">
        <f t="shared" si="0"/>
        <v>0.11000000000000001</v>
      </c>
      <c r="F14" s="50">
        <f>IF(AVERAGEIF('Penilaian Resiko'!$C:$C, Overview!F$2, 'Penilaian Resiko'!$D:$D) &lt; 5.8, 110%, IF(AVERAGEIF('Penilaian Resiko'!$C:$C, Overview!F$2, 'Penilaian Resiko'!$D:$D) &lt;7.4, 3/4*100%, 3/5*100%))</f>
        <v>1.1000000000000001</v>
      </c>
      <c r="G14" s="51">
        <v>0.1</v>
      </c>
      <c r="H14" s="52">
        <f t="shared" si="1"/>
        <v>0.11000000000000001</v>
      </c>
    </row>
    <row r="15" spans="1:15">
      <c r="A15" s="53"/>
      <c r="B15" s="53"/>
      <c r="C15" s="73" t="s">
        <v>140</v>
      </c>
      <c r="D15" s="74"/>
      <c r="E15" s="54">
        <f>SUM(E4:E14)</f>
        <v>0.87442470888928425</v>
      </c>
      <c r="F15" s="73" t="s">
        <v>140</v>
      </c>
      <c r="G15" s="74"/>
      <c r="H15" s="54">
        <f>SUM(H4:H14)</f>
        <v>0.82550119532034338</v>
      </c>
    </row>
  </sheetData>
  <mergeCells count="6">
    <mergeCell ref="C15:D15"/>
    <mergeCell ref="F15:G15"/>
    <mergeCell ref="A2:A3"/>
    <mergeCell ref="B2:B3"/>
    <mergeCell ref="C2:E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082F-71BD-48DA-BE7F-FB8FD763D341}">
  <dimension ref="A2:O15"/>
  <sheetViews>
    <sheetView tabSelected="1" workbookViewId="0">
      <selection activeCell="F7" sqref="F7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75" t="s">
        <v>124</v>
      </c>
      <c r="B2" s="75" t="s">
        <v>125</v>
      </c>
      <c r="C2" s="76" t="s">
        <v>24</v>
      </c>
      <c r="D2" s="76"/>
      <c r="E2" s="76"/>
      <c r="F2" s="76" t="s">
        <v>29</v>
      </c>
      <c r="G2" s="76"/>
      <c r="H2" s="76"/>
    </row>
    <row r="3" spans="1:15">
      <c r="A3" s="75"/>
      <c r="B3" s="75"/>
      <c r="C3" s="43" t="s">
        <v>126</v>
      </c>
      <c r="D3" s="43" t="s">
        <v>141</v>
      </c>
      <c r="E3" s="43" t="s">
        <v>128</v>
      </c>
      <c r="F3" s="43" t="s">
        <v>126</v>
      </c>
      <c r="G3" s="43" t="s">
        <v>141</v>
      </c>
      <c r="H3" s="43" t="s">
        <v>128</v>
      </c>
    </row>
    <row r="4" spans="1:15">
      <c r="A4" s="44">
        <v>1</v>
      </c>
      <c r="B4" s="55" t="s">
        <v>129</v>
      </c>
      <c r="C4" s="45">
        <f>IFERROR(COUNTIFS(STR!$V:$V, 'Overview tanpa KPI'!C$2, STR!$X:$X, "TRUE")/COUNTIFS(STR!$V:$V, 'Overview tanpa KPI'!C2), 0)</f>
        <v>0.45454545454545453</v>
      </c>
      <c r="D4" s="46">
        <v>0.15</v>
      </c>
      <c r="E4" s="45">
        <f>D4*C4</f>
        <v>6.8181818181818177E-2</v>
      </c>
      <c r="F4" s="45">
        <f>IFERROR(COUNTIFS(STR!$V:$V, 'Overview tanpa KPI'!F$2, STR!$X:$X, "TRUE")/COUNTIFS(STR!$V:$V, 'Overview tanpa KPI'!F2), 0)</f>
        <v>0.58333333333333337</v>
      </c>
      <c r="G4" s="46">
        <v>0.15</v>
      </c>
      <c r="H4" s="47">
        <f>G4*F4</f>
        <v>8.7500000000000008E-2</v>
      </c>
    </row>
    <row r="5" spans="1:15">
      <c r="A5" s="44">
        <v>2</v>
      </c>
      <c r="B5" s="55" t="s">
        <v>67</v>
      </c>
      <c r="C5" s="45">
        <f>1-AVERAGEIF('Bad Data'!$C:$C, 'Overview tanpa KPI'!C$2, 'Bad Data'!$D:$D)</f>
        <v>0.99718363636363638</v>
      </c>
      <c r="D5" s="46">
        <v>0.1</v>
      </c>
      <c r="E5" s="45">
        <f t="shared" ref="E5:E14" si="0">D5*C5</f>
        <v>9.9718363636363647E-2</v>
      </c>
      <c r="F5" s="45">
        <f>1-AVERAGEIF('Bad Data'!$C:$C, 'Overview tanpa KPI'!F$2, 'Bad Data'!$D:$D)</f>
        <v>0.99731818181818177</v>
      </c>
      <c r="G5" s="46">
        <v>0.1</v>
      </c>
      <c r="H5" s="47">
        <f t="shared" ref="H5:H14" si="1">G5*F5</f>
        <v>9.9731818181818185E-2</v>
      </c>
    </row>
    <row r="6" spans="1:15">
      <c r="A6" s="44">
        <v>3</v>
      </c>
      <c r="B6" s="55" t="s">
        <v>130</v>
      </c>
      <c r="C6" s="45">
        <f>AVERAGEIF('Pengkinian Data'!$C:$C, 'Overview tanpa KPI'!C$2, 'Pengkinian Data'!$D:$D)</f>
        <v>0.95336363636363641</v>
      </c>
      <c r="D6" s="46">
        <v>0.1</v>
      </c>
      <c r="E6" s="45">
        <f t="shared" si="0"/>
        <v>9.533636363636365E-2</v>
      </c>
      <c r="F6" s="45">
        <f>AVERAGEIF('Pengkinian Data'!$C:$C, 'Overview tanpa KPI'!F$2, 'Pengkinian Data'!$D:$D)</f>
        <v>0.96119999999999994</v>
      </c>
      <c r="G6" s="46">
        <v>0.1</v>
      </c>
      <c r="H6" s="47">
        <f t="shared" si="1"/>
        <v>9.6119999999999997E-2</v>
      </c>
      <c r="O6" t="s">
        <v>131</v>
      </c>
    </row>
    <row r="7" spans="1:15">
      <c r="A7" s="44">
        <v>4</v>
      </c>
      <c r="B7" s="55" t="s">
        <v>132</v>
      </c>
      <c r="C7" s="45" cm="1">
        <f t="array" ref="C7">IFERROR(SUMPRODUCT(--('[3]Uji Petik'!$E$3:$E$73&lt;&gt;""), --('[3]Uji Petik'!$C$3:$C$73=C2)) / SUMPRODUCT(--('[3]Uji Petik'!$C$3:$C$73=C2)), 0)</f>
        <v>0</v>
      </c>
      <c r="D7" s="46">
        <v>0</v>
      </c>
      <c r="E7" s="45">
        <f t="shared" si="0"/>
        <v>0</v>
      </c>
      <c r="F7" s="45" cm="1">
        <f t="array" ref="F7">IFERROR(SUMPRODUCT(--('[3]Uji Petik'!$E$3:$E$73&lt;&gt;""), --('[3]Uji Petik'!$C$3:$C$73=F2)) / SUMPRODUCT(--('[3]Uji Petik'!$C$3:$C$73=F2)), 0)</f>
        <v>0</v>
      </c>
      <c r="G7" s="46">
        <v>0</v>
      </c>
      <c r="H7" s="47">
        <f t="shared" si="1"/>
        <v>0</v>
      </c>
    </row>
    <row r="8" spans="1:15">
      <c r="A8" s="44">
        <v>5</v>
      </c>
      <c r="B8" s="55" t="s">
        <v>133</v>
      </c>
      <c r="C8" s="48" cm="1">
        <f t="array" ref="C8">IFERROR(AVERAGE(IF([1]Sosialisasi!$C$1:$C$10000=C2, [1]Sosialisasi!$D$1:$D$10000)), 0)</f>
        <v>0.54545454545454541</v>
      </c>
      <c r="D8" s="46">
        <v>0.15</v>
      </c>
      <c r="E8" s="45">
        <f t="shared" si="0"/>
        <v>8.1818181818181804E-2</v>
      </c>
      <c r="F8" s="48" cm="1">
        <f t="array" ref="F8">IFERROR(AVERAGE(IF([1]Sosialisasi!$C$1:$C$10000=F2, [1]Sosialisasi!$D$1:$D$10000)), 0)</f>
        <v>0.18181818181818182</v>
      </c>
      <c r="G8" s="46">
        <v>0.15</v>
      </c>
      <c r="H8" s="47">
        <f t="shared" si="1"/>
        <v>2.7272727272727271E-2</v>
      </c>
    </row>
    <row r="9" spans="1:15">
      <c r="A9" s="44">
        <v>6</v>
      </c>
      <c r="B9" s="55" t="s">
        <v>134</v>
      </c>
      <c r="C9" s="45">
        <f>AVERAGEIF('EDD PEP PPATK'!$C:$C, 'Overview tanpa KPI'!C$2, 'EDD PEP PPATK'!$D:$D)</f>
        <v>0.99369981616556946</v>
      </c>
      <c r="D9" s="46">
        <v>0.1</v>
      </c>
      <c r="E9" s="45">
        <f t="shared" si="0"/>
        <v>9.9369981616556954E-2</v>
      </c>
      <c r="F9" s="45">
        <f>AVERAGEIF('EDD PEP PPATK'!$C:$C, 'Overview tanpa KPI'!F$2, 'EDD PEP PPATK'!$D:$D)</f>
        <v>0.97653922593070674</v>
      </c>
      <c r="G9" s="46">
        <v>0.1</v>
      </c>
      <c r="H9" s="47">
        <f t="shared" si="1"/>
        <v>9.765392259307068E-2</v>
      </c>
    </row>
    <row r="10" spans="1:15">
      <c r="A10" s="44">
        <v>7</v>
      </c>
      <c r="B10" s="55" t="s">
        <v>135</v>
      </c>
      <c r="C10" s="45" cm="1">
        <f t="array" ref="C10">IFERROR(AVERAGE(IF('[1]Sheet2 (2)'!$C$1:$C$10000=C$2, '[1]Sheet2 (2)'!$D$1:$D$10000)), 0)</f>
        <v>0.99645868514870062</v>
      </c>
      <c r="D10" s="46">
        <v>0.05</v>
      </c>
      <c r="E10" s="45">
        <f t="shared" si="0"/>
        <v>4.9822934257435031E-2</v>
      </c>
      <c r="F10" s="45" cm="1">
        <f t="array" ref="F10">IFERROR(AVERAGE(IF('[1]Sheet2 (2)'!$C$1:$C$10000=F$2, '[1]Sheet2 (2)'!$D$1:$D$10000)), 0)</f>
        <v>0.99252457729170729</v>
      </c>
      <c r="G10" s="46">
        <v>0.05</v>
      </c>
      <c r="H10" s="47">
        <f t="shared" si="1"/>
        <v>4.962622886458537E-2</v>
      </c>
    </row>
    <row r="11" spans="1:15">
      <c r="A11" s="44">
        <v>8</v>
      </c>
      <c r="B11" s="55" t="s">
        <v>136</v>
      </c>
      <c r="C11" s="45" cm="1">
        <f t="array" ref="C11">IFERROR(AVERAGE(IF('[1]Sheet2 (3)'!$C$1:$C$10000=C2, '[1]Sheet2 (3)'!$D$1:$D$10000)), 0)</f>
        <v>96.631363636363631</v>
      </c>
      <c r="D11" s="46">
        <v>0.05</v>
      </c>
      <c r="E11" s="45">
        <f t="shared" si="0"/>
        <v>4.8315681818181817</v>
      </c>
      <c r="F11" s="45" cm="1">
        <f t="array" ref="F11">IFERROR(AVERAGE(IF('[1]Sheet2 (3)'!$C$1:$C$10000=F2, '[1]Sheet2 (3)'!$D$1:$D$10000)), 0)</f>
        <v>96.251999999999995</v>
      </c>
      <c r="G11" s="46">
        <v>0.05</v>
      </c>
      <c r="H11" s="47">
        <f t="shared" si="1"/>
        <v>4.8125999999999998</v>
      </c>
    </row>
    <row r="12" spans="1:15">
      <c r="A12" s="44">
        <v>9</v>
      </c>
      <c r="B12" s="55" t="s">
        <v>137</v>
      </c>
      <c r="C12" s="45">
        <f>AVERAGEIF('Nilai Maturitas'!$C:$C, 'Overview tanpa KPI'!C2, 'Nilai Maturitas'!$D:$D)</f>
        <v>8.0737272727272753</v>
      </c>
      <c r="D12" s="46">
        <v>0.1</v>
      </c>
      <c r="E12" s="45">
        <f t="shared" si="0"/>
        <v>0.80737272727272757</v>
      </c>
      <c r="F12" s="45">
        <f>AVERAGEIF('Nilai Maturitas'!$C:$C, 'Overview tanpa KPI'!F2, 'Nilai Maturitas'!$D:$D)</f>
        <v>7.7778181818181817</v>
      </c>
      <c r="G12" s="46">
        <v>0.1</v>
      </c>
      <c r="H12" s="47">
        <f t="shared" si="1"/>
        <v>0.77778181818181824</v>
      </c>
    </row>
    <row r="13" spans="1:15">
      <c r="A13" s="44">
        <v>10</v>
      </c>
      <c r="B13" s="55" t="s">
        <v>138</v>
      </c>
      <c r="C13" s="45">
        <f>AVERAGEIF('Maturitas Dashboard'!$C:$C, 'Overview tanpa KPI'!C$2, 'Maturitas Dashboard'!$D:$D)</f>
        <v>8.875</v>
      </c>
      <c r="D13" s="46">
        <v>0.1</v>
      </c>
      <c r="E13" s="45">
        <f t="shared" si="0"/>
        <v>0.88750000000000007</v>
      </c>
      <c r="F13" s="45">
        <f>AVERAGEIF('Maturitas Dashboard'!$C:$C, 'Overview tanpa KPI'!F$2, 'Maturitas Dashboard'!$D:$D)</f>
        <v>8.875</v>
      </c>
      <c r="G13" s="46">
        <v>0.1</v>
      </c>
      <c r="H13" s="47">
        <f t="shared" si="1"/>
        <v>0.88750000000000007</v>
      </c>
    </row>
    <row r="14" spans="1:15">
      <c r="A14" s="49">
        <v>11</v>
      </c>
      <c r="B14" s="56" t="s">
        <v>139</v>
      </c>
      <c r="C14" s="50">
        <f>AVERAGEIF('Penilaian Resiko'!$C:$C, 'Overview tanpa KPI'!C$2, 'Penilaian Resiko'!$D:$D)</f>
        <v>5.6282245157971369</v>
      </c>
      <c r="D14" s="51">
        <v>0.1</v>
      </c>
      <c r="E14" s="50">
        <f t="shared" si="0"/>
        <v>0.56282245157971367</v>
      </c>
      <c r="F14" s="50">
        <f>AVERAGEIF('Penilaian Resiko'!$C:$C, 'Overview tanpa KPI'!F$2, 'Penilaian Resiko'!$D:$D)</f>
        <v>5.6500143621773029</v>
      </c>
      <c r="G14" s="51">
        <v>0.1</v>
      </c>
      <c r="H14" s="52">
        <f t="shared" si="1"/>
        <v>0.56500143621773036</v>
      </c>
    </row>
    <row r="15" spans="1:15">
      <c r="A15" s="57"/>
      <c r="B15" s="57"/>
      <c r="C15" s="73" t="s">
        <v>140</v>
      </c>
      <c r="D15" s="74"/>
      <c r="E15" s="54">
        <f>SUM(E4:E14)</f>
        <v>7.5835110038173426</v>
      </c>
      <c r="F15" s="73" t="s">
        <v>140</v>
      </c>
      <c r="G15" s="74"/>
      <c r="H15" s="54">
        <f>SUM(H4:H14)</f>
        <v>7.5007879513117501</v>
      </c>
    </row>
  </sheetData>
  <mergeCells count="6">
    <mergeCell ref="A2:A3"/>
    <mergeCell ref="B2:B3"/>
    <mergeCell ref="C2:E2"/>
    <mergeCell ref="F2:H2"/>
    <mergeCell ref="C15:D15"/>
    <mergeCell ref="F15:G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0E51-07AB-411F-B547-B9D9D391F3A3}">
  <dimension ref="A2:O16"/>
  <sheetViews>
    <sheetView workbookViewId="0">
      <selection activeCell="F6" sqref="F6"/>
    </sheetView>
  </sheetViews>
  <sheetFormatPr defaultRowHeight="15"/>
  <cols>
    <col min="1" max="1" width="4" bestFit="1" customWidth="1"/>
    <col min="2" max="2" width="29.5703125" customWidth="1"/>
    <col min="3" max="8" width="12" customWidth="1"/>
  </cols>
  <sheetData>
    <row r="2" spans="1:15">
      <c r="A2" s="75" t="s">
        <v>124</v>
      </c>
      <c r="B2" s="75" t="s">
        <v>125</v>
      </c>
      <c r="C2" s="76" t="s">
        <v>24</v>
      </c>
      <c r="D2" s="76"/>
      <c r="E2" s="76"/>
      <c r="F2" s="76" t="s">
        <v>29</v>
      </c>
      <c r="G2" s="76"/>
      <c r="H2" s="76"/>
    </row>
    <row r="3" spans="1:15">
      <c r="A3" s="75"/>
      <c r="B3" s="75"/>
      <c r="C3" s="43" t="s">
        <v>126</v>
      </c>
      <c r="D3" s="43" t="s">
        <v>127</v>
      </c>
      <c r="E3" s="43" t="s">
        <v>128</v>
      </c>
      <c r="F3" s="43" t="s">
        <v>126</v>
      </c>
      <c r="G3" s="43" t="s">
        <v>127</v>
      </c>
      <c r="H3" s="43" t="s">
        <v>128</v>
      </c>
    </row>
    <row r="4" spans="1:15">
      <c r="A4" s="44">
        <v>1</v>
      </c>
      <c r="B4" s="55" t="s">
        <v>129</v>
      </c>
      <c r="C4" s="45">
        <f>IFERROR(COUNTIFS(STR!$V:$V, 'Overview KPI'!C$2, STR!$X:$X, "TRUE")/COUNTIFS(STR!$V:$V, 'Overview KPI'!C2), 0)</f>
        <v>0.45454545454545453</v>
      </c>
      <c r="D4" s="58">
        <v>0.05</v>
      </c>
      <c r="E4" s="45">
        <f>D4*C4</f>
        <v>2.2727272727272728E-2</v>
      </c>
      <c r="F4" s="45">
        <f>IFERROR(COUNTIFS(STR!$V:$V, 'Overview KPI'!F$2, STR!$X:$X, "TRUE")/COUNTIFS(STR!$V:$V, 'Overview KPI'!F2), 0)</f>
        <v>0.58333333333333337</v>
      </c>
      <c r="G4" s="58">
        <v>0.05</v>
      </c>
      <c r="H4" s="45">
        <f>G4*F4</f>
        <v>2.9166666666666671E-2</v>
      </c>
    </row>
    <row r="5" spans="1:15">
      <c r="A5" s="44">
        <v>2</v>
      </c>
      <c r="B5" s="55" t="s">
        <v>142</v>
      </c>
      <c r="C5" s="45">
        <f>IFERROR(AVERAGEIF(STR!$V:$V, 'Overview KPI'!C2, STR!$AC:$AC), 0)/4</f>
        <v>0.84720982142857137</v>
      </c>
      <c r="D5" s="58">
        <v>0.15</v>
      </c>
      <c r="E5" s="45">
        <f>D5*C5</f>
        <v>0.1270814732142857</v>
      </c>
      <c r="F5" s="45">
        <f>IFERROR(AVERAGEIF(STR!$V:$V, 'Overview KPI'!F2, STR!$AC:$AC), 0)/4</f>
        <v>0</v>
      </c>
      <c r="G5" s="58">
        <v>0.15</v>
      </c>
      <c r="H5" s="45">
        <f>G5*F5</f>
        <v>0</v>
      </c>
    </row>
    <row r="6" spans="1:15">
      <c r="A6" s="44">
        <v>3</v>
      </c>
      <c r="B6" s="55" t="s">
        <v>67</v>
      </c>
      <c r="C6" s="45">
        <f>1-AVERAGEIF('Bad Data'!$C:$C, 'Overview KPI'!C$2, 'Bad Data'!$D:$D)</f>
        <v>0.99718363636363638</v>
      </c>
      <c r="D6" s="58">
        <v>0.1</v>
      </c>
      <c r="E6" s="45">
        <f t="shared" ref="E6:E15" si="0">D6*C6</f>
        <v>9.9718363636363647E-2</v>
      </c>
      <c r="F6" s="45">
        <f>1-AVERAGEIF('Bad Data'!$C:$C, 'Overview KPI'!F$2, 'Bad Data'!$D:$D)</f>
        <v>0.99731818181818177</v>
      </c>
      <c r="G6" s="58">
        <v>0.1</v>
      </c>
      <c r="H6" s="45">
        <f t="shared" ref="H6:H15" si="1">G6*F6</f>
        <v>9.9731818181818185E-2</v>
      </c>
    </row>
    <row r="7" spans="1:15">
      <c r="A7" s="44">
        <v>4</v>
      </c>
      <c r="B7" s="55" t="s">
        <v>130</v>
      </c>
      <c r="C7" s="45">
        <f>AVERAGEIF('Pengkinian Data'!$C:$C, 'Overview KPI'!C$2, 'Pengkinian Data'!$D:$D)</f>
        <v>0.95336363636363641</v>
      </c>
      <c r="D7" s="58">
        <v>0.1</v>
      </c>
      <c r="E7" s="45">
        <f t="shared" si="0"/>
        <v>9.533636363636365E-2</v>
      </c>
      <c r="F7" s="45">
        <f>AVERAGEIF('Pengkinian Data'!$C:$C, 'Overview KPI'!F$2, 'Pengkinian Data'!$D:$D)</f>
        <v>0.96119999999999994</v>
      </c>
      <c r="G7" s="58">
        <v>0.1</v>
      </c>
      <c r="H7" s="45">
        <f t="shared" si="1"/>
        <v>9.6119999999999997E-2</v>
      </c>
      <c r="O7" t="s">
        <v>131</v>
      </c>
    </row>
    <row r="8" spans="1:15">
      <c r="A8" s="44">
        <v>5</v>
      </c>
      <c r="B8" s="55" t="s">
        <v>132</v>
      </c>
      <c r="C8" s="45">
        <f>IFERROR(COUNTIFS(STR!$V:$V, 'Overview KPI'!B6, STR!$X:$X, "TRUE")/COUNTIFS(STR!$V:$V, 'Overview KPI'!B6), 0)</f>
        <v>0</v>
      </c>
      <c r="D8" s="58">
        <v>7.4999999999999997E-2</v>
      </c>
      <c r="E8" s="45">
        <f t="shared" si="0"/>
        <v>0</v>
      </c>
      <c r="F8" s="45">
        <f>IFERROR(COUNTIFS(STR!$V:$V, 'Overview KPI'!E6, STR!$X:$X, "TRUE")/COUNTIFS(STR!$V:$V, 'Overview KPI'!E6), 0)</f>
        <v>0</v>
      </c>
      <c r="G8" s="58">
        <v>7.4999999999999997E-2</v>
      </c>
      <c r="H8" s="45">
        <f t="shared" si="1"/>
        <v>0</v>
      </c>
    </row>
    <row r="9" spans="1:15">
      <c r="A9" s="44">
        <v>6</v>
      </c>
      <c r="B9" s="55" t="s">
        <v>133</v>
      </c>
      <c r="C9" s="48" cm="1">
        <f t="array" ref="C9">IFERROR(AVERAGE(IF([1]Sosialisasi!$C$1:$C$10000=C2, [1]Sosialisasi!$D$1:$D$10000)), 0)</f>
        <v>0.54545454545454541</v>
      </c>
      <c r="D9" s="58">
        <v>7.4999999999999997E-2</v>
      </c>
      <c r="E9" s="45">
        <f t="shared" si="0"/>
        <v>4.0909090909090902E-2</v>
      </c>
      <c r="F9" s="48" cm="1">
        <f t="array" ref="F9">IFERROR(AVERAGE(IF([1]Sosialisasi!$C$1:$C$10000=F2, [1]Sosialisasi!$D$1:$D$10000)), 0)</f>
        <v>0.18181818181818182</v>
      </c>
      <c r="G9" s="58">
        <v>7.4999999999999997E-2</v>
      </c>
      <c r="H9" s="45">
        <f t="shared" si="1"/>
        <v>1.3636363636363636E-2</v>
      </c>
    </row>
    <row r="10" spans="1:15">
      <c r="A10" s="44">
        <v>7</v>
      </c>
      <c r="B10" s="55" t="s">
        <v>134</v>
      </c>
      <c r="C10" s="45">
        <f>AVERAGEIF('EDD PEP PPATK'!$C:$C, 'Overview KPI'!C$2, 'EDD PEP PPATK'!$D:$D)</f>
        <v>0.99369981616556946</v>
      </c>
      <c r="D10" s="58">
        <v>0.1</v>
      </c>
      <c r="E10" s="45">
        <f t="shared" si="0"/>
        <v>9.9369981616556954E-2</v>
      </c>
      <c r="F10" s="45">
        <f>AVERAGEIF('EDD PEP PPATK'!$C:$C, 'Overview KPI'!F$2, 'EDD PEP PPATK'!$D:$D)</f>
        <v>0.97653922593070674</v>
      </c>
      <c r="G10" s="58">
        <v>0.1</v>
      </c>
      <c r="H10" s="45">
        <f t="shared" si="1"/>
        <v>9.765392259307068E-2</v>
      </c>
    </row>
    <row r="11" spans="1:15">
      <c r="A11" s="44">
        <v>8</v>
      </c>
      <c r="B11" s="55" t="s">
        <v>135</v>
      </c>
      <c r="C11" s="45" cm="1">
        <f t="array" ref="C11">IF(IFERROR(AVERAGE(IF('[1]Sheet2 (2)'!$C$1:$C$10000=C$2, '[1]Sheet2 (2)'!$D$1:$D$10000)), 0)&gt;0.9, 1, IFERROR(AVERAGE(IF('[1]Sheet2 (2)'!$C$1:$C$10000=C$2, '[1]Sheet2 (2)'!$D$1:$D$10000)), 0))</f>
        <v>1</v>
      </c>
      <c r="D11" s="58">
        <v>2.5000000000000001E-2</v>
      </c>
      <c r="E11" s="45">
        <f t="shared" si="0"/>
        <v>2.5000000000000001E-2</v>
      </c>
      <c r="F11" s="45" cm="1">
        <f t="array" ref="F11">IF(IFERROR(AVERAGE(IF('[1]Sheet2 (2)'!$C$1:$C$10000=F$2, '[1]Sheet2 (2)'!$D$1:$D$10000)), 0)&gt;0.9, 1, IFERROR(AVERAGE(IF('[1]Sheet2 (2)'!$C$1:$C$10000=F$2, '[1]Sheet2 (2)'!$D$1:$D$10000)), 0))</f>
        <v>1</v>
      </c>
      <c r="G11" s="58">
        <v>2.5000000000000001E-2</v>
      </c>
      <c r="H11" s="45">
        <f t="shared" si="1"/>
        <v>2.5000000000000001E-2</v>
      </c>
    </row>
    <row r="12" spans="1:15">
      <c r="A12" s="44">
        <v>9</v>
      </c>
      <c r="B12" s="55" t="s">
        <v>136</v>
      </c>
      <c r="C12" s="45" cm="1">
        <f t="array" ref="C12">IF(IFERROR(AVERAGE(IF('[1]Sheet2 (3)'!$C$1:$C$10000=C2, '[1]Sheet2 (3)'!$D$1:$D$10000)), 0)&gt;90, 1, IFERROR(AVERAGE(IF('[1]Sheet2 (3)'!$C$1:$C$10000=C2, '[1]Sheet2 (3)'!$D$1:$D$10000)), 0)/90)</f>
        <v>1</v>
      </c>
      <c r="D12" s="58">
        <v>2.5000000000000001E-2</v>
      </c>
      <c r="E12" s="45">
        <f t="shared" si="0"/>
        <v>2.5000000000000001E-2</v>
      </c>
      <c r="F12" s="45" cm="1">
        <f t="array" ref="F12">IF(IFERROR(AVERAGE(IF('[1]Sheet2 (3)'!$C$1:$C$10000=F2, '[1]Sheet2 (3)'!$D$1:$D$10000)), 0)&gt;90, 1, IFERROR(AVERAGE(IF('[1]Sheet2 (3)'!$C$1:$C$10000=F2, '[1]Sheet2 (3)'!$D$1:$D$10000)), 0)/90)</f>
        <v>1</v>
      </c>
      <c r="G12" s="58">
        <v>2.5000000000000001E-2</v>
      </c>
      <c r="H12" s="45">
        <f t="shared" si="1"/>
        <v>2.5000000000000001E-2</v>
      </c>
    </row>
    <row r="13" spans="1:15">
      <c r="A13" s="44">
        <v>10</v>
      </c>
      <c r="B13" s="55" t="s">
        <v>137</v>
      </c>
      <c r="C13" s="45">
        <f>IF(AVERAGEIF('Nilai Maturitas'!$C:$C, 'Overview KPI'!C2, 'Nilai Maturitas'!$D:$D) &gt; 8, 110%, AVERAGEIF('Nilai Maturitas'!$C:$C, 'Overview KPI'!C2, 'Nilai Maturitas'!$D:$D)/8*100%)</f>
        <v>1.1000000000000001</v>
      </c>
      <c r="D13" s="58">
        <v>0.1</v>
      </c>
      <c r="E13" s="45">
        <f t="shared" si="0"/>
        <v>0.11000000000000001</v>
      </c>
      <c r="F13" s="45">
        <f>IF(AVERAGEIF('Nilai Maturitas'!$C:$C, 'Overview KPI'!F2, 'Nilai Maturitas'!$D:$D) &gt; 8, 110%, AVERAGEIF('Nilai Maturitas'!$C:$C, 'Overview KPI'!F2, 'Nilai Maturitas'!$D:$D)/8*100%)</f>
        <v>0.97222727272727272</v>
      </c>
      <c r="G13" s="58">
        <v>0.1</v>
      </c>
      <c r="H13" s="45">
        <f t="shared" si="1"/>
        <v>9.722272727272728E-2</v>
      </c>
    </row>
    <row r="14" spans="1:15">
      <c r="A14" s="44">
        <v>11</v>
      </c>
      <c r="B14" s="55" t="s">
        <v>138</v>
      </c>
      <c r="C14" s="45">
        <f>IF(AVERAGEIF('Maturitas Dashboard'!$C:$C, 'Overview KPI'!C$2, 'Maturitas Dashboard'!$D:$D) &gt; 8, 110%, AVERAGEIF('Maturitas Dashboard'!$C:$C, 'Overview KPI'!C$2, 'Maturitas Dashboard'!$D:$D)/8*100%)</f>
        <v>1.1000000000000001</v>
      </c>
      <c r="D14" s="58">
        <v>0.1</v>
      </c>
      <c r="E14" s="45">
        <f t="shared" si="0"/>
        <v>0.11000000000000001</v>
      </c>
      <c r="F14" s="45">
        <f>IF(AVERAGEIF('Maturitas Dashboard'!$C:$C, 'Overview KPI'!F$2, 'Maturitas Dashboard'!$D:$D) &gt; 8, 110%, AVERAGEIF('Maturitas Dashboard'!$C:$C, 'Overview KPI'!F$2, 'Maturitas Dashboard'!$D:$D)/8*100%)</f>
        <v>1.1000000000000001</v>
      </c>
      <c r="G14" s="58">
        <v>0.1</v>
      </c>
      <c r="H14" s="45">
        <f t="shared" si="1"/>
        <v>0.11000000000000001</v>
      </c>
    </row>
    <row r="15" spans="1:15">
      <c r="A15" s="44">
        <v>12</v>
      </c>
      <c r="B15" s="56" t="s">
        <v>139</v>
      </c>
      <c r="C15" s="50">
        <f>IF(AVERAGEIF('Penilaian Resiko'!$C:$C, 'Overview KPI'!C$2, 'Penilaian Resiko'!$D:$D) &lt; 5.8, 110%, IF(AVERAGEIF('Penilaian Resiko'!$C:$C, 'Overview KPI'!C$2, 'Penilaian Resiko'!$D:$D) &lt;7.4, 3/4*100%, 3/5*100%))</f>
        <v>1.1000000000000001</v>
      </c>
      <c r="D15" s="59">
        <v>0.1</v>
      </c>
      <c r="E15" s="50">
        <f t="shared" si="0"/>
        <v>0.11000000000000001</v>
      </c>
      <c r="F15" s="50">
        <f>IF(AVERAGEIF('Penilaian Resiko'!$C:$C, 'Overview KPI'!F$2, 'Penilaian Resiko'!$D:$D) &lt; 5.8, 110%, IF(AVERAGEIF('Penilaian Resiko'!$C:$C, 'Overview KPI'!F$2, 'Penilaian Resiko'!$D:$D) &lt;7.4, 3/4*100%, 3/5*100%))</f>
        <v>1.1000000000000001</v>
      </c>
      <c r="G15" s="59">
        <v>0.1</v>
      </c>
      <c r="H15" s="50">
        <f t="shared" si="1"/>
        <v>0.11000000000000001</v>
      </c>
    </row>
    <row r="16" spans="1:15">
      <c r="A16" s="53"/>
      <c r="B16" s="53"/>
      <c r="C16" s="73" t="s">
        <v>140</v>
      </c>
      <c r="D16" s="74"/>
      <c r="E16" s="54">
        <f>SUM(E4:E15)</f>
        <v>0.86514254573993354</v>
      </c>
      <c r="F16" s="73" t="s">
        <v>140</v>
      </c>
      <c r="G16" s="74"/>
      <c r="H16" s="54">
        <f>SUM(H4:H15)</f>
        <v>0.70353149835064654</v>
      </c>
    </row>
  </sheetData>
  <mergeCells count="6">
    <mergeCell ref="A2:A3"/>
    <mergeCell ref="B2:B3"/>
    <mergeCell ref="C2:E2"/>
    <mergeCell ref="F2:H2"/>
    <mergeCell ref="C16:D16"/>
    <mergeCell ref="F16:G1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2026-09-29T02:02:15Z</dcterms:modified>
  <cp:category/>
  <cp:contentStatus/>
</cp:coreProperties>
</file>